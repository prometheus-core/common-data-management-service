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60" windowWidth="23775" windowHeight="1501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F14" i="1"/>
  <c r="F27"/>
  <c r="F26"/>
  <c r="F25"/>
  <c r="F24"/>
  <c r="F23"/>
  <c r="F22"/>
  <c r="F21"/>
  <c r="F20"/>
  <c r="F19"/>
  <c r="F18"/>
  <c r="F17"/>
  <c r="F16"/>
  <c r="F15"/>
  <c r="F13"/>
  <c r="F12"/>
  <c r="F11"/>
  <c r="F10"/>
  <c r="F9"/>
  <c r="F8"/>
  <c r="F7"/>
  <c r="F6"/>
  <c r="F5"/>
  <c r="F4"/>
  <c r="C4"/>
  <c r="E4"/>
  <c r="C5"/>
  <c r="E5"/>
  <c r="C6"/>
  <c r="E6"/>
  <c r="C7"/>
  <c r="E7"/>
  <c r="C8"/>
  <c r="E8"/>
  <c r="C9"/>
  <c r="E9"/>
  <c r="C10"/>
  <c r="E10"/>
  <c r="C11"/>
  <c r="E11"/>
  <c r="C12"/>
  <c r="E12"/>
  <c r="C13"/>
  <c r="E13"/>
  <c r="C14"/>
  <c r="E14"/>
  <c r="C15"/>
  <c r="E15"/>
  <c r="C16"/>
  <c r="E16"/>
  <c r="C17"/>
  <c r="E17"/>
  <c r="C18"/>
  <c r="E18"/>
  <c r="C19"/>
  <c r="E19"/>
  <c r="C20"/>
  <c r="E20"/>
  <c r="C21"/>
  <c r="E21"/>
  <c r="C22"/>
  <c r="E22"/>
  <c r="C23"/>
  <c r="E23"/>
  <c r="C24"/>
  <c r="E24"/>
  <c r="C25"/>
  <c r="E25"/>
  <c r="C26"/>
  <c r="E26"/>
  <c r="C27"/>
  <c r="E27"/>
  <c r="B18"/>
  <c r="B12"/>
  <c r="B27"/>
  <c r="B26"/>
  <c r="B25"/>
  <c r="B24"/>
  <c r="B23"/>
  <c r="B22"/>
  <c r="B21"/>
  <c r="B20"/>
  <c r="B19"/>
  <c r="B17"/>
  <c r="B16"/>
  <c r="B15"/>
  <c r="B14"/>
  <c r="B13"/>
  <c r="B11"/>
  <c r="B10"/>
  <c r="B9"/>
  <c r="B8"/>
  <c r="B7"/>
  <c r="B6"/>
  <c r="B5"/>
  <c r="B4"/>
  <c r="D26" l="1"/>
  <c r="D24"/>
  <c r="D27"/>
  <c r="D25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</calcChain>
</file>

<file path=xl/sharedStrings.xml><?xml version="1.0" encoding="utf-8"?>
<sst xmlns="http://schemas.openxmlformats.org/spreadsheetml/2006/main" count="53" uniqueCount="47">
  <si>
    <t>00:00-01:00</t>
  </si>
  <si>
    <t>01:00-02:00</t>
  </si>
  <si>
    <t>02:00-03:00</t>
  </si>
  <si>
    <t>03:00-04:00</t>
  </si>
  <si>
    <t>05:00-06:00</t>
  </si>
  <si>
    <t>07:00-08:00</t>
  </si>
  <si>
    <t>09:00-10:00</t>
  </si>
  <si>
    <t>11:00-12:00</t>
  </si>
  <si>
    <t>12:00-13:00</t>
  </si>
  <si>
    <t>14:00-15:00</t>
  </si>
  <si>
    <t>16:00-17:00</t>
  </si>
  <si>
    <t>18:00-19:00</t>
  </si>
  <si>
    <t>04:00-05:00</t>
  </si>
  <si>
    <t>06:00-07:00</t>
  </si>
  <si>
    <t>08:00-09:00</t>
  </si>
  <si>
    <t>10:00-11:00</t>
  </si>
  <si>
    <t>13:00-14:00</t>
  </si>
  <si>
    <t>15:00-16:00</t>
  </si>
  <si>
    <t>17:00-18:00</t>
  </si>
  <si>
    <t>19:00-20:00</t>
  </si>
  <si>
    <t>20:00-21:00</t>
  </si>
  <si>
    <t>21:00-22:00</t>
  </si>
  <si>
    <t>22:00-23:00</t>
  </si>
  <si>
    <t>23:00-24:00</t>
  </si>
  <si>
    <t>50 HzT -&gt; DE</t>
  </si>
  <si>
    <t>West Profile</t>
  </si>
  <si>
    <t>Profile Limit</t>
  </si>
  <si>
    <t>Delta</t>
  </si>
  <si>
    <t>Intraday Redispatch</t>
  </si>
  <si>
    <t>PRA</t>
  </si>
  <si>
    <t>Corrected PRA</t>
  </si>
  <si>
    <t xml:space="preserve"> SIV</t>
  </si>
  <si>
    <t>Preventive Redispatch</t>
  </si>
  <si>
    <t>included in the German DACF dataset</t>
  </si>
  <si>
    <t>included in CTDS after model improvement</t>
  </si>
  <si>
    <t>von</t>
  </si>
  <si>
    <t>bis</t>
  </si>
  <si>
    <t>MW</t>
  </si>
  <si>
    <t>MAX</t>
  </si>
  <si>
    <t>Need of redispatch</t>
  </si>
  <si>
    <t>Intraday avaibility</t>
  </si>
  <si>
    <t>D-1 Redispatch</t>
  </si>
  <si>
    <t>Z:\CORESO tree\06-Day ahead\Redispacth 50HzT\2012\RD-Table_20120425_50HzT_TenneT.xls</t>
  </si>
  <si>
    <t>25/04/2012</t>
  </si>
  <si>
    <t>Pexport</t>
  </si>
  <si>
    <t>Pmax</t>
  </si>
  <si>
    <t>DP</t>
  </si>
</sst>
</file>

<file path=xl/styles.xml><?xml version="1.0" encoding="utf-8"?>
<styleSheet xmlns="http://schemas.openxmlformats.org/spreadsheetml/2006/main">
  <numFmts count="1">
    <numFmt numFmtId="164" formatCode="0.000"/>
  </numFmts>
  <fonts count="9">
    <font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name val="Symbol"/>
      <family val="1"/>
      <charset val="2"/>
    </font>
    <font>
      <sz val="11"/>
      <color indexed="8"/>
      <name val="Arial"/>
      <family val="2"/>
    </font>
    <font>
      <b/>
      <sz val="10"/>
      <color indexed="10"/>
      <name val="Arial"/>
      <family val="2"/>
    </font>
    <font>
      <b/>
      <sz val="11"/>
      <color indexed="12"/>
      <name val="Arial"/>
      <family val="2"/>
    </font>
    <font>
      <sz val="11"/>
      <color indexed="12"/>
      <name val="Arial"/>
      <family val="2"/>
    </font>
    <font>
      <b/>
      <sz val="11"/>
      <color indexed="10"/>
      <name val="Arial"/>
      <family val="2"/>
    </font>
    <font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1" fontId="1" fillId="4" borderId="8" xfId="0" applyNumberFormat="1" applyFont="1" applyFill="1" applyBorder="1" applyAlignment="1" applyProtection="1">
      <alignment horizontal="center" vertical="center"/>
    </xf>
    <xf numFmtId="1" fontId="1" fillId="4" borderId="9" xfId="0" applyNumberFormat="1" applyFont="1" applyFill="1" applyBorder="1" applyAlignment="1" applyProtection="1">
      <alignment horizontal="center" vertical="center" wrapText="1"/>
    </xf>
    <xf numFmtId="2" fontId="1" fillId="2" borderId="10" xfId="0" applyNumberFormat="1" applyFont="1" applyFill="1" applyBorder="1" applyAlignment="1" applyProtection="1">
      <alignment horizontal="center" vertical="center"/>
    </xf>
    <xf numFmtId="1" fontId="1" fillId="2" borderId="10" xfId="0" applyNumberFormat="1" applyFont="1" applyFill="1" applyBorder="1" applyAlignment="1" applyProtection="1">
      <alignment horizontal="center" vertical="center"/>
    </xf>
    <xf numFmtId="1" fontId="2" fillId="2" borderId="10" xfId="0" applyNumberFormat="1" applyFont="1" applyFill="1" applyBorder="1" applyAlignment="1" applyProtection="1">
      <alignment horizontal="center" vertical="center"/>
    </xf>
    <xf numFmtId="1" fontId="3" fillId="3" borderId="6" xfId="0" applyNumberFormat="1" applyFont="1" applyFill="1" applyBorder="1" applyAlignment="1" applyProtection="1">
      <alignment horizontal="center" vertical="center" wrapText="1"/>
    </xf>
    <xf numFmtId="1" fontId="4" fillId="5" borderId="6" xfId="0" applyNumberFormat="1" applyFont="1" applyFill="1" applyBorder="1" applyAlignment="1" applyProtection="1">
      <alignment horizontal="center" vertical="center" wrapText="1"/>
    </xf>
    <xf numFmtId="0" fontId="5" fillId="2" borderId="11" xfId="0" applyFont="1" applyFill="1" applyBorder="1" applyAlignment="1" applyProtection="1">
      <alignment horizontal="center" vertical="center"/>
    </xf>
    <xf numFmtId="0" fontId="5" fillId="2" borderId="12" xfId="0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  <xf numFmtId="20" fontId="6" fillId="2" borderId="13" xfId="0" applyNumberFormat="1" applyFont="1" applyFill="1" applyBorder="1" applyAlignment="1" applyProtection="1">
      <alignment horizontal="center" vertical="center"/>
    </xf>
    <xf numFmtId="20" fontId="6" fillId="2" borderId="14" xfId="0" applyNumberFormat="1" applyFont="1" applyFill="1" applyBorder="1" applyAlignment="1" applyProtection="1">
      <alignment horizontal="center" vertical="center"/>
    </xf>
    <xf numFmtId="164" fontId="7" fillId="2" borderId="15" xfId="0" applyNumberFormat="1" applyFont="1" applyFill="1" applyBorder="1" applyAlignment="1" applyProtection="1">
      <alignment horizontal="center" vertical="center"/>
    </xf>
    <xf numFmtId="164" fontId="8" fillId="2" borderId="15" xfId="0" applyNumberFormat="1" applyFont="1" applyFill="1" applyBorder="1" applyAlignment="1" applyProtection="1">
      <alignment horizontal="center" vertical="center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8" fillId="4" borderId="15" xfId="0" applyNumberFormat="1" applyFont="1" applyFill="1" applyBorder="1" applyAlignment="1" applyProtection="1">
      <alignment horizontal="center" vertical="center"/>
    </xf>
    <xf numFmtId="1" fontId="8" fillId="5" borderId="4" xfId="0" applyNumberFormat="1" applyFont="1" applyFill="1" applyBorder="1" applyAlignment="1" applyProtection="1">
      <alignment horizontal="center" vertical="center"/>
    </xf>
    <xf numFmtId="1" fontId="8" fillId="5" borderId="15" xfId="0" applyNumberFormat="1" applyFont="1" applyFill="1" applyBorder="1" applyAlignment="1" applyProtection="1">
      <alignment horizontal="center" vertical="center"/>
    </xf>
    <xf numFmtId="20" fontId="6" fillId="2" borderId="16" xfId="0" applyNumberFormat="1" applyFont="1" applyFill="1" applyBorder="1" applyAlignment="1" applyProtection="1">
      <alignment horizontal="center" vertical="center"/>
    </xf>
    <xf numFmtId="20" fontId="6" fillId="2" borderId="17" xfId="0" applyNumberFormat="1" applyFont="1" applyFill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horizontal="center" vertical="center"/>
    </xf>
    <xf numFmtId="164" fontId="8" fillId="2" borderId="18" xfId="0" applyNumberFormat="1" applyFont="1" applyFill="1" applyBorder="1" applyAlignment="1" applyProtection="1">
      <alignment horizontal="center" vertical="center"/>
    </xf>
    <xf numFmtId="164" fontId="8" fillId="3" borderId="18" xfId="0" applyNumberFormat="1" applyFont="1" applyFill="1" applyBorder="1" applyAlignment="1" applyProtection="1">
      <alignment horizontal="center" vertical="center"/>
    </xf>
    <xf numFmtId="164" fontId="8" fillId="4" borderId="18" xfId="0" applyNumberFormat="1" applyFont="1" applyFill="1" applyBorder="1" applyAlignment="1" applyProtection="1">
      <alignment horizontal="center" vertical="center"/>
    </xf>
    <xf numFmtId="1" fontId="8" fillId="5" borderId="18" xfId="0" applyNumberFormat="1" applyFont="1" applyFill="1" applyBorder="1" applyAlignment="1" applyProtection="1">
      <alignment horizontal="center" vertical="center"/>
    </xf>
    <xf numFmtId="20" fontId="6" fillId="2" borderId="19" xfId="0" applyNumberFormat="1" applyFont="1" applyFill="1" applyBorder="1" applyAlignment="1" applyProtection="1">
      <alignment horizontal="center" vertical="center"/>
    </xf>
    <xf numFmtId="20" fontId="6" fillId="2" borderId="20" xfId="0" applyNumberFormat="1" applyFont="1" applyFill="1" applyBorder="1" applyAlignment="1" applyProtection="1">
      <alignment horizontal="center" vertical="center"/>
    </xf>
    <xf numFmtId="164" fontId="7" fillId="2" borderId="6" xfId="0" applyNumberFormat="1" applyFont="1" applyFill="1" applyBorder="1" applyAlignment="1" applyProtection="1">
      <alignment horizontal="center" vertical="center"/>
    </xf>
    <xf numFmtId="164" fontId="8" fillId="2" borderId="6" xfId="0" applyNumberFormat="1" applyFont="1" applyFill="1" applyBorder="1" applyAlignment="1" applyProtection="1">
      <alignment horizontal="center" vertical="center"/>
    </xf>
    <xf numFmtId="164" fontId="8" fillId="3" borderId="6" xfId="0" applyNumberFormat="1" applyFont="1" applyFill="1" applyBorder="1" applyAlignment="1" applyProtection="1">
      <alignment horizontal="center" vertical="center"/>
    </xf>
    <xf numFmtId="164" fontId="8" fillId="4" borderId="6" xfId="0" applyNumberFormat="1" applyFont="1" applyFill="1" applyBorder="1" applyAlignment="1" applyProtection="1">
      <alignment horizontal="center" vertical="center"/>
    </xf>
    <xf numFmtId="1" fontId="8" fillId="5" borderId="6" xfId="0" applyNumberFormat="1" applyFont="1" applyFill="1" applyBorder="1" applyAlignment="1" applyProtection="1">
      <alignment horizontal="center" vertical="center"/>
    </xf>
    <xf numFmtId="0" fontId="0" fillId="0" borderId="21" xfId="0" applyBorder="1"/>
    <xf numFmtId="0" fontId="0" fillId="0" borderId="21" xfId="0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14" fontId="1" fillId="2" borderId="1" xfId="0" applyNumberFormat="1" applyFont="1" applyFill="1" applyBorder="1" applyAlignment="1" applyProtection="1">
      <alignment horizontal="center" vertical="center"/>
    </xf>
    <xf numFmtId="14" fontId="1" fillId="2" borderId="2" xfId="0" applyNumberFormat="1" applyFont="1" applyFill="1" applyBorder="1" applyAlignment="1" applyProtection="1">
      <alignment horizontal="center" vertical="center"/>
    </xf>
    <xf numFmtId="14" fontId="1" fillId="2" borderId="3" xfId="0" applyNumberFormat="1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1" fontId="1" fillId="2" borderId="4" xfId="0" applyNumberFormat="1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</xf>
    <xf numFmtId="1" fontId="1" fillId="3" borderId="4" xfId="0" applyNumberFormat="1" applyFont="1" applyFill="1" applyBorder="1" applyAlignment="1" applyProtection="1">
      <alignment horizontal="center" vertical="center" wrapText="1"/>
    </xf>
    <xf numFmtId="14" fontId="1" fillId="4" borderId="5" xfId="0" applyNumberFormat="1" applyFont="1" applyFill="1" applyBorder="1" applyAlignment="1" applyProtection="1">
      <alignment horizontal="center" vertical="center"/>
    </xf>
    <xf numFmtId="1" fontId="1" fillId="5" borderId="4" xfId="0" applyNumberFormat="1" applyFont="1" applyFill="1" applyBorder="1" applyAlignment="1" applyProtection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4" fillId="4" borderId="1" xfId="0" applyNumberFormat="1" applyFont="1" applyFill="1" applyBorder="1" applyAlignment="1" applyProtection="1">
      <alignment horizontal="center" vertical="center" wrapText="1"/>
    </xf>
    <xf numFmtId="1" fontId="4" fillId="4" borderId="3" xfId="0" applyNumberFormat="1" applyFont="1" applyFill="1" applyBorder="1" applyAlignment="1" applyProtection="1">
      <alignment horizontal="center" vertical="center" wrapText="1"/>
    </xf>
    <xf numFmtId="1" fontId="0" fillId="0" borderId="21" xfId="0" applyNumberFormat="1" applyBorder="1" applyAlignment="1">
      <alignment horizontal="center" vertical="center"/>
    </xf>
    <xf numFmtId="1" fontId="0" fillId="6" borderId="21" xfId="0" applyNumberFormat="1" applyFill="1" applyBorder="1" applyAlignment="1">
      <alignment horizontal="center" vertical="center"/>
    </xf>
    <xf numFmtId="1" fontId="0" fillId="7" borderId="21" xfId="0" applyNumberFormat="1" applyFill="1" applyBorder="1" applyAlignment="1">
      <alignment horizontal="center" vertical="center"/>
    </xf>
    <xf numFmtId="1" fontId="0" fillId="0" borderId="0" xfId="0" applyNumberFormat="1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152401</xdr:colOff>
      <xdr:row>0</xdr:row>
      <xdr:rowOff>66676</xdr:rowOff>
    </xdr:from>
    <xdr:to>
      <xdr:col>0</xdr:col>
      <xdr:colOff>647700</xdr:colOff>
      <xdr:row>1</xdr:row>
      <xdr:rowOff>161926</xdr:rowOff>
    </xdr:to>
    <xdr:sp macro="[0]!ChooseFileToRead" textlink="">
      <xdr:nvSpPr>
        <xdr:cNvPr id="2" name="Rounded Rectangle 1"/>
        <xdr:cNvSpPr/>
      </xdr:nvSpPr>
      <xdr:spPr>
        <a:xfrm>
          <a:off x="152401" y="66676"/>
          <a:ext cx="495299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M27"/>
  <sheetViews>
    <sheetView tabSelected="1" workbookViewId="0">
      <selection activeCell="B6" sqref="B6"/>
    </sheetView>
  </sheetViews>
  <sheetFormatPr defaultRowHeight="15"/>
  <cols>
    <col min="1" max="1" width="11.42578125" customWidth="1"/>
    <col min="2" max="2" width="12.140625" customWidth="1"/>
    <col min="3" max="3" width="13.42578125" customWidth="1"/>
    <col min="4" max="4" width="19.42578125" customWidth="1"/>
    <col min="5" max="5" width="18" customWidth="1"/>
    <col min="6" max="6" width="15" customWidth="1"/>
    <col min="12" max="12" width="54.85546875" bestFit="1" customWidth="1"/>
  </cols>
  <sheetData>
    <row r="2" spans="1:13">
      <c r="B2" s="55" t="s">
        <v>42</v>
      </c>
    </row>
    <row r="3" spans="1:13" ht="18.75" customHeight="1">
      <c r="A3" s="34"/>
      <c r="B3" s="35" t="s">
        <v>24</v>
      </c>
      <c r="C3" s="35" t="s">
        <v>38</v>
      </c>
      <c r="D3" s="35" t="s">
        <v>39</v>
      </c>
      <c r="E3" s="36" t="s">
        <v>40</v>
      </c>
      <c r="F3" s="37" t="s">
        <v>41</v>
      </c>
    </row>
    <row r="4" spans="1:13">
      <c r="A4" s="34" t="s">
        <v>0</v>
      </c>
      <c r="B4" s="51">
        <f>AVERAGE(Sheet2!C6:C9)</f>
        <v>-4025.6777499999998</v>
      </c>
      <c r="C4" s="51">
        <f>AVERAGE(Sheet2!D6:D9)</f>
        <v>5000</v>
      </c>
      <c r="D4" s="51">
        <f>IF(C4+B4&gt;0,0,C4+B4)</f>
        <v>0</v>
      </c>
      <c r="E4" s="52">
        <f>AVERAGE(Sheet2!F6:F9)</f>
        <v>0</v>
      </c>
      <c r="F4" s="53">
        <f>AVERAGE(Sheet2!G6:H9)</f>
        <v>0</v>
      </c>
      <c r="L4" s="51"/>
      <c r="M4" s="54"/>
    </row>
    <row r="5" spans="1:13">
      <c r="A5" s="34" t="s">
        <v>1</v>
      </c>
      <c r="B5" s="51">
        <f>AVERAGE(Sheet2!C10:C13)</f>
        <v>-3474.1022499999999</v>
      </c>
      <c r="C5" s="51">
        <f>AVERAGE(Sheet2!D10:D13)</f>
        <v>5000</v>
      </c>
      <c r="D5" s="51">
        <f t="shared" ref="D5:D27" si="0">IF(C5+B5&gt;0,0,C5+B5)</f>
        <v>0</v>
      </c>
      <c r="E5" s="52">
        <f>AVERAGE(Sheet2!F10:F13)</f>
        <v>0</v>
      </c>
      <c r="F5" s="53">
        <f>AVERAGE(Sheet2!G10:H13)</f>
        <v>0</v>
      </c>
    </row>
    <row r="6" spans="1:13">
      <c r="A6" s="34" t="s">
        <v>2</v>
      </c>
      <c r="B6" s="51">
        <f>AVERAGE(Sheet2!C14:C17)</f>
        <v>-3982.2407499999999</v>
      </c>
      <c r="C6" s="51">
        <f>AVERAGE(Sheet2!D14:D17)</f>
        <v>5000</v>
      </c>
      <c r="D6" s="51">
        <f t="shared" si="0"/>
        <v>0</v>
      </c>
      <c r="E6" s="52">
        <f>AVERAGE(Sheet2!F14:F17)</f>
        <v>0</v>
      </c>
      <c r="F6" s="53">
        <f>AVERAGE(Sheet2!G14:H17)</f>
        <v>0</v>
      </c>
    </row>
    <row r="7" spans="1:13">
      <c r="A7" s="34" t="s">
        <v>3</v>
      </c>
      <c r="B7" s="51">
        <f>AVERAGE(Sheet2!C18:C21)</f>
        <v>-4136.3209999999999</v>
      </c>
      <c r="C7" s="51">
        <f>AVERAGE(Sheet2!D18:D21)</f>
        <v>5000</v>
      </c>
      <c r="D7" s="51">
        <f t="shared" si="0"/>
        <v>0</v>
      </c>
      <c r="E7" s="52">
        <f>AVERAGE(Sheet2!F18:F21)</f>
        <v>0</v>
      </c>
      <c r="F7" s="53">
        <f>AVERAGE(Sheet2!G18:H21)</f>
        <v>0</v>
      </c>
    </row>
    <row r="8" spans="1:13">
      <c r="A8" s="34" t="s">
        <v>12</v>
      </c>
      <c r="B8" s="51">
        <f>AVERAGE(Sheet2!C22:C25)</f>
        <v>-4413.4632499999998</v>
      </c>
      <c r="C8" s="51">
        <f>AVERAGE(Sheet2!D22:D25)</f>
        <v>5000</v>
      </c>
      <c r="D8" s="51">
        <f t="shared" si="0"/>
        <v>0</v>
      </c>
      <c r="E8" s="52">
        <f>AVERAGE(Sheet2!F22:F25)</f>
        <v>0</v>
      </c>
      <c r="F8" s="53">
        <f>AVERAGE(Sheet2!G22:H25)</f>
        <v>0</v>
      </c>
    </row>
    <row r="9" spans="1:13">
      <c r="A9" s="34" t="s">
        <v>4</v>
      </c>
      <c r="B9" s="51">
        <f>AVERAGE(Sheet2!C26:C29)</f>
        <v>-5170.7337500000003</v>
      </c>
      <c r="C9" s="51">
        <f>AVERAGE(Sheet2!D26:D29)</f>
        <v>5000</v>
      </c>
      <c r="D9" s="51">
        <f t="shared" si="0"/>
        <v>-170.73375000000033</v>
      </c>
      <c r="E9" s="52">
        <f>AVERAGE(Sheet2!F26:F29)</f>
        <v>0</v>
      </c>
      <c r="F9" s="53">
        <f>AVERAGE(Sheet2!G26:H29)</f>
        <v>0</v>
      </c>
    </row>
    <row r="10" spans="1:13">
      <c r="A10" s="34" t="s">
        <v>13</v>
      </c>
      <c r="B10" s="51">
        <f>AVERAGE(Sheet2!C30:C33)</f>
        <v>-5166.9740000000002</v>
      </c>
      <c r="C10" s="51">
        <f>AVERAGE(Sheet2!D30:D33)</f>
        <v>5000</v>
      </c>
      <c r="D10" s="51">
        <f t="shared" si="0"/>
        <v>-166.97400000000016</v>
      </c>
      <c r="E10" s="52">
        <f>AVERAGE(Sheet2!F30:F33)</f>
        <v>0</v>
      </c>
      <c r="F10" s="53">
        <f>AVERAGE(Sheet2!G30:H33)</f>
        <v>0</v>
      </c>
    </row>
    <row r="11" spans="1:13">
      <c r="A11" s="34" t="s">
        <v>5</v>
      </c>
      <c r="B11" s="51">
        <f>AVERAGE(Sheet2!C34:C37)</f>
        <v>-5336.0587500000001</v>
      </c>
      <c r="C11" s="51">
        <f>AVERAGE(Sheet2!D34:D37)</f>
        <v>5000</v>
      </c>
      <c r="D11" s="51">
        <f t="shared" si="0"/>
        <v>-336.05875000000015</v>
      </c>
      <c r="E11" s="52">
        <f>AVERAGE(Sheet2!F34:F37)</f>
        <v>330</v>
      </c>
      <c r="F11" s="53">
        <f>AVERAGE(Sheet2!G34:H37)</f>
        <v>0</v>
      </c>
    </row>
    <row r="12" spans="1:13">
      <c r="A12" s="34" t="s">
        <v>14</v>
      </c>
      <c r="B12" s="51">
        <f>AVERAGE(Sheet2!C38:C41)</f>
        <v>-5322.5309999999999</v>
      </c>
      <c r="C12" s="51">
        <f>AVERAGE(Sheet2!D38:D41)</f>
        <v>5000</v>
      </c>
      <c r="D12" s="51">
        <f t="shared" si="0"/>
        <v>-322.53099999999995</v>
      </c>
      <c r="E12" s="52">
        <f>AVERAGE(Sheet2!F38:F41)</f>
        <v>320</v>
      </c>
      <c r="F12" s="53">
        <f>AVERAGE(Sheet2!G38:H41)</f>
        <v>0</v>
      </c>
    </row>
    <row r="13" spans="1:13">
      <c r="A13" s="34" t="s">
        <v>6</v>
      </c>
      <c r="B13" s="51">
        <f>AVERAGE(Sheet2!C42:C45)</f>
        <v>-5561.3755000000001</v>
      </c>
      <c r="C13" s="51">
        <f>AVERAGE(Sheet2!D42:D45)</f>
        <v>5000</v>
      </c>
      <c r="D13" s="51">
        <f t="shared" si="0"/>
        <v>-561.3755000000001</v>
      </c>
      <c r="E13" s="52">
        <f>AVERAGE(Sheet2!F42:F45)</f>
        <v>560</v>
      </c>
      <c r="F13" s="53">
        <f>AVERAGE(Sheet2!G42:H45)</f>
        <v>0</v>
      </c>
    </row>
    <row r="14" spans="1:13">
      <c r="A14" s="34" t="s">
        <v>15</v>
      </c>
      <c r="B14" s="51">
        <f>AVERAGE(Sheet2!C46:C49)</f>
        <v>-5147.1589999999997</v>
      </c>
      <c r="C14" s="51">
        <f>AVERAGE(Sheet2!D46:D49)</f>
        <v>5000</v>
      </c>
      <c r="D14" s="51">
        <f t="shared" si="0"/>
        <v>-147.15899999999965</v>
      </c>
      <c r="E14" s="52">
        <f>AVERAGE(Sheet2!F46:F49)</f>
        <v>0</v>
      </c>
      <c r="F14" s="53">
        <f>AVERAGE(Sheet2!G46:H49)</f>
        <v>0</v>
      </c>
    </row>
    <row r="15" spans="1:13">
      <c r="A15" s="34" t="s">
        <v>7</v>
      </c>
      <c r="B15" s="51">
        <f>AVERAGE(Sheet2!C50:C53)</f>
        <v>-5157.3762500000003</v>
      </c>
      <c r="C15" s="51">
        <f>AVERAGE(Sheet2!D50:D53)</f>
        <v>5000</v>
      </c>
      <c r="D15" s="51">
        <f t="shared" si="0"/>
        <v>-157.37625000000025</v>
      </c>
      <c r="E15" s="52">
        <f>AVERAGE(Sheet2!F50:F53)</f>
        <v>0</v>
      </c>
      <c r="F15" s="53">
        <f>AVERAGE(Sheet2!G50:H53)</f>
        <v>0</v>
      </c>
    </row>
    <row r="16" spans="1:13">
      <c r="A16" s="34" t="s">
        <v>8</v>
      </c>
      <c r="B16" s="51">
        <f>AVERAGE(Sheet2!C54:C57)</f>
        <v>-4970.4535000000005</v>
      </c>
      <c r="C16" s="51">
        <f>AVERAGE(Sheet2!D54:D57)</f>
        <v>5000</v>
      </c>
      <c r="D16" s="51">
        <f t="shared" si="0"/>
        <v>0</v>
      </c>
      <c r="E16" s="52">
        <f>AVERAGE(Sheet2!F54:F57)</f>
        <v>0</v>
      </c>
      <c r="F16" s="53">
        <f>AVERAGE(Sheet2!G54:H57)</f>
        <v>0</v>
      </c>
    </row>
    <row r="17" spans="1:6">
      <c r="A17" s="34" t="s">
        <v>16</v>
      </c>
      <c r="B17" s="51">
        <f>AVERAGE(Sheet2!C58:C61)</f>
        <v>-5247.7819999999992</v>
      </c>
      <c r="C17" s="51">
        <f>AVERAGE(Sheet2!D58:D61)</f>
        <v>5000</v>
      </c>
      <c r="D17" s="51">
        <f t="shared" si="0"/>
        <v>-247.78199999999924</v>
      </c>
      <c r="E17" s="52">
        <f>AVERAGE(Sheet2!F58:F61)</f>
        <v>240</v>
      </c>
      <c r="F17" s="53">
        <f>AVERAGE(Sheet2!G58:H61)</f>
        <v>0</v>
      </c>
    </row>
    <row r="18" spans="1:6">
      <c r="A18" s="34" t="s">
        <v>9</v>
      </c>
      <c r="B18" s="51">
        <f>AVERAGE(Sheet2!C62:C65)</f>
        <v>-5039.9847499999996</v>
      </c>
      <c r="C18" s="51">
        <f>AVERAGE(Sheet2!D62:D65)</f>
        <v>5000</v>
      </c>
      <c r="D18" s="51">
        <f t="shared" si="0"/>
        <v>-39.984749999999622</v>
      </c>
      <c r="E18" s="52">
        <f>AVERAGE(Sheet2!F62:F65)</f>
        <v>0</v>
      </c>
      <c r="F18" s="53">
        <f>AVERAGE(Sheet2!G62:H65)</f>
        <v>0</v>
      </c>
    </row>
    <row r="19" spans="1:6">
      <c r="A19" s="34" t="s">
        <v>17</v>
      </c>
      <c r="B19" s="51">
        <f>AVERAGE(Sheet2!C66:C69)</f>
        <v>-4603.8587499999994</v>
      </c>
      <c r="C19" s="51">
        <f>AVERAGE(Sheet2!D66:D69)</f>
        <v>5000</v>
      </c>
      <c r="D19" s="51">
        <f t="shared" si="0"/>
        <v>0</v>
      </c>
      <c r="E19" s="52">
        <f>AVERAGE(Sheet2!F66:F69)</f>
        <v>0</v>
      </c>
      <c r="F19" s="53">
        <f>AVERAGE(Sheet2!G66:H69)</f>
        <v>0</v>
      </c>
    </row>
    <row r="20" spans="1:6">
      <c r="A20" s="34" t="s">
        <v>10</v>
      </c>
      <c r="B20" s="51">
        <f>AVERAGE(Sheet2!C70:C73)</f>
        <v>-4276.54475</v>
      </c>
      <c r="C20" s="51">
        <f>AVERAGE(Sheet2!D70:D73)</f>
        <v>5000</v>
      </c>
      <c r="D20" s="51">
        <f t="shared" si="0"/>
        <v>0</v>
      </c>
      <c r="E20" s="52">
        <f>AVERAGE(Sheet2!F70:F73)</f>
        <v>0</v>
      </c>
      <c r="F20" s="53">
        <f>AVERAGE(Sheet2!G70:H73)</f>
        <v>0</v>
      </c>
    </row>
    <row r="21" spans="1:6">
      <c r="A21" s="34" t="s">
        <v>18</v>
      </c>
      <c r="B21" s="51">
        <f>AVERAGE(Sheet2!C74:C77)</f>
        <v>-3669.7455</v>
      </c>
      <c r="C21" s="51">
        <f>AVERAGE(Sheet2!D74:D77)</f>
        <v>5000</v>
      </c>
      <c r="D21" s="51">
        <f t="shared" si="0"/>
        <v>0</v>
      </c>
      <c r="E21" s="52">
        <f>AVERAGE(Sheet2!F74:F77)</f>
        <v>0</v>
      </c>
      <c r="F21" s="53">
        <f>AVERAGE(Sheet2!G74:H77)</f>
        <v>0</v>
      </c>
    </row>
    <row r="22" spans="1:6">
      <c r="A22" s="34" t="s">
        <v>11</v>
      </c>
      <c r="B22" s="51">
        <f>AVERAGE(Sheet2!C78:C81)</f>
        <v>-2910.1662500000002</v>
      </c>
      <c r="C22" s="51">
        <f>AVERAGE(Sheet2!D78:D81)</f>
        <v>5000</v>
      </c>
      <c r="D22" s="51">
        <f t="shared" si="0"/>
        <v>0</v>
      </c>
      <c r="E22" s="52">
        <f>AVERAGE(Sheet2!F78:F81)</f>
        <v>0</v>
      </c>
      <c r="F22" s="53">
        <f>AVERAGE(Sheet2!G78:H81)</f>
        <v>0</v>
      </c>
    </row>
    <row r="23" spans="1:6">
      <c r="A23" s="34" t="s">
        <v>19</v>
      </c>
      <c r="B23" s="51">
        <f>AVERAGE(Sheet2!C82:C85)</f>
        <v>-2245.5594999999998</v>
      </c>
      <c r="C23" s="51">
        <f>AVERAGE(Sheet2!D82:D85)</f>
        <v>5000</v>
      </c>
      <c r="D23" s="51">
        <f t="shared" si="0"/>
        <v>0</v>
      </c>
      <c r="E23" s="52">
        <f>AVERAGE(Sheet2!F82:F85)</f>
        <v>0</v>
      </c>
      <c r="F23" s="53">
        <f>AVERAGE(Sheet2!G82:H85)</f>
        <v>0</v>
      </c>
    </row>
    <row r="24" spans="1:6">
      <c r="A24" s="34" t="s">
        <v>20</v>
      </c>
      <c r="B24" s="51">
        <f>AVERAGE(Sheet2!C86:C89)</f>
        <v>-2676.83</v>
      </c>
      <c r="C24" s="51">
        <f>AVERAGE(Sheet2!D86:D89)</f>
        <v>5000</v>
      </c>
      <c r="D24" s="51">
        <f t="shared" si="0"/>
        <v>0</v>
      </c>
      <c r="E24" s="52">
        <f>AVERAGE(Sheet2!F86:F89)</f>
        <v>0</v>
      </c>
      <c r="F24" s="53">
        <f>AVERAGE(Sheet2!G86:H89)</f>
        <v>0</v>
      </c>
    </row>
    <row r="25" spans="1:6">
      <c r="A25" s="34" t="s">
        <v>21</v>
      </c>
      <c r="B25" s="51">
        <f>AVERAGE(Sheet2!C90:C93)</f>
        <v>-3014.1655000000001</v>
      </c>
      <c r="C25" s="51">
        <f>AVERAGE(Sheet2!D90:D93)</f>
        <v>5000</v>
      </c>
      <c r="D25" s="51">
        <f t="shared" si="0"/>
        <v>0</v>
      </c>
      <c r="E25" s="52">
        <f>AVERAGE(Sheet2!F90:F93)</f>
        <v>0</v>
      </c>
      <c r="F25" s="53">
        <f>AVERAGE(Sheet2!G90:H93)</f>
        <v>0</v>
      </c>
    </row>
    <row r="26" spans="1:6">
      <c r="A26" s="34" t="s">
        <v>22</v>
      </c>
      <c r="B26" s="51">
        <f>AVERAGE(Sheet2!C94:C97)</f>
        <v>-4404.5105000000003</v>
      </c>
      <c r="C26" s="51">
        <f>AVERAGE(Sheet2!D94:D97)</f>
        <v>5000</v>
      </c>
      <c r="D26" s="51">
        <f t="shared" si="0"/>
        <v>0</v>
      </c>
      <c r="E26" s="52">
        <f>AVERAGE(Sheet2!F94:F97)</f>
        <v>0</v>
      </c>
      <c r="F26" s="53">
        <f>AVERAGE(Sheet2!G94:H97)</f>
        <v>0</v>
      </c>
    </row>
    <row r="27" spans="1:6">
      <c r="A27" s="34" t="s">
        <v>23</v>
      </c>
      <c r="B27" s="51">
        <f>AVERAGE(Sheet2!C98:C101)</f>
        <v>-5130.5617499999998</v>
      </c>
      <c r="C27" s="51">
        <f>AVERAGE(Sheet2!D98:D101)</f>
        <v>5000</v>
      </c>
      <c r="D27" s="51">
        <f t="shared" si="0"/>
        <v>-130.56174999999985</v>
      </c>
      <c r="E27" s="52">
        <f>AVERAGE(Sheet2!F98:F101)</f>
        <v>0</v>
      </c>
      <c r="F27" s="53">
        <f>AVERAGE(Sheet2!G98:H101)</f>
        <v>0</v>
      </c>
    </row>
  </sheetData>
  <sheetProtection sheet="1" objects="1" scenarios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01"/>
  <sheetViews>
    <sheetView workbookViewId="0">
      <selection sqref="A1:I101"/>
    </sheetView>
  </sheetViews>
  <sheetFormatPr defaultRowHeight="15"/>
  <cols>
    <col min="1" max="2" width="6.140625" bestFit="1" customWidth="1"/>
    <col min="3" max="3" width="13.42578125" bestFit="1" customWidth="1"/>
    <col min="4" max="4" width="13.28515625" bestFit="1" customWidth="1"/>
    <col min="5" max="5" width="10.28515625" bestFit="1" customWidth="1"/>
    <col min="6" max="6" width="21.42578125" bestFit="1" customWidth="1"/>
    <col min="7" max="7" width="6.140625" bestFit="1" customWidth="1"/>
    <col min="9" max="9" width="16.28515625" bestFit="1" customWidth="1"/>
  </cols>
  <sheetData>
    <row r="1" spans="1:9" ht="15.75" thickBot="1">
      <c r="C1" s="38" t="s">
        <v>43</v>
      </c>
      <c r="D1" s="39"/>
      <c r="E1" s="39"/>
      <c r="F1" s="39"/>
      <c r="G1" s="39"/>
      <c r="H1" s="39"/>
      <c r="I1" s="40"/>
    </row>
    <row r="2" spans="1:9">
      <c r="C2" s="41" t="s">
        <v>25</v>
      </c>
      <c r="D2" s="42" t="s">
        <v>26</v>
      </c>
      <c r="E2" s="43" t="s">
        <v>27</v>
      </c>
      <c r="F2" s="44" t="s">
        <v>28</v>
      </c>
      <c r="G2" s="45" t="s">
        <v>29</v>
      </c>
      <c r="H2" s="45"/>
      <c r="I2" s="46" t="s">
        <v>30</v>
      </c>
    </row>
    <row r="3" spans="1:9" ht="15.75" thickBot="1">
      <c r="C3" s="47"/>
      <c r="D3" s="47"/>
      <c r="E3" s="48"/>
      <c r="F3" s="47"/>
      <c r="G3" s="1" t="s">
        <v>31</v>
      </c>
      <c r="H3" s="2" t="s">
        <v>32</v>
      </c>
      <c r="I3" s="47"/>
    </row>
    <row r="4" spans="1:9" ht="15.75" thickBot="1">
      <c r="C4" s="3" t="s">
        <v>44</v>
      </c>
      <c r="D4" s="4" t="s">
        <v>45</v>
      </c>
      <c r="E4" s="5" t="s">
        <v>46</v>
      </c>
      <c r="F4" s="6"/>
      <c r="G4" s="49" t="s">
        <v>33</v>
      </c>
      <c r="H4" s="50"/>
      <c r="I4" s="7" t="s">
        <v>34</v>
      </c>
    </row>
    <row r="5" spans="1:9" ht="15.75" thickBot="1">
      <c r="A5" s="8" t="s">
        <v>35</v>
      </c>
      <c r="B5" s="9" t="s">
        <v>36</v>
      </c>
      <c r="C5" s="10" t="s">
        <v>37</v>
      </c>
      <c r="D5" s="10" t="s">
        <v>37</v>
      </c>
      <c r="E5" s="10" t="s">
        <v>37</v>
      </c>
      <c r="F5" s="11" t="s">
        <v>37</v>
      </c>
      <c r="G5" s="11" t="s">
        <v>37</v>
      </c>
      <c r="H5" s="11" t="s">
        <v>37</v>
      </c>
      <c r="I5" s="11" t="s">
        <v>37</v>
      </c>
    </row>
    <row r="6" spans="1:9">
      <c r="A6" s="12">
        <v>0</v>
      </c>
      <c r="B6" s="13">
        <v>1.0416666666666666E-2</v>
      </c>
      <c r="C6" s="14">
        <v>-3897.1469999999999</v>
      </c>
      <c r="D6" s="15">
        <v>5000</v>
      </c>
      <c r="E6" s="15">
        <v>-1102.8530000000001</v>
      </c>
      <c r="F6" s="16">
        <v>0</v>
      </c>
      <c r="G6" s="17">
        <v>0</v>
      </c>
      <c r="H6" s="17">
        <v>0</v>
      </c>
      <c r="I6" s="18"/>
    </row>
    <row r="7" spans="1:9">
      <c r="A7" s="12">
        <v>1.0416666666666666E-2</v>
      </c>
      <c r="B7" s="13">
        <v>2.0833333333333332E-2</v>
      </c>
      <c r="C7" s="14">
        <v>-3985.873</v>
      </c>
      <c r="D7" s="15">
        <v>5000</v>
      </c>
      <c r="E7" s="15">
        <v>-1014.127</v>
      </c>
      <c r="F7" s="16">
        <v>0</v>
      </c>
      <c r="G7" s="17">
        <v>0</v>
      </c>
      <c r="H7" s="17">
        <v>0</v>
      </c>
      <c r="I7" s="19"/>
    </row>
    <row r="8" spans="1:9">
      <c r="A8" s="12">
        <v>2.0833333333333332E-2</v>
      </c>
      <c r="B8" s="13">
        <v>3.125E-2</v>
      </c>
      <c r="C8" s="14">
        <v>-4068.855</v>
      </c>
      <c r="D8" s="15">
        <v>5000</v>
      </c>
      <c r="E8" s="15">
        <v>-931.14499999999998</v>
      </c>
      <c r="F8" s="16">
        <v>0</v>
      </c>
      <c r="G8" s="17">
        <v>0</v>
      </c>
      <c r="H8" s="17">
        <v>0</v>
      </c>
      <c r="I8" s="19"/>
    </row>
    <row r="9" spans="1:9">
      <c r="A9" s="20">
        <v>3.125E-2</v>
      </c>
      <c r="B9" s="21">
        <v>4.1666666666666664E-2</v>
      </c>
      <c r="C9" s="22">
        <v>-4150.8360000000002</v>
      </c>
      <c r="D9" s="23">
        <v>5000</v>
      </c>
      <c r="E9" s="23">
        <v>-849.16399999999999</v>
      </c>
      <c r="F9" s="24">
        <v>0</v>
      </c>
      <c r="G9" s="25">
        <v>0</v>
      </c>
      <c r="H9" s="25">
        <v>0</v>
      </c>
      <c r="I9" s="26"/>
    </row>
    <row r="10" spans="1:9">
      <c r="A10" s="12">
        <v>4.1666666666666664E-2</v>
      </c>
      <c r="B10" s="13">
        <v>5.2083333333333336E-2</v>
      </c>
      <c r="C10" s="14">
        <v>-3340.7339999999999</v>
      </c>
      <c r="D10" s="15">
        <v>5000</v>
      </c>
      <c r="E10" s="15">
        <v>-1659.2660000000001</v>
      </c>
      <c r="F10" s="16">
        <v>0</v>
      </c>
      <c r="G10" s="17">
        <v>0</v>
      </c>
      <c r="H10" s="17">
        <v>0</v>
      </c>
      <c r="I10" s="19"/>
    </row>
    <row r="11" spans="1:9">
      <c r="A11" s="12">
        <v>5.2083333333333336E-2</v>
      </c>
      <c r="B11" s="13">
        <v>6.25E-2</v>
      </c>
      <c r="C11" s="14">
        <v>-3442.4270000000001</v>
      </c>
      <c r="D11" s="15">
        <v>5000</v>
      </c>
      <c r="E11" s="15">
        <v>-1557.5730000000001</v>
      </c>
      <c r="F11" s="16">
        <v>0</v>
      </c>
      <c r="G11" s="17">
        <v>0</v>
      </c>
      <c r="H11" s="17">
        <v>0</v>
      </c>
      <c r="I11" s="19"/>
    </row>
    <row r="12" spans="1:9">
      <c r="A12" s="12">
        <v>6.25E-2</v>
      </c>
      <c r="B12" s="13">
        <v>7.2916666666666671E-2</v>
      </c>
      <c r="C12" s="14">
        <v>-3526.7890000000002</v>
      </c>
      <c r="D12" s="15">
        <v>5000</v>
      </c>
      <c r="E12" s="15">
        <v>-1473.211</v>
      </c>
      <c r="F12" s="16">
        <v>0</v>
      </c>
      <c r="G12" s="17">
        <v>0</v>
      </c>
      <c r="H12" s="17">
        <v>0</v>
      </c>
      <c r="I12" s="19"/>
    </row>
    <row r="13" spans="1:9">
      <c r="A13" s="20">
        <v>7.2916666666666671E-2</v>
      </c>
      <c r="B13" s="21">
        <v>8.3333333333333329E-2</v>
      </c>
      <c r="C13" s="22">
        <v>-3586.4589999999998</v>
      </c>
      <c r="D13" s="23">
        <v>5000</v>
      </c>
      <c r="E13" s="23">
        <v>-1413.5409999999999</v>
      </c>
      <c r="F13" s="24">
        <v>0</v>
      </c>
      <c r="G13" s="25">
        <v>0</v>
      </c>
      <c r="H13" s="25">
        <v>0</v>
      </c>
      <c r="I13" s="26"/>
    </row>
    <row r="14" spans="1:9">
      <c r="A14" s="12">
        <v>8.3333333333333329E-2</v>
      </c>
      <c r="B14" s="13">
        <v>9.375E-2</v>
      </c>
      <c r="C14" s="14">
        <v>-3911.9760000000001</v>
      </c>
      <c r="D14" s="15">
        <v>5000</v>
      </c>
      <c r="E14" s="15">
        <v>-1088.0239999999999</v>
      </c>
      <c r="F14" s="16">
        <v>0</v>
      </c>
      <c r="G14" s="17">
        <v>0</v>
      </c>
      <c r="H14" s="17">
        <v>0</v>
      </c>
      <c r="I14" s="19"/>
    </row>
    <row r="15" spans="1:9">
      <c r="A15" s="12">
        <v>9.375E-2</v>
      </c>
      <c r="B15" s="13">
        <v>0.10416666666666667</v>
      </c>
      <c r="C15" s="14">
        <v>-3970.5149999999999</v>
      </c>
      <c r="D15" s="15">
        <v>5000</v>
      </c>
      <c r="E15" s="15">
        <v>-1029.4849999999999</v>
      </c>
      <c r="F15" s="16">
        <v>0</v>
      </c>
      <c r="G15" s="17">
        <v>0</v>
      </c>
      <c r="H15" s="17">
        <v>0</v>
      </c>
      <c r="I15" s="19"/>
    </row>
    <row r="16" spans="1:9">
      <c r="A16" s="12">
        <v>0.10416666666666667</v>
      </c>
      <c r="B16" s="13">
        <v>0.11458333333333333</v>
      </c>
      <c r="C16" s="14">
        <v>-3997.076</v>
      </c>
      <c r="D16" s="15">
        <v>5000</v>
      </c>
      <c r="E16" s="15">
        <v>-1002.924</v>
      </c>
      <c r="F16" s="16">
        <v>0</v>
      </c>
      <c r="G16" s="17">
        <v>0</v>
      </c>
      <c r="H16" s="17">
        <v>0</v>
      </c>
      <c r="I16" s="19"/>
    </row>
    <row r="17" spans="1:9">
      <c r="A17" s="20">
        <v>0.11458333333333333</v>
      </c>
      <c r="B17" s="21">
        <v>0.125</v>
      </c>
      <c r="C17" s="22">
        <v>-4049.3960000000002</v>
      </c>
      <c r="D17" s="23">
        <v>5000</v>
      </c>
      <c r="E17" s="23">
        <v>-950.60400000000004</v>
      </c>
      <c r="F17" s="24">
        <v>0</v>
      </c>
      <c r="G17" s="25">
        <v>0</v>
      </c>
      <c r="H17" s="25">
        <v>0</v>
      </c>
      <c r="I17" s="26"/>
    </row>
    <row r="18" spans="1:9">
      <c r="A18" s="12">
        <v>0.125</v>
      </c>
      <c r="B18" s="13">
        <v>0.13541666666666666</v>
      </c>
      <c r="C18" s="14">
        <v>-4060.7280000000001</v>
      </c>
      <c r="D18" s="15">
        <v>5000</v>
      </c>
      <c r="E18" s="15">
        <v>-939.27200000000005</v>
      </c>
      <c r="F18" s="16">
        <v>0</v>
      </c>
      <c r="G18" s="17">
        <v>0</v>
      </c>
      <c r="H18" s="17">
        <v>0</v>
      </c>
      <c r="I18" s="19"/>
    </row>
    <row r="19" spans="1:9">
      <c r="A19" s="12">
        <v>0.13541666666666666</v>
      </c>
      <c r="B19" s="13">
        <v>0.14583333333333334</v>
      </c>
      <c r="C19" s="14">
        <v>-4110.4179999999997</v>
      </c>
      <c r="D19" s="15">
        <v>5000</v>
      </c>
      <c r="E19" s="15">
        <v>-889.58199999999999</v>
      </c>
      <c r="F19" s="16">
        <v>0</v>
      </c>
      <c r="G19" s="17">
        <v>0</v>
      </c>
      <c r="H19" s="17">
        <v>0</v>
      </c>
      <c r="I19" s="19"/>
    </row>
    <row r="20" spans="1:9">
      <c r="A20" s="12">
        <v>0.14583333333333334</v>
      </c>
      <c r="B20" s="13">
        <v>0.15625</v>
      </c>
      <c r="C20" s="14">
        <v>-4164.7209999999995</v>
      </c>
      <c r="D20" s="15">
        <v>5000</v>
      </c>
      <c r="E20" s="15">
        <v>-835.279</v>
      </c>
      <c r="F20" s="16">
        <v>0</v>
      </c>
      <c r="G20" s="17">
        <v>0</v>
      </c>
      <c r="H20" s="17">
        <v>0</v>
      </c>
      <c r="I20" s="19"/>
    </row>
    <row r="21" spans="1:9">
      <c r="A21" s="20">
        <v>0.15625</v>
      </c>
      <c r="B21" s="21">
        <v>0.16666666666666666</v>
      </c>
      <c r="C21" s="22">
        <v>-4209.4170000000004</v>
      </c>
      <c r="D21" s="23">
        <v>5000</v>
      </c>
      <c r="E21" s="23">
        <v>-790.58299999999997</v>
      </c>
      <c r="F21" s="24">
        <v>0</v>
      </c>
      <c r="G21" s="25">
        <v>0</v>
      </c>
      <c r="H21" s="25">
        <v>0</v>
      </c>
      <c r="I21" s="26"/>
    </row>
    <row r="22" spans="1:9">
      <c r="A22" s="12">
        <v>0.16666666666666666</v>
      </c>
      <c r="B22" s="13">
        <v>0.17708333333333334</v>
      </c>
      <c r="C22" s="14">
        <v>-4414.4489999999996</v>
      </c>
      <c r="D22" s="15">
        <v>5000</v>
      </c>
      <c r="E22" s="15">
        <v>-585.55100000000004</v>
      </c>
      <c r="F22" s="16">
        <v>0</v>
      </c>
      <c r="G22" s="17">
        <v>0</v>
      </c>
      <c r="H22" s="17">
        <v>0</v>
      </c>
      <c r="I22" s="19"/>
    </row>
    <row r="23" spans="1:9">
      <c r="A23" s="12">
        <v>0.17708333333333334</v>
      </c>
      <c r="B23" s="13">
        <v>0.1875</v>
      </c>
      <c r="C23" s="14">
        <v>-4410.82</v>
      </c>
      <c r="D23" s="15">
        <v>5000</v>
      </c>
      <c r="E23" s="15">
        <v>-589.17999999999995</v>
      </c>
      <c r="F23" s="16">
        <v>0</v>
      </c>
      <c r="G23" s="17">
        <v>0</v>
      </c>
      <c r="H23" s="17">
        <v>0</v>
      </c>
      <c r="I23" s="19"/>
    </row>
    <row r="24" spans="1:9">
      <c r="A24" s="12">
        <v>0.1875</v>
      </c>
      <c r="B24" s="13">
        <v>0.19791666666666666</v>
      </c>
      <c r="C24" s="14">
        <v>-4412.6019999999999</v>
      </c>
      <c r="D24" s="15">
        <v>5000</v>
      </c>
      <c r="E24" s="15">
        <v>-587.39800000000002</v>
      </c>
      <c r="F24" s="16">
        <v>0</v>
      </c>
      <c r="G24" s="17">
        <v>0</v>
      </c>
      <c r="H24" s="17">
        <v>0</v>
      </c>
      <c r="I24" s="19"/>
    </row>
    <row r="25" spans="1:9">
      <c r="A25" s="20">
        <v>0.19791666666666666</v>
      </c>
      <c r="B25" s="21">
        <v>0.20833333333333334</v>
      </c>
      <c r="C25" s="22">
        <v>-4415.982</v>
      </c>
      <c r="D25" s="23">
        <v>5000</v>
      </c>
      <c r="E25" s="23">
        <v>-584.01800000000003</v>
      </c>
      <c r="F25" s="24">
        <v>0</v>
      </c>
      <c r="G25" s="25">
        <v>0</v>
      </c>
      <c r="H25" s="25">
        <v>0</v>
      </c>
      <c r="I25" s="26"/>
    </row>
    <row r="26" spans="1:9">
      <c r="A26" s="12">
        <v>0.20833333333333334</v>
      </c>
      <c r="B26" s="13">
        <v>0.21875</v>
      </c>
      <c r="C26" s="14">
        <v>-5238.1949999999997</v>
      </c>
      <c r="D26" s="15">
        <v>5000</v>
      </c>
      <c r="E26" s="15">
        <v>238.19499999999999</v>
      </c>
      <c r="F26" s="16">
        <v>0</v>
      </c>
      <c r="G26" s="17">
        <v>0</v>
      </c>
      <c r="H26" s="17">
        <v>0</v>
      </c>
      <c r="I26" s="19"/>
    </row>
    <row r="27" spans="1:9">
      <c r="A27" s="12">
        <v>0.21875</v>
      </c>
      <c r="B27" s="13">
        <v>0.22916666666666666</v>
      </c>
      <c r="C27" s="14">
        <v>-5203.576</v>
      </c>
      <c r="D27" s="15">
        <v>5000</v>
      </c>
      <c r="E27" s="15">
        <v>203.57599999999999</v>
      </c>
      <c r="F27" s="16">
        <v>0</v>
      </c>
      <c r="G27" s="17">
        <v>0</v>
      </c>
      <c r="H27" s="17">
        <v>0</v>
      </c>
      <c r="I27" s="19"/>
    </row>
    <row r="28" spans="1:9">
      <c r="A28" s="12">
        <v>0.22916666666666666</v>
      </c>
      <c r="B28" s="13">
        <v>0.23958333333333334</v>
      </c>
      <c r="C28" s="14">
        <v>-5121.9470000000001</v>
      </c>
      <c r="D28" s="15">
        <v>5000</v>
      </c>
      <c r="E28" s="15">
        <v>121.947</v>
      </c>
      <c r="F28" s="16">
        <v>0</v>
      </c>
      <c r="G28" s="17">
        <v>0</v>
      </c>
      <c r="H28" s="17">
        <v>0</v>
      </c>
      <c r="I28" s="19"/>
    </row>
    <row r="29" spans="1:9" ht="15.75" thickBot="1">
      <c r="A29" s="27">
        <v>0.23958333333333334</v>
      </c>
      <c r="B29" s="28">
        <v>0.25</v>
      </c>
      <c r="C29" s="29">
        <v>-5119.2169999999996</v>
      </c>
      <c r="D29" s="30">
        <v>5000</v>
      </c>
      <c r="E29" s="30">
        <v>119.217</v>
      </c>
      <c r="F29" s="31">
        <v>0</v>
      </c>
      <c r="G29" s="32">
        <v>0</v>
      </c>
      <c r="H29" s="32">
        <v>0</v>
      </c>
      <c r="I29" s="33"/>
    </row>
    <row r="30" spans="1:9">
      <c r="A30" s="12">
        <v>0.25</v>
      </c>
      <c r="B30" s="13">
        <v>0.26041666666666669</v>
      </c>
      <c r="C30" s="14">
        <v>-5265.41</v>
      </c>
      <c r="D30" s="15">
        <v>5000</v>
      </c>
      <c r="E30" s="15">
        <v>265.41000000000003</v>
      </c>
      <c r="F30" s="16">
        <v>0</v>
      </c>
      <c r="G30" s="17">
        <v>0</v>
      </c>
      <c r="H30" s="17">
        <v>0</v>
      </c>
      <c r="I30" s="19"/>
    </row>
    <row r="31" spans="1:9">
      <c r="A31" s="12">
        <v>0.26041666666666669</v>
      </c>
      <c r="B31" s="13">
        <v>0.27083333333333331</v>
      </c>
      <c r="C31" s="14">
        <v>-5202.665</v>
      </c>
      <c r="D31" s="15">
        <v>5000</v>
      </c>
      <c r="E31" s="15">
        <v>202.66499999999999</v>
      </c>
      <c r="F31" s="16">
        <v>0</v>
      </c>
      <c r="G31" s="17">
        <v>0</v>
      </c>
      <c r="H31" s="17">
        <v>0</v>
      </c>
      <c r="I31" s="19"/>
    </row>
    <row r="32" spans="1:9">
      <c r="A32" s="12">
        <v>0.27083333333333331</v>
      </c>
      <c r="B32" s="13">
        <v>0.28125</v>
      </c>
      <c r="C32" s="14">
        <v>-5137.9750000000004</v>
      </c>
      <c r="D32" s="15">
        <v>5000</v>
      </c>
      <c r="E32" s="15">
        <v>137.97499999999999</v>
      </c>
      <c r="F32" s="16">
        <v>0</v>
      </c>
      <c r="G32" s="17">
        <v>0</v>
      </c>
      <c r="H32" s="17">
        <v>0</v>
      </c>
      <c r="I32" s="19"/>
    </row>
    <row r="33" spans="1:9">
      <c r="A33" s="20">
        <v>0.28125</v>
      </c>
      <c r="B33" s="21">
        <v>0.29166666666666669</v>
      </c>
      <c r="C33" s="22">
        <v>-5061.8459999999995</v>
      </c>
      <c r="D33" s="23">
        <v>5000</v>
      </c>
      <c r="E33" s="23">
        <v>61.845999999999997</v>
      </c>
      <c r="F33" s="24">
        <v>0</v>
      </c>
      <c r="G33" s="25">
        <v>0</v>
      </c>
      <c r="H33" s="25">
        <v>0</v>
      </c>
      <c r="I33" s="26"/>
    </row>
    <row r="34" spans="1:9">
      <c r="A34" s="12">
        <v>0.29166666666666669</v>
      </c>
      <c r="B34" s="13">
        <v>0.30208333333333331</v>
      </c>
      <c r="C34" s="14">
        <v>-5423.71</v>
      </c>
      <c r="D34" s="15">
        <v>5000</v>
      </c>
      <c r="E34" s="15">
        <v>423.71</v>
      </c>
      <c r="F34" s="16">
        <v>330</v>
      </c>
      <c r="G34" s="17">
        <v>0</v>
      </c>
      <c r="H34" s="17">
        <v>0</v>
      </c>
      <c r="I34" s="19"/>
    </row>
    <row r="35" spans="1:9">
      <c r="A35" s="12">
        <v>0.30208333333333331</v>
      </c>
      <c r="B35" s="13">
        <v>0.3125</v>
      </c>
      <c r="C35" s="14">
        <v>-5376.4179999999997</v>
      </c>
      <c r="D35" s="15">
        <v>5000</v>
      </c>
      <c r="E35" s="15">
        <v>376.41800000000001</v>
      </c>
      <c r="F35" s="16">
        <v>330</v>
      </c>
      <c r="G35" s="17">
        <v>0</v>
      </c>
      <c r="H35" s="17">
        <v>0</v>
      </c>
      <c r="I35" s="19"/>
    </row>
    <row r="36" spans="1:9">
      <c r="A36" s="12">
        <v>0.3125</v>
      </c>
      <c r="B36" s="13">
        <v>0.32291666666666669</v>
      </c>
      <c r="C36" s="14">
        <v>-5298.1660000000002</v>
      </c>
      <c r="D36" s="15">
        <v>5000</v>
      </c>
      <c r="E36" s="15">
        <v>298.166</v>
      </c>
      <c r="F36" s="16">
        <v>330</v>
      </c>
      <c r="G36" s="17">
        <v>0</v>
      </c>
      <c r="H36" s="17">
        <v>0</v>
      </c>
      <c r="I36" s="19"/>
    </row>
    <row r="37" spans="1:9">
      <c r="A37" s="20">
        <v>0.32291666666666669</v>
      </c>
      <c r="B37" s="21">
        <v>0.33333333333333331</v>
      </c>
      <c r="C37" s="22">
        <v>-5245.9409999999998</v>
      </c>
      <c r="D37" s="23">
        <v>5000</v>
      </c>
      <c r="E37" s="23">
        <v>245.941</v>
      </c>
      <c r="F37" s="24">
        <v>330</v>
      </c>
      <c r="G37" s="25">
        <v>0</v>
      </c>
      <c r="H37" s="25">
        <v>0</v>
      </c>
      <c r="I37" s="26"/>
    </row>
    <row r="38" spans="1:9">
      <c r="A38" s="12">
        <v>0.33333333333333331</v>
      </c>
      <c r="B38" s="13">
        <v>0.34375</v>
      </c>
      <c r="C38" s="14">
        <v>-5351.3370000000004</v>
      </c>
      <c r="D38" s="15">
        <v>5000</v>
      </c>
      <c r="E38" s="15">
        <v>351.33699999999999</v>
      </c>
      <c r="F38" s="16">
        <v>320</v>
      </c>
      <c r="G38" s="17">
        <v>0</v>
      </c>
      <c r="H38" s="17">
        <v>0</v>
      </c>
      <c r="I38" s="19"/>
    </row>
    <row r="39" spans="1:9">
      <c r="A39" s="12">
        <v>0.34375</v>
      </c>
      <c r="B39" s="13">
        <v>0.35416666666666669</v>
      </c>
      <c r="C39" s="14">
        <v>-5319.7079999999996</v>
      </c>
      <c r="D39" s="15">
        <v>5000</v>
      </c>
      <c r="E39" s="15">
        <v>319.70800000000003</v>
      </c>
      <c r="F39" s="16">
        <v>320</v>
      </c>
      <c r="G39" s="17">
        <v>0</v>
      </c>
      <c r="H39" s="17">
        <v>0</v>
      </c>
      <c r="I39" s="19"/>
    </row>
    <row r="40" spans="1:9">
      <c r="A40" s="12">
        <v>0.35416666666666669</v>
      </c>
      <c r="B40" s="13">
        <v>0.36458333333333331</v>
      </c>
      <c r="C40" s="14">
        <v>-5312.2939999999999</v>
      </c>
      <c r="D40" s="15">
        <v>5000</v>
      </c>
      <c r="E40" s="15">
        <v>312.29399999999998</v>
      </c>
      <c r="F40" s="16">
        <v>320</v>
      </c>
      <c r="G40" s="17">
        <v>0</v>
      </c>
      <c r="H40" s="17">
        <v>0</v>
      </c>
      <c r="I40" s="19"/>
    </row>
    <row r="41" spans="1:9">
      <c r="A41" s="20">
        <v>0.36458333333333331</v>
      </c>
      <c r="B41" s="21">
        <v>0.375</v>
      </c>
      <c r="C41" s="22">
        <v>-5306.7849999999999</v>
      </c>
      <c r="D41" s="23">
        <v>5000</v>
      </c>
      <c r="E41" s="23">
        <v>306.78500000000003</v>
      </c>
      <c r="F41" s="24">
        <v>320</v>
      </c>
      <c r="G41" s="25">
        <v>0</v>
      </c>
      <c r="H41" s="25">
        <v>0</v>
      </c>
      <c r="I41" s="26"/>
    </row>
    <row r="42" spans="1:9">
      <c r="A42" s="12">
        <v>0.375</v>
      </c>
      <c r="B42" s="13">
        <v>0.38541666666666669</v>
      </c>
      <c r="C42" s="14">
        <v>-5589.03</v>
      </c>
      <c r="D42" s="15">
        <v>5000</v>
      </c>
      <c r="E42" s="15">
        <v>589.03</v>
      </c>
      <c r="F42" s="16">
        <v>560</v>
      </c>
      <c r="G42" s="17">
        <v>0</v>
      </c>
      <c r="H42" s="17">
        <v>0</v>
      </c>
      <c r="I42" s="19"/>
    </row>
    <row r="43" spans="1:9">
      <c r="A43" s="12">
        <v>0.38541666666666669</v>
      </c>
      <c r="B43" s="13">
        <v>0.39583333333333331</v>
      </c>
      <c r="C43" s="14">
        <v>-5581.5039999999999</v>
      </c>
      <c r="D43" s="15">
        <v>5000</v>
      </c>
      <c r="E43" s="15">
        <v>581.50400000000002</v>
      </c>
      <c r="F43" s="16">
        <v>560</v>
      </c>
      <c r="G43" s="17">
        <v>0</v>
      </c>
      <c r="H43" s="17">
        <v>0</v>
      </c>
      <c r="I43" s="19"/>
    </row>
    <row r="44" spans="1:9">
      <c r="A44" s="12">
        <v>0.39583333333333331</v>
      </c>
      <c r="B44" s="13">
        <v>0.40625</v>
      </c>
      <c r="C44" s="14">
        <v>-5541.9949999999999</v>
      </c>
      <c r="D44" s="15">
        <v>5000</v>
      </c>
      <c r="E44" s="15">
        <v>541.995</v>
      </c>
      <c r="F44" s="16">
        <v>560</v>
      </c>
      <c r="G44" s="17">
        <v>0</v>
      </c>
      <c r="H44" s="17">
        <v>0</v>
      </c>
      <c r="I44" s="19"/>
    </row>
    <row r="45" spans="1:9">
      <c r="A45" s="20">
        <v>0.40625</v>
      </c>
      <c r="B45" s="21">
        <v>0.41666666666666669</v>
      </c>
      <c r="C45" s="22">
        <v>-5532.973</v>
      </c>
      <c r="D45" s="23">
        <v>5000</v>
      </c>
      <c r="E45" s="23">
        <v>532.97299999999996</v>
      </c>
      <c r="F45" s="24">
        <v>560</v>
      </c>
      <c r="G45" s="25">
        <v>0</v>
      </c>
      <c r="H45" s="25">
        <v>0</v>
      </c>
      <c r="I45" s="26"/>
    </row>
    <row r="46" spans="1:9">
      <c r="A46" s="12">
        <v>0.41666666666666669</v>
      </c>
      <c r="B46" s="13">
        <v>0.42708333333333331</v>
      </c>
      <c r="C46" s="14">
        <v>-5207.5959999999995</v>
      </c>
      <c r="D46" s="15">
        <v>5000</v>
      </c>
      <c r="E46" s="15">
        <v>207.596</v>
      </c>
      <c r="F46" s="16">
        <v>0</v>
      </c>
      <c r="G46" s="17">
        <v>0</v>
      </c>
      <c r="H46" s="17">
        <v>0</v>
      </c>
      <c r="I46" s="19"/>
    </row>
    <row r="47" spans="1:9">
      <c r="A47" s="12">
        <v>0.42708333333333331</v>
      </c>
      <c r="B47" s="13">
        <v>0.4375</v>
      </c>
      <c r="C47" s="14">
        <v>-5175.8620000000001</v>
      </c>
      <c r="D47" s="15">
        <v>5000</v>
      </c>
      <c r="E47" s="15">
        <v>175.86199999999999</v>
      </c>
      <c r="F47" s="16">
        <v>0</v>
      </c>
      <c r="G47" s="17">
        <v>0</v>
      </c>
      <c r="H47" s="17">
        <v>0</v>
      </c>
      <c r="I47" s="19"/>
    </row>
    <row r="48" spans="1:9">
      <c r="A48" s="12">
        <v>0.4375</v>
      </c>
      <c r="B48" s="13">
        <v>0.44791666666666669</v>
      </c>
      <c r="C48" s="14">
        <v>-5126.34</v>
      </c>
      <c r="D48" s="15">
        <v>5000</v>
      </c>
      <c r="E48" s="15">
        <v>126.34</v>
      </c>
      <c r="F48" s="16">
        <v>0</v>
      </c>
      <c r="G48" s="17">
        <v>0</v>
      </c>
      <c r="H48" s="17">
        <v>0</v>
      </c>
      <c r="I48" s="19"/>
    </row>
    <row r="49" spans="1:9">
      <c r="A49" s="20">
        <v>0.44791666666666669</v>
      </c>
      <c r="B49" s="21">
        <v>0.45833333333333331</v>
      </c>
      <c r="C49" s="22">
        <v>-5078.8379999999997</v>
      </c>
      <c r="D49" s="23">
        <v>5000</v>
      </c>
      <c r="E49" s="23">
        <v>78.837999999999994</v>
      </c>
      <c r="F49" s="24">
        <v>0</v>
      </c>
      <c r="G49" s="25">
        <v>0</v>
      </c>
      <c r="H49" s="25">
        <v>0</v>
      </c>
      <c r="I49" s="26"/>
    </row>
    <row r="50" spans="1:9">
      <c r="A50" s="12">
        <v>0.45833333333333331</v>
      </c>
      <c r="B50" s="13">
        <v>0.46875</v>
      </c>
      <c r="C50" s="14">
        <v>-5230.9849999999997</v>
      </c>
      <c r="D50" s="15">
        <v>5000</v>
      </c>
      <c r="E50" s="15">
        <v>230.98500000000001</v>
      </c>
      <c r="F50" s="16">
        <v>0</v>
      </c>
      <c r="G50" s="17">
        <v>0</v>
      </c>
      <c r="H50" s="17">
        <v>0</v>
      </c>
      <c r="I50" s="19"/>
    </row>
    <row r="51" spans="1:9">
      <c r="A51" s="12">
        <v>0.46875</v>
      </c>
      <c r="B51" s="13">
        <v>0.47916666666666669</v>
      </c>
      <c r="C51" s="14">
        <v>-5153.8580000000002</v>
      </c>
      <c r="D51" s="15">
        <v>5000</v>
      </c>
      <c r="E51" s="15">
        <v>153.858</v>
      </c>
      <c r="F51" s="16">
        <v>0</v>
      </c>
      <c r="G51" s="17">
        <v>0</v>
      </c>
      <c r="H51" s="17">
        <v>0</v>
      </c>
      <c r="I51" s="19"/>
    </row>
    <row r="52" spans="1:9">
      <c r="A52" s="12">
        <v>0.47916666666666669</v>
      </c>
      <c r="B52" s="13">
        <v>0.48958333333333331</v>
      </c>
      <c r="C52" s="14">
        <v>-5120.0360000000001</v>
      </c>
      <c r="D52" s="15">
        <v>5000</v>
      </c>
      <c r="E52" s="15">
        <v>120.036</v>
      </c>
      <c r="F52" s="16">
        <v>0</v>
      </c>
      <c r="G52" s="17">
        <v>0</v>
      </c>
      <c r="H52" s="17">
        <v>0</v>
      </c>
      <c r="I52" s="19"/>
    </row>
    <row r="53" spans="1:9" ht="15.75" thickBot="1">
      <c r="A53" s="27">
        <v>0.48958333333333331</v>
      </c>
      <c r="B53" s="28">
        <v>0.5</v>
      </c>
      <c r="C53" s="29">
        <v>-5124.6260000000002</v>
      </c>
      <c r="D53" s="30">
        <v>5000</v>
      </c>
      <c r="E53" s="30">
        <v>124.626</v>
      </c>
      <c r="F53" s="31">
        <v>0</v>
      </c>
      <c r="G53" s="32">
        <v>0</v>
      </c>
      <c r="H53" s="32">
        <v>0</v>
      </c>
      <c r="I53" s="33"/>
    </row>
    <row r="54" spans="1:9">
      <c r="A54" s="12">
        <v>0.5</v>
      </c>
      <c r="B54" s="13">
        <v>0.51041666666666663</v>
      </c>
      <c r="C54" s="14">
        <v>-4945.0079999999998</v>
      </c>
      <c r="D54" s="15">
        <v>5000</v>
      </c>
      <c r="E54" s="15">
        <v>-54.991999999999997</v>
      </c>
      <c r="F54" s="16">
        <v>0</v>
      </c>
      <c r="G54" s="17">
        <v>0</v>
      </c>
      <c r="H54" s="17">
        <v>0</v>
      </c>
      <c r="I54" s="19"/>
    </row>
    <row r="55" spans="1:9">
      <c r="A55" s="12">
        <v>0.51041666666666663</v>
      </c>
      <c r="B55" s="13">
        <v>0.52083333333333337</v>
      </c>
      <c r="C55" s="14">
        <v>-4986.6369999999997</v>
      </c>
      <c r="D55" s="15">
        <v>5000</v>
      </c>
      <c r="E55" s="15">
        <v>-13.363</v>
      </c>
      <c r="F55" s="16">
        <v>0</v>
      </c>
      <c r="G55" s="17">
        <v>0</v>
      </c>
      <c r="H55" s="17">
        <v>0</v>
      </c>
      <c r="I55" s="19"/>
    </row>
    <row r="56" spans="1:9">
      <c r="A56" s="12">
        <v>0.52083333333333337</v>
      </c>
      <c r="B56" s="13">
        <v>0.53125</v>
      </c>
      <c r="C56" s="14">
        <v>-4974.6099999999997</v>
      </c>
      <c r="D56" s="15">
        <v>5000</v>
      </c>
      <c r="E56" s="15">
        <v>-25.39</v>
      </c>
      <c r="F56" s="16">
        <v>0</v>
      </c>
      <c r="G56" s="17">
        <v>0</v>
      </c>
      <c r="H56" s="17">
        <v>0</v>
      </c>
      <c r="I56" s="19"/>
    </row>
    <row r="57" spans="1:9">
      <c r="A57" s="20">
        <v>0.53125</v>
      </c>
      <c r="B57" s="21">
        <v>0.54166666666666663</v>
      </c>
      <c r="C57" s="22">
        <v>-4975.5590000000002</v>
      </c>
      <c r="D57" s="23">
        <v>5000</v>
      </c>
      <c r="E57" s="23">
        <v>-24.440999999999999</v>
      </c>
      <c r="F57" s="24">
        <v>0</v>
      </c>
      <c r="G57" s="25">
        <v>0</v>
      </c>
      <c r="H57" s="25">
        <v>0</v>
      </c>
      <c r="I57" s="26"/>
    </row>
    <row r="58" spans="1:9">
      <c r="A58" s="12">
        <v>0.54166666666666663</v>
      </c>
      <c r="B58" s="13">
        <v>0.55208333333333337</v>
      </c>
      <c r="C58" s="14">
        <v>-5194.4579999999996</v>
      </c>
      <c r="D58" s="15">
        <v>5000</v>
      </c>
      <c r="E58" s="15">
        <v>194.458</v>
      </c>
      <c r="F58" s="16">
        <v>240</v>
      </c>
      <c r="G58" s="17">
        <v>0</v>
      </c>
      <c r="H58" s="17">
        <v>0</v>
      </c>
      <c r="I58" s="19"/>
    </row>
    <row r="59" spans="1:9">
      <c r="A59" s="12">
        <v>0.55208333333333337</v>
      </c>
      <c r="B59" s="13">
        <v>0.5625</v>
      </c>
      <c r="C59" s="14">
        <v>-5222.88</v>
      </c>
      <c r="D59" s="15">
        <v>5000</v>
      </c>
      <c r="E59" s="15">
        <v>222.88</v>
      </c>
      <c r="F59" s="16">
        <v>240</v>
      </c>
      <c r="G59" s="17">
        <v>0</v>
      </c>
      <c r="H59" s="17">
        <v>0</v>
      </c>
      <c r="I59" s="19"/>
    </row>
    <row r="60" spans="1:9">
      <c r="A60" s="12">
        <v>0.5625</v>
      </c>
      <c r="B60" s="13">
        <v>0.57291666666666663</v>
      </c>
      <c r="C60" s="14">
        <v>-5271.2629999999999</v>
      </c>
      <c r="D60" s="15">
        <v>5000</v>
      </c>
      <c r="E60" s="15">
        <v>271.26299999999998</v>
      </c>
      <c r="F60" s="16">
        <v>240</v>
      </c>
      <c r="G60" s="17">
        <v>0</v>
      </c>
      <c r="H60" s="17">
        <v>0</v>
      </c>
      <c r="I60" s="19"/>
    </row>
    <row r="61" spans="1:9">
      <c r="A61" s="20">
        <v>0.57291666666666663</v>
      </c>
      <c r="B61" s="21">
        <v>0.58333333333333337</v>
      </c>
      <c r="C61" s="22">
        <v>-5302.527</v>
      </c>
      <c r="D61" s="23">
        <v>5000</v>
      </c>
      <c r="E61" s="23">
        <v>302.52699999999999</v>
      </c>
      <c r="F61" s="24">
        <v>240</v>
      </c>
      <c r="G61" s="25">
        <v>0</v>
      </c>
      <c r="H61" s="25">
        <v>0</v>
      </c>
      <c r="I61" s="26"/>
    </row>
    <row r="62" spans="1:9">
      <c r="A62" s="12">
        <v>0.58333333333333337</v>
      </c>
      <c r="B62" s="13">
        <v>0.59375</v>
      </c>
      <c r="C62" s="14">
        <v>-5111.7830000000004</v>
      </c>
      <c r="D62" s="15">
        <v>5000</v>
      </c>
      <c r="E62" s="15">
        <v>111.783</v>
      </c>
      <c r="F62" s="16">
        <v>0</v>
      </c>
      <c r="G62" s="17">
        <v>0</v>
      </c>
      <c r="H62" s="17">
        <v>0</v>
      </c>
      <c r="I62" s="19"/>
    </row>
    <row r="63" spans="1:9">
      <c r="A63" s="12">
        <v>0.59375</v>
      </c>
      <c r="B63" s="13">
        <v>0.60416666666666663</v>
      </c>
      <c r="C63" s="14">
        <v>-5052.9809999999998</v>
      </c>
      <c r="D63" s="15">
        <v>5000</v>
      </c>
      <c r="E63" s="15">
        <v>52.981000000000002</v>
      </c>
      <c r="F63" s="16">
        <v>0</v>
      </c>
      <c r="G63" s="17">
        <v>0</v>
      </c>
      <c r="H63" s="17">
        <v>0</v>
      </c>
      <c r="I63" s="19"/>
    </row>
    <row r="64" spans="1:9">
      <c r="A64" s="12">
        <v>0.60416666666666663</v>
      </c>
      <c r="B64" s="13">
        <v>0.61458333333333337</v>
      </c>
      <c r="C64" s="14">
        <v>-5014.9530000000004</v>
      </c>
      <c r="D64" s="15">
        <v>5000</v>
      </c>
      <c r="E64" s="15">
        <v>14.952999999999999</v>
      </c>
      <c r="F64" s="16">
        <v>0</v>
      </c>
      <c r="G64" s="17">
        <v>0</v>
      </c>
      <c r="H64" s="17">
        <v>0</v>
      </c>
      <c r="I64" s="19"/>
    </row>
    <row r="65" spans="1:9">
      <c r="A65" s="20">
        <v>0.61458333333333337</v>
      </c>
      <c r="B65" s="21">
        <v>0.625</v>
      </c>
      <c r="C65" s="22">
        <v>-4980.2219999999998</v>
      </c>
      <c r="D65" s="23">
        <v>5000</v>
      </c>
      <c r="E65" s="23">
        <v>-19.777999999999999</v>
      </c>
      <c r="F65" s="24">
        <v>0</v>
      </c>
      <c r="G65" s="25">
        <v>0</v>
      </c>
      <c r="H65" s="25">
        <v>0</v>
      </c>
      <c r="I65" s="26"/>
    </row>
    <row r="66" spans="1:9">
      <c r="A66" s="12">
        <v>0.625</v>
      </c>
      <c r="B66" s="13">
        <v>0.63541666666666663</v>
      </c>
      <c r="C66" s="14">
        <v>-4639.2749999999996</v>
      </c>
      <c r="D66" s="15">
        <v>5000</v>
      </c>
      <c r="E66" s="15">
        <v>-360.72500000000002</v>
      </c>
      <c r="F66" s="16">
        <v>0</v>
      </c>
      <c r="G66" s="17">
        <v>0</v>
      </c>
      <c r="H66" s="17">
        <v>0</v>
      </c>
      <c r="I66" s="19"/>
    </row>
    <row r="67" spans="1:9">
      <c r="A67" s="12">
        <v>0.63541666666666663</v>
      </c>
      <c r="B67" s="13">
        <v>0.64583333333333337</v>
      </c>
      <c r="C67" s="14">
        <v>-4616.7049999999999</v>
      </c>
      <c r="D67" s="15">
        <v>5000</v>
      </c>
      <c r="E67" s="15">
        <v>-383.29500000000002</v>
      </c>
      <c r="F67" s="16">
        <v>0</v>
      </c>
      <c r="G67" s="17">
        <v>0</v>
      </c>
      <c r="H67" s="17">
        <v>0</v>
      </c>
      <c r="I67" s="19"/>
    </row>
    <row r="68" spans="1:9">
      <c r="A68" s="12">
        <v>0.64583333333333337</v>
      </c>
      <c r="B68" s="13">
        <v>0.65625</v>
      </c>
      <c r="C68" s="14">
        <v>-4593.01</v>
      </c>
      <c r="D68" s="15">
        <v>5000</v>
      </c>
      <c r="E68" s="15">
        <v>-406.99</v>
      </c>
      <c r="F68" s="16">
        <v>0</v>
      </c>
      <c r="G68" s="17">
        <v>0</v>
      </c>
      <c r="H68" s="17">
        <v>0</v>
      </c>
      <c r="I68" s="19"/>
    </row>
    <row r="69" spans="1:9">
      <c r="A69" s="20">
        <v>0.65625</v>
      </c>
      <c r="B69" s="21">
        <v>0.66666666666666663</v>
      </c>
      <c r="C69" s="22">
        <v>-4566.4449999999997</v>
      </c>
      <c r="D69" s="23">
        <v>5000</v>
      </c>
      <c r="E69" s="23">
        <v>-433.55500000000001</v>
      </c>
      <c r="F69" s="24">
        <v>0</v>
      </c>
      <c r="G69" s="25">
        <v>0</v>
      </c>
      <c r="H69" s="25">
        <v>0</v>
      </c>
      <c r="I69" s="26"/>
    </row>
    <row r="70" spans="1:9">
      <c r="A70" s="12">
        <v>0.66666666666666663</v>
      </c>
      <c r="B70" s="13">
        <v>0.67708333333333337</v>
      </c>
      <c r="C70" s="14">
        <v>-4327.7610000000004</v>
      </c>
      <c r="D70" s="15">
        <v>5000</v>
      </c>
      <c r="E70" s="15">
        <v>-672.23900000000003</v>
      </c>
      <c r="F70" s="16">
        <v>0</v>
      </c>
      <c r="G70" s="17">
        <v>0</v>
      </c>
      <c r="H70" s="17">
        <v>0</v>
      </c>
      <c r="I70" s="19"/>
    </row>
    <row r="71" spans="1:9">
      <c r="A71" s="12">
        <v>0.67708333333333337</v>
      </c>
      <c r="B71" s="13">
        <v>0.6875</v>
      </c>
      <c r="C71" s="14">
        <v>-4304.0569999999998</v>
      </c>
      <c r="D71" s="15">
        <v>5000</v>
      </c>
      <c r="E71" s="15">
        <v>-695.94299999999998</v>
      </c>
      <c r="F71" s="16">
        <v>0</v>
      </c>
      <c r="G71" s="17">
        <v>0</v>
      </c>
      <c r="H71" s="17">
        <v>0</v>
      </c>
      <c r="I71" s="19"/>
    </row>
    <row r="72" spans="1:9">
      <c r="A72" s="12">
        <v>0.6875</v>
      </c>
      <c r="B72" s="13">
        <v>0.69791666666666663</v>
      </c>
      <c r="C72" s="14">
        <v>-4269.4260000000004</v>
      </c>
      <c r="D72" s="15">
        <v>5000</v>
      </c>
      <c r="E72" s="15">
        <v>-730.57399999999996</v>
      </c>
      <c r="F72" s="16">
        <v>0</v>
      </c>
      <c r="G72" s="17">
        <v>0</v>
      </c>
      <c r="H72" s="17">
        <v>0</v>
      </c>
      <c r="I72" s="19"/>
    </row>
    <row r="73" spans="1:9">
      <c r="A73" s="20">
        <v>0.69791666666666663</v>
      </c>
      <c r="B73" s="21">
        <v>0.70833333333333337</v>
      </c>
      <c r="C73" s="22">
        <v>-4204.9350000000004</v>
      </c>
      <c r="D73" s="23">
        <v>5000</v>
      </c>
      <c r="E73" s="23">
        <v>-795.06500000000005</v>
      </c>
      <c r="F73" s="24">
        <v>0</v>
      </c>
      <c r="G73" s="25">
        <v>0</v>
      </c>
      <c r="H73" s="25">
        <v>0</v>
      </c>
      <c r="I73" s="26"/>
    </row>
    <row r="74" spans="1:9">
      <c r="A74" s="12">
        <v>0.70833333333333337</v>
      </c>
      <c r="B74" s="13">
        <v>0.71875</v>
      </c>
      <c r="C74" s="14">
        <v>-3773.797</v>
      </c>
      <c r="D74" s="15">
        <v>5000</v>
      </c>
      <c r="E74" s="15">
        <v>-1226.203</v>
      </c>
      <c r="F74" s="16">
        <v>0</v>
      </c>
      <c r="G74" s="17">
        <v>0</v>
      </c>
      <c r="H74" s="17">
        <v>0</v>
      </c>
      <c r="I74" s="19"/>
    </row>
    <row r="75" spans="1:9">
      <c r="A75" s="12">
        <v>0.71875</v>
      </c>
      <c r="B75" s="13">
        <v>0.72916666666666663</v>
      </c>
      <c r="C75" s="14">
        <v>-3707.9459999999999</v>
      </c>
      <c r="D75" s="15">
        <v>5000</v>
      </c>
      <c r="E75" s="15">
        <v>-1292.0540000000001</v>
      </c>
      <c r="F75" s="16">
        <v>0</v>
      </c>
      <c r="G75" s="17">
        <v>0</v>
      </c>
      <c r="H75" s="17">
        <v>0</v>
      </c>
      <c r="I75" s="19"/>
    </row>
    <row r="76" spans="1:9">
      <c r="A76" s="12">
        <v>0.72916666666666663</v>
      </c>
      <c r="B76" s="13">
        <v>0.73958333333333337</v>
      </c>
      <c r="C76" s="14">
        <v>-3632.1419999999998</v>
      </c>
      <c r="D76" s="15">
        <v>5000</v>
      </c>
      <c r="E76" s="15">
        <v>-1367.8579999999999</v>
      </c>
      <c r="F76" s="16">
        <v>0</v>
      </c>
      <c r="G76" s="17">
        <v>0</v>
      </c>
      <c r="H76" s="17">
        <v>0</v>
      </c>
      <c r="I76" s="19"/>
    </row>
    <row r="77" spans="1:9" ht="15.75" thickBot="1">
      <c r="A77" s="27">
        <v>0.73958333333333337</v>
      </c>
      <c r="B77" s="28">
        <v>0.75</v>
      </c>
      <c r="C77" s="29">
        <v>-3565.0970000000002</v>
      </c>
      <c r="D77" s="30">
        <v>5000</v>
      </c>
      <c r="E77" s="30">
        <v>-1434.903</v>
      </c>
      <c r="F77" s="31">
        <v>0</v>
      </c>
      <c r="G77" s="32">
        <v>0</v>
      </c>
      <c r="H77" s="32">
        <v>0</v>
      </c>
      <c r="I77" s="33"/>
    </row>
    <row r="78" spans="1:9">
      <c r="A78" s="12">
        <v>0.75</v>
      </c>
      <c r="B78" s="13">
        <v>0.76041666666666663</v>
      </c>
      <c r="C78" s="14">
        <v>-3059.73</v>
      </c>
      <c r="D78" s="15">
        <v>5000</v>
      </c>
      <c r="E78" s="15">
        <v>-1940.27</v>
      </c>
      <c r="F78" s="16">
        <v>0</v>
      </c>
      <c r="G78" s="17">
        <v>0</v>
      </c>
      <c r="H78" s="17">
        <v>0</v>
      </c>
      <c r="I78" s="19"/>
    </row>
    <row r="79" spans="1:9">
      <c r="A79" s="12">
        <v>0.76041666666666663</v>
      </c>
      <c r="B79" s="13">
        <v>0.77083333333333337</v>
      </c>
      <c r="C79" s="14">
        <v>-2974.81</v>
      </c>
      <c r="D79" s="15">
        <v>5000</v>
      </c>
      <c r="E79" s="15">
        <v>-2025.19</v>
      </c>
      <c r="F79" s="16">
        <v>0</v>
      </c>
      <c r="G79" s="17">
        <v>0</v>
      </c>
      <c r="H79" s="17">
        <v>0</v>
      </c>
      <c r="I79" s="19"/>
    </row>
    <row r="80" spans="1:9">
      <c r="A80" s="12">
        <v>0.77083333333333337</v>
      </c>
      <c r="B80" s="13">
        <v>0.78125</v>
      </c>
      <c r="C80" s="14">
        <v>-2863.91</v>
      </c>
      <c r="D80" s="15">
        <v>5000</v>
      </c>
      <c r="E80" s="15">
        <v>-2136.09</v>
      </c>
      <c r="F80" s="16">
        <v>0</v>
      </c>
      <c r="G80" s="17">
        <v>0</v>
      </c>
      <c r="H80" s="17">
        <v>0</v>
      </c>
      <c r="I80" s="19"/>
    </row>
    <row r="81" spans="1:9">
      <c r="A81" s="20">
        <v>0.78125</v>
      </c>
      <c r="B81" s="21">
        <v>0.79166666666666663</v>
      </c>
      <c r="C81" s="22">
        <v>-2742.2150000000001</v>
      </c>
      <c r="D81" s="23">
        <v>5000</v>
      </c>
      <c r="E81" s="23">
        <v>-2257.7849999999999</v>
      </c>
      <c r="F81" s="24">
        <v>0</v>
      </c>
      <c r="G81" s="25">
        <v>0</v>
      </c>
      <c r="H81" s="25">
        <v>0</v>
      </c>
      <c r="I81" s="26"/>
    </row>
    <row r="82" spans="1:9">
      <c r="A82" s="12">
        <v>0.79166666666666663</v>
      </c>
      <c r="B82" s="13">
        <v>0.80208333333333337</v>
      </c>
      <c r="C82" s="14">
        <v>-2346.6219999999998</v>
      </c>
      <c r="D82" s="15">
        <v>5000</v>
      </c>
      <c r="E82" s="15">
        <v>-2653.3780000000002</v>
      </c>
      <c r="F82" s="16">
        <v>0</v>
      </c>
      <c r="G82" s="17">
        <v>0</v>
      </c>
      <c r="H82" s="17">
        <v>0</v>
      </c>
      <c r="I82" s="19"/>
    </row>
    <row r="83" spans="1:9">
      <c r="A83" s="12">
        <v>0.80208333333333337</v>
      </c>
      <c r="B83" s="13">
        <v>0.8125</v>
      </c>
      <c r="C83" s="14">
        <v>-2281.8760000000002</v>
      </c>
      <c r="D83" s="15">
        <v>5000</v>
      </c>
      <c r="E83" s="15">
        <v>-2718.1239999999998</v>
      </c>
      <c r="F83" s="16">
        <v>0</v>
      </c>
      <c r="G83" s="17">
        <v>0</v>
      </c>
      <c r="H83" s="17">
        <v>0</v>
      </c>
      <c r="I83" s="19"/>
    </row>
    <row r="84" spans="1:9">
      <c r="A84" s="12">
        <v>0.8125</v>
      </c>
      <c r="B84" s="13">
        <v>0.82291666666666663</v>
      </c>
      <c r="C84" s="14">
        <v>-2205.0520000000001</v>
      </c>
      <c r="D84" s="15">
        <v>5000</v>
      </c>
      <c r="E84" s="15">
        <v>-2794.9479999999999</v>
      </c>
      <c r="F84" s="16">
        <v>0</v>
      </c>
      <c r="G84" s="17">
        <v>0</v>
      </c>
      <c r="H84" s="17">
        <v>0</v>
      </c>
      <c r="I84" s="19"/>
    </row>
    <row r="85" spans="1:9">
      <c r="A85" s="20">
        <v>0.82291666666666663</v>
      </c>
      <c r="B85" s="21">
        <v>0.83333333333333337</v>
      </c>
      <c r="C85" s="22">
        <v>-2148.6880000000001</v>
      </c>
      <c r="D85" s="23">
        <v>5000</v>
      </c>
      <c r="E85" s="23">
        <v>-2851.3119999999999</v>
      </c>
      <c r="F85" s="24">
        <v>0</v>
      </c>
      <c r="G85" s="25">
        <v>0</v>
      </c>
      <c r="H85" s="25">
        <v>0</v>
      </c>
      <c r="I85" s="26"/>
    </row>
    <row r="86" spans="1:9">
      <c r="A86" s="12">
        <v>0.83333333333333337</v>
      </c>
      <c r="B86" s="13">
        <v>0.84375</v>
      </c>
      <c r="C86" s="14">
        <v>-2588.4110000000001</v>
      </c>
      <c r="D86" s="15">
        <v>5000</v>
      </c>
      <c r="E86" s="15">
        <v>-2411.5889999999999</v>
      </c>
      <c r="F86" s="16">
        <v>0</v>
      </c>
      <c r="G86" s="17">
        <v>0</v>
      </c>
      <c r="H86" s="17">
        <v>0</v>
      </c>
      <c r="I86" s="19"/>
    </row>
    <row r="87" spans="1:9">
      <c r="A87" s="12">
        <v>0.84375</v>
      </c>
      <c r="B87" s="13">
        <v>0.85416666666666663</v>
      </c>
      <c r="C87" s="14">
        <v>-2653.4079999999999</v>
      </c>
      <c r="D87" s="15">
        <v>5000</v>
      </c>
      <c r="E87" s="15">
        <v>-2346.5920000000001</v>
      </c>
      <c r="F87" s="16">
        <v>0</v>
      </c>
      <c r="G87" s="17">
        <v>0</v>
      </c>
      <c r="H87" s="17">
        <v>0</v>
      </c>
      <c r="I87" s="19"/>
    </row>
    <row r="88" spans="1:9">
      <c r="A88" s="12">
        <v>0.85416666666666663</v>
      </c>
      <c r="B88" s="13">
        <v>0.86458333333333337</v>
      </c>
      <c r="C88" s="14">
        <v>-2717.6759999999999</v>
      </c>
      <c r="D88" s="15">
        <v>5000</v>
      </c>
      <c r="E88" s="15">
        <v>-2282.3240000000001</v>
      </c>
      <c r="F88" s="16">
        <v>0</v>
      </c>
      <c r="G88" s="17">
        <v>0</v>
      </c>
      <c r="H88" s="17">
        <v>0</v>
      </c>
      <c r="I88" s="19"/>
    </row>
    <row r="89" spans="1:9">
      <c r="A89" s="20">
        <v>0.86458333333333337</v>
      </c>
      <c r="B89" s="21">
        <v>0.875</v>
      </c>
      <c r="C89" s="22">
        <v>-2747.8249999999998</v>
      </c>
      <c r="D89" s="23">
        <v>5000</v>
      </c>
      <c r="E89" s="23">
        <v>-2252.1750000000002</v>
      </c>
      <c r="F89" s="24">
        <v>0</v>
      </c>
      <c r="G89" s="25">
        <v>0</v>
      </c>
      <c r="H89" s="25">
        <v>0</v>
      </c>
      <c r="I89" s="26"/>
    </row>
    <row r="90" spans="1:9">
      <c r="A90" s="12">
        <v>0.875</v>
      </c>
      <c r="B90" s="13">
        <v>0.88541666666666663</v>
      </c>
      <c r="C90" s="14">
        <v>-2800.13</v>
      </c>
      <c r="D90" s="15">
        <v>5000</v>
      </c>
      <c r="E90" s="15">
        <v>-2199.87</v>
      </c>
      <c r="F90" s="16">
        <v>0</v>
      </c>
      <c r="G90" s="17">
        <v>0</v>
      </c>
      <c r="H90" s="17">
        <v>0</v>
      </c>
      <c r="I90" s="19"/>
    </row>
    <row r="91" spans="1:9">
      <c r="A91" s="12">
        <v>0.88541666666666663</v>
      </c>
      <c r="B91" s="13">
        <v>0.89583333333333337</v>
      </c>
      <c r="C91" s="14">
        <v>-2946.7640000000001</v>
      </c>
      <c r="D91" s="15">
        <v>5000</v>
      </c>
      <c r="E91" s="15">
        <v>-2053.2359999999999</v>
      </c>
      <c r="F91" s="16">
        <v>0</v>
      </c>
      <c r="G91" s="17">
        <v>0</v>
      </c>
      <c r="H91" s="17">
        <v>0</v>
      </c>
      <c r="I91" s="19"/>
    </row>
    <row r="92" spans="1:9">
      <c r="A92" s="12">
        <v>0.89583333333333337</v>
      </c>
      <c r="B92" s="13">
        <v>0.90625</v>
      </c>
      <c r="C92" s="14">
        <v>-3096.9079999999999</v>
      </c>
      <c r="D92" s="15">
        <v>5000</v>
      </c>
      <c r="E92" s="15">
        <v>-1903.0920000000001</v>
      </c>
      <c r="F92" s="16">
        <v>0</v>
      </c>
      <c r="G92" s="17">
        <v>0</v>
      </c>
      <c r="H92" s="17">
        <v>0</v>
      </c>
      <c r="I92" s="19"/>
    </row>
    <row r="93" spans="1:9">
      <c r="A93" s="20">
        <v>0.90625</v>
      </c>
      <c r="B93" s="21">
        <v>0.91666666666666663</v>
      </c>
      <c r="C93" s="22">
        <v>-3212.86</v>
      </c>
      <c r="D93" s="23">
        <v>5000</v>
      </c>
      <c r="E93" s="23">
        <v>-1787.14</v>
      </c>
      <c r="F93" s="24">
        <v>0</v>
      </c>
      <c r="G93" s="25">
        <v>0</v>
      </c>
      <c r="H93" s="25">
        <v>0</v>
      </c>
      <c r="I93" s="26"/>
    </row>
    <row r="94" spans="1:9">
      <c r="A94" s="12">
        <v>0.91666666666666663</v>
      </c>
      <c r="B94" s="13">
        <v>0.92708333333333337</v>
      </c>
      <c r="C94" s="14">
        <v>-4190.5209999999997</v>
      </c>
      <c r="D94" s="15">
        <v>5000</v>
      </c>
      <c r="E94" s="15">
        <v>-809.47900000000004</v>
      </c>
      <c r="F94" s="16">
        <v>0</v>
      </c>
      <c r="G94" s="17">
        <v>0</v>
      </c>
      <c r="H94" s="17">
        <v>0</v>
      </c>
      <c r="I94" s="19"/>
    </row>
    <row r="95" spans="1:9">
      <c r="A95" s="12">
        <v>0.92708333333333337</v>
      </c>
      <c r="B95" s="13">
        <v>0.9375</v>
      </c>
      <c r="C95" s="14">
        <v>-4285.143</v>
      </c>
      <c r="D95" s="15">
        <v>5000</v>
      </c>
      <c r="E95" s="15">
        <v>-714.85699999999997</v>
      </c>
      <c r="F95" s="16">
        <v>0</v>
      </c>
      <c r="G95" s="17">
        <v>0</v>
      </c>
      <c r="H95" s="17">
        <v>0</v>
      </c>
      <c r="I95" s="19"/>
    </row>
    <row r="96" spans="1:9">
      <c r="A96" s="12">
        <v>0.9375</v>
      </c>
      <c r="B96" s="13">
        <v>0.94791666666666663</v>
      </c>
      <c r="C96" s="14">
        <v>-4481.07</v>
      </c>
      <c r="D96" s="15">
        <v>5000</v>
      </c>
      <c r="E96" s="15">
        <v>-518.92999999999995</v>
      </c>
      <c r="F96" s="16">
        <v>0</v>
      </c>
      <c r="G96" s="17">
        <v>0</v>
      </c>
      <c r="H96" s="17">
        <v>0</v>
      </c>
      <c r="I96" s="19"/>
    </row>
    <row r="97" spans="1:9">
      <c r="A97" s="20">
        <v>0.94791666666666663</v>
      </c>
      <c r="B97" s="21">
        <v>0.95833333333333337</v>
      </c>
      <c r="C97" s="22">
        <v>-4661.308</v>
      </c>
      <c r="D97" s="23">
        <v>5000</v>
      </c>
      <c r="E97" s="23">
        <v>-338.69200000000001</v>
      </c>
      <c r="F97" s="24">
        <v>0</v>
      </c>
      <c r="G97" s="25">
        <v>0</v>
      </c>
      <c r="H97" s="25">
        <v>0</v>
      </c>
      <c r="I97" s="26"/>
    </row>
    <row r="98" spans="1:9">
      <c r="A98" s="12">
        <v>0.95833333333333337</v>
      </c>
      <c r="B98" s="13">
        <v>0.96875</v>
      </c>
      <c r="C98" s="14">
        <v>-4922.6189999999997</v>
      </c>
      <c r="D98" s="15">
        <v>5000</v>
      </c>
      <c r="E98" s="15">
        <v>-77.381</v>
      </c>
      <c r="F98" s="16">
        <v>0</v>
      </c>
      <c r="G98" s="17">
        <v>0</v>
      </c>
      <c r="H98" s="17">
        <v>0</v>
      </c>
      <c r="I98" s="19"/>
    </row>
    <row r="99" spans="1:9">
      <c r="A99" s="12">
        <v>0.96875</v>
      </c>
      <c r="B99" s="13">
        <v>0.97916666666666663</v>
      </c>
      <c r="C99" s="14">
        <v>-5068.9669999999996</v>
      </c>
      <c r="D99" s="15">
        <v>5000</v>
      </c>
      <c r="E99" s="15">
        <v>68.966999999999999</v>
      </c>
      <c r="F99" s="16">
        <v>0</v>
      </c>
      <c r="G99" s="17">
        <v>0</v>
      </c>
      <c r="H99" s="17">
        <v>0</v>
      </c>
      <c r="I99" s="19"/>
    </row>
    <row r="100" spans="1:9">
      <c r="A100" s="12">
        <v>0.97916666666666663</v>
      </c>
      <c r="B100" s="13">
        <v>0.98958333333333337</v>
      </c>
      <c r="C100" s="14">
        <v>-5198.8249999999998</v>
      </c>
      <c r="D100" s="15">
        <v>5000</v>
      </c>
      <c r="E100" s="15">
        <v>198.82499999999999</v>
      </c>
      <c r="F100" s="16">
        <v>0</v>
      </c>
      <c r="G100" s="17">
        <v>0</v>
      </c>
      <c r="H100" s="17">
        <v>0</v>
      </c>
      <c r="I100" s="19"/>
    </row>
    <row r="101" spans="1:9" ht="15.75" thickBot="1">
      <c r="A101" s="27">
        <v>0.98958333333333337</v>
      </c>
      <c r="B101" s="28">
        <v>0</v>
      </c>
      <c r="C101" s="29">
        <v>-5331.8360000000002</v>
      </c>
      <c r="D101" s="30">
        <v>5000</v>
      </c>
      <c r="E101" s="30">
        <v>331.83600000000001</v>
      </c>
      <c r="F101" s="31">
        <v>0</v>
      </c>
      <c r="G101" s="32">
        <v>0</v>
      </c>
      <c r="H101" s="32">
        <v>0</v>
      </c>
      <c r="I101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Company Name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coreso</dc:creator>
  <cp:lastModifiedBy>coreso</cp:lastModifiedBy>
  <dcterms:created xsi:type="dcterms:W3CDTF">2012-04-29T04:08:14Z</dcterms:created>
  <dcterms:modified xsi:type="dcterms:W3CDTF">2012-04-30T02:49:15Z</dcterms:modified>
</cp:coreProperties>
</file>