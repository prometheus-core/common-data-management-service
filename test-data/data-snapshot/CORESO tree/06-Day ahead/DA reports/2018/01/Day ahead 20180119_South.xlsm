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activeX/activeX3.xml" ContentType="application/vnd.ms-office.activeX+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Default Extension="ico" ContentType="image/.ico"/>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c0a18510d62474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065" yWindow="5355" windowWidth="16875" windowHeight="8610" tabRatio="729" activeTab="1"/>
  </bookViews>
  <sheets>
    <sheet name="Start" sheetId="27" r:id="rId1"/>
    <sheet name="Summary" sheetId="5" r:id="rId2"/>
    <sheet name="N State Flows Data" sheetId="11" r:id="rId3"/>
    <sheet name="Terna Sensitivity Data" sheetId="17" r:id="rId4"/>
    <sheet name="N State Taps &amp; Flows" sheetId="32" r:id="rId5"/>
    <sheet name="Free Constraints Table" sheetId="29" r:id="rId6"/>
    <sheet name="Config Lines" sheetId="31" r:id="rId7"/>
    <sheet name="Checking" sheetId="26" r:id="rId8"/>
    <sheet name="Sheet1" sheetId="33" r:id="rId9"/>
  </sheets>
  <functionGroups/>
  <externalReferences>
    <externalReference r:id="rId10"/>
  </externalReferences>
  <definedNames>
    <definedName name="_xlnm._FilterDatabase" localSheetId="5" hidden="1">'Free Constraints Table'!$A$5:$A$112</definedName>
    <definedName name="_Toc309534143" localSheetId="6">#REF!</definedName>
    <definedName name="_Toc309534143" localSheetId="5">#REF!</definedName>
    <definedName name="_Toc309534143" localSheetId="2">'N State Flows Data'!#REF!</definedName>
    <definedName name="_Toc309534143" localSheetId="4">'N State Taps &amp; Flows'!#REF!</definedName>
    <definedName name="_Toc309534143" localSheetId="3">'Terna Sensitivity Data'!$A$2</definedName>
    <definedName name="_Toc309534143">#REF!</definedName>
    <definedName name="ref_PSTs_Settings">Summary!$D$184</definedName>
    <definedName name="ref_Redispatching" localSheetId="6">[1]Summary!#REF!</definedName>
    <definedName name="ref_Redispatching">Summary!#REF!</definedName>
    <definedName name="ref_sensitivity">Summary!$D$149</definedName>
  </definedNames>
  <calcPr calcId="125725"/>
</workbook>
</file>

<file path=xl/calcChain.xml><?xml version="1.0" encoding="utf-8"?>
<calcChain xmlns="http://schemas.openxmlformats.org/spreadsheetml/2006/main">
  <c r="G7" i="17"/>
  <c r="G8"/>
  <c r="G5"/>
  <c r="G6"/>
  <c r="E14" i="5"/>
  <c r="G13" i="17"/>
  <c r="X153" i="5" s="1"/>
  <c r="G12" i="17"/>
  <c r="AN156" i="5" s="1"/>
  <c r="T189"/>
  <c r="N189"/>
  <c r="AR190"/>
  <c r="AR189"/>
  <c r="AX189"/>
  <c r="AX190"/>
  <c r="T190"/>
  <c r="N190"/>
  <c r="AX194"/>
  <c r="AR194"/>
  <c r="T194"/>
  <c r="N194"/>
  <c r="E12"/>
  <c r="AR193"/>
  <c r="AX193"/>
  <c r="AR192"/>
  <c r="AX192"/>
  <c r="AR191"/>
  <c r="AX191"/>
  <c r="AX188"/>
  <c r="AR188"/>
  <c r="T193"/>
  <c r="N193"/>
  <c r="T192"/>
  <c r="N192"/>
  <c r="T191"/>
  <c r="N191"/>
  <c r="T188"/>
  <c r="N188"/>
  <c r="N128"/>
  <c r="N129"/>
  <c r="N130"/>
  <c r="N131"/>
  <c r="N132"/>
  <c r="N133"/>
  <c r="N134"/>
  <c r="N135"/>
  <c r="N136"/>
  <c r="N137"/>
  <c r="N138"/>
  <c r="N139"/>
  <c r="N140"/>
  <c r="N141"/>
  <c r="N142"/>
  <c r="N127"/>
  <c r="H19" i="31"/>
  <c r="AZ142" i="5"/>
  <c r="H18" i="31"/>
  <c r="AZ141" i="5"/>
  <c r="H17" i="31"/>
  <c r="AZ140" i="5"/>
  <c r="H16" i="31"/>
  <c r="AZ139" i="5"/>
  <c r="H15" i="31"/>
  <c r="AZ138" i="5"/>
  <c r="H14" i="31"/>
  <c r="AZ137" i="5"/>
  <c r="H13" i="31"/>
  <c r="AZ136" i="5"/>
  <c r="H12" i="31"/>
  <c r="AZ135" i="5"/>
  <c r="H11" i="31"/>
  <c r="AZ134" i="5"/>
  <c r="H10" i="31"/>
  <c r="AZ133" i="5"/>
  <c r="H9" i="31"/>
  <c r="AZ132" i="5"/>
  <c r="H8" i="31"/>
  <c r="AZ131" i="5"/>
  <c r="H7" i="31"/>
  <c r="AZ130" i="5"/>
  <c r="H6" i="31"/>
  <c r="AZ129" i="5"/>
  <c r="H5" i="31"/>
  <c r="AZ128" i="5"/>
  <c r="H4" i="31"/>
  <c r="AZ127" i="5"/>
  <c r="K37"/>
  <c r="E10"/>
  <c r="AE140"/>
  <c r="AE136"/>
  <c r="AE132"/>
  <c r="AE128"/>
  <c r="AL140"/>
  <c r="AL136"/>
  <c r="AL132"/>
  <c r="AL128"/>
  <c r="AS140"/>
  <c r="AS136"/>
  <c r="AS132"/>
  <c r="AS128"/>
  <c r="AE141"/>
  <c r="AE137"/>
  <c r="AE133"/>
  <c r="AE129"/>
  <c r="AL141"/>
  <c r="AL137"/>
  <c r="AL133"/>
  <c r="AL129"/>
  <c r="AS141"/>
  <c r="AS137"/>
  <c r="AS133"/>
  <c r="AS129"/>
  <c r="AE142"/>
  <c r="AE138"/>
  <c r="AE134"/>
  <c r="AE130"/>
  <c r="AL142"/>
  <c r="AL138"/>
  <c r="AL134"/>
  <c r="AL130"/>
  <c r="AS142"/>
  <c r="AS138"/>
  <c r="AS134"/>
  <c r="AS130"/>
  <c r="AE127"/>
  <c r="AE139"/>
  <c r="AE135"/>
  <c r="AE131"/>
  <c r="AL127"/>
  <c r="AL139"/>
  <c r="AL135"/>
  <c r="AL131"/>
  <c r="AS127"/>
  <c r="AS139"/>
  <c r="AS135"/>
  <c r="AS131"/>
  <c r="H16" i="26"/>
  <c r="H5"/>
  <c r="H6" s="1"/>
  <c r="H7" s="1"/>
  <c r="H4"/>
  <c r="H8" s="1"/>
  <c r="AV152" i="5"/>
  <c r="AN152"/>
  <c r="AF152"/>
  <c r="X152"/>
  <c r="AV155"/>
  <c r="AN155"/>
  <c r="AF155"/>
  <c r="X155"/>
  <c r="L36"/>
  <c r="L34"/>
  <c r="C14" i="27"/>
  <c r="K32" i="5"/>
  <c r="K33"/>
  <c r="K31"/>
  <c r="K17"/>
  <c r="D12" i="27"/>
  <c r="C13"/>
  <c r="C15" s="1"/>
  <c r="BC68" i="5"/>
  <c r="BC67"/>
  <c r="BC66"/>
  <c r="BC65"/>
  <c r="BC64"/>
  <c r="BC63"/>
  <c r="BC62"/>
  <c r="BC61"/>
  <c r="BC60"/>
  <c r="BC59"/>
  <c r="BC58"/>
  <c r="BC57"/>
  <c r="BC56"/>
  <c r="BC54"/>
  <c r="BC53"/>
  <c r="BC52"/>
  <c r="BC50"/>
  <c r="BC48"/>
  <c r="BC46"/>
  <c r="AF153" l="1"/>
  <c r="H5" i="17"/>
  <c r="AF157" i="5" s="1"/>
  <c r="H7" i="17"/>
  <c r="AF154" i="5" s="1"/>
  <c r="AN153"/>
  <c r="AV153"/>
  <c r="X156"/>
  <c r="AV156"/>
  <c r="AF156"/>
  <c r="C16" i="27"/>
  <c r="W6" i="5"/>
  <c r="I6" i="26"/>
  <c r="AV157" i="5" l="1"/>
  <c r="AN157"/>
  <c r="X157"/>
  <c r="AN154"/>
  <c r="X154"/>
  <c r="AV154"/>
</calcChain>
</file>

<file path=xl/comments1.xml><?xml version="1.0" encoding="utf-8"?>
<comments xmlns="http://schemas.openxmlformats.org/spreadsheetml/2006/main">
  <authors>
    <author>benonie-g</author>
  </authors>
  <commentList>
    <comment ref="C11" authorId="0">
      <text>
        <r>
          <rPr>
            <b/>
            <sz val="8"/>
            <color indexed="9"/>
            <rFont val="Tahoma"/>
            <family val="2"/>
          </rPr>
          <t>Based on the file you have just opened.</t>
        </r>
      </text>
    </comment>
    <comment ref="D11" authorId="0">
      <text>
        <r>
          <rPr>
            <b/>
            <sz val="8"/>
            <color indexed="9"/>
            <rFont val="Tahoma"/>
            <family val="2"/>
          </rPr>
          <t>Based on the D-1 report file name.</t>
        </r>
      </text>
    </comment>
  </commentList>
</comments>
</file>

<file path=xl/comments2.xml><?xml version="1.0" encoding="utf-8"?>
<comments xmlns="http://schemas.openxmlformats.org/spreadsheetml/2006/main">
  <authors>
    <author>benonie-g</author>
    <author>CORESO</author>
    <author>coreso</author>
  </authors>
  <commentList>
    <comment ref="J4" authorId="0">
      <text>
        <r>
          <rPr>
            <b/>
            <sz val="8"/>
            <color indexed="81"/>
            <rFont val="Calibri"/>
            <family val="2"/>
          </rPr>
          <t>Use only for information.</t>
        </r>
      </text>
    </comment>
    <comment ref="K17" authorId="1">
      <text>
        <r>
          <rPr>
            <b/>
            <sz val="8"/>
            <color indexed="81"/>
            <rFont val="Calibri"/>
            <family val="2"/>
          </rPr>
          <t>The "Key overall conditions" title should be always on line 15 for the macro !</t>
        </r>
      </text>
    </comment>
    <comment ref="D43" authorId="1">
      <text>
        <r>
          <rPr>
            <b/>
            <sz val="8"/>
            <color indexed="81"/>
            <rFont val="Calibri"/>
            <family val="2"/>
          </rPr>
          <t>This cell is needed for the summary page layout. Do not modify it !</t>
        </r>
      </text>
    </comment>
    <comment ref="D45" authorId="1">
      <text>
        <r>
          <rPr>
            <b/>
            <sz val="8"/>
            <color indexed="81"/>
            <rFont val="Calibri"/>
            <family val="2"/>
          </rPr>
          <t>Don't modify this cell, it is needed for the merge !</t>
        </r>
      </text>
    </comment>
    <comment ref="D72" authorId="0">
      <text>
        <r>
          <rPr>
            <b/>
            <sz val="9"/>
            <color indexed="81"/>
            <rFont val="Calibri"/>
            <family val="2"/>
          </rPr>
          <t>Don't use this cell !</t>
        </r>
      </text>
    </comment>
    <comment ref="D73" authorId="0">
      <text>
        <r>
          <rPr>
            <b/>
            <sz val="9"/>
            <color indexed="81"/>
            <rFont val="Calibri"/>
            <family val="2"/>
          </rPr>
          <t>Don't delete this cell, it is use for the South and needed for the merge !</t>
        </r>
      </text>
    </comment>
    <comment ref="L83" authorId="1">
      <text>
        <r>
          <rPr>
            <b/>
            <sz val="9"/>
            <color indexed="81"/>
            <rFont val="Calibri"/>
            <family val="2"/>
          </rPr>
          <t>Don't delete this cell, it is use for the South off peak merge !</t>
        </r>
      </text>
    </comment>
    <comment ref="L85" authorId="1">
      <text>
        <r>
          <rPr>
            <b/>
            <sz val="9"/>
            <color indexed="81"/>
            <rFont val="Calibri"/>
            <family val="2"/>
          </rPr>
          <t>Don't delete this cell, it is use for the South off peak merge !</t>
        </r>
      </text>
    </comment>
    <comment ref="H87" authorId="1">
      <text>
        <r>
          <rPr>
            <b/>
            <sz val="9"/>
            <color indexed="81"/>
            <rFont val="Calibri"/>
            <family val="2"/>
          </rPr>
          <t>Don't modify this cell, it is used for the South off peak merge !</t>
        </r>
      </text>
    </comment>
    <comment ref="D100" authorId="1">
      <text>
        <r>
          <rPr>
            <b/>
            <sz val="9"/>
            <color indexed="81"/>
            <rFont val="Calibri"/>
            <family val="2"/>
          </rPr>
          <t>Don't modify this cell, it is used for the merge !</t>
        </r>
      </text>
    </comment>
    <comment ref="D160" authorId="1">
      <text>
        <r>
          <rPr>
            <b/>
            <sz val="9"/>
            <color indexed="81"/>
            <rFont val="Calibri"/>
            <family val="2"/>
          </rPr>
          <t>Don't modify this cell, it is used for the merge !</t>
        </r>
      </text>
    </comment>
    <comment ref="D173" authorId="1">
      <text>
        <r>
          <rPr>
            <b/>
            <sz val="9"/>
            <color indexed="81"/>
            <rFont val="Calibri"/>
            <family val="2"/>
          </rPr>
          <t>Don't modify this cell, it is used for the merge !</t>
        </r>
      </text>
    </comment>
    <comment ref="D183" authorId="1">
      <text>
        <r>
          <rPr>
            <b/>
            <sz val="9"/>
            <color indexed="81"/>
            <rFont val="Calibri"/>
            <family val="2"/>
          </rPr>
          <t>Don't modify this cell, it is used for the merge !</t>
        </r>
      </text>
    </comment>
    <comment ref="D196" authorId="0">
      <text>
        <r>
          <rPr>
            <b/>
            <sz val="8"/>
            <color indexed="81"/>
            <rFont val="Calibri"/>
            <family val="2"/>
          </rPr>
          <t>Don't modify this cell, it is used for the merge !</t>
        </r>
      </text>
    </comment>
    <comment ref="D198" authorId="2">
      <text>
        <r>
          <rPr>
            <b/>
            <sz val="8"/>
            <color indexed="81"/>
            <rFont val="Tahoma"/>
            <family val="2"/>
          </rPr>
          <t>South conclusion part. Write in this cell your conclusion for the merge.</t>
        </r>
      </text>
    </comment>
    <comment ref="D199" authorId="2">
      <text>
        <r>
          <rPr>
            <b/>
            <sz val="8"/>
            <color indexed="81"/>
            <rFont val="Tahoma"/>
            <family val="2"/>
          </rPr>
          <t>South conclusion part. Write in this cell your conclusion for the merge.</t>
        </r>
      </text>
    </comment>
    <comment ref="D200" authorId="2">
      <text>
        <r>
          <rPr>
            <b/>
            <sz val="8"/>
            <color indexed="81"/>
            <rFont val="Tahoma"/>
            <family val="2"/>
          </rPr>
          <t>South conclusion part. Write in this cell your conclusion for the merge.</t>
        </r>
      </text>
    </comment>
  </commentList>
</comments>
</file>

<file path=xl/comments3.xml><?xml version="1.0" encoding="utf-8"?>
<comments xmlns="http://schemas.openxmlformats.org/spreadsheetml/2006/main">
  <authors>
    <author>benonie-g</author>
  </authors>
  <commentList>
    <comment ref="H12" authorId="0">
      <text>
        <r>
          <rPr>
            <b/>
            <sz val="8"/>
            <color indexed="81"/>
            <rFont val="Tahoma"/>
            <family val="2"/>
          </rPr>
          <t>benonie-g:</t>
        </r>
        <r>
          <rPr>
            <sz val="8"/>
            <color indexed="81"/>
            <rFont val="Tahoma"/>
            <family val="2"/>
          </rPr>
          <t xml:space="preserve">
Not use in the south D-1 report</t>
        </r>
      </text>
    </comment>
    <comment ref="H13" authorId="0">
      <text>
        <r>
          <rPr>
            <b/>
            <sz val="8"/>
            <color indexed="81"/>
            <rFont val="Tahoma"/>
            <family val="2"/>
          </rPr>
          <t>benonie-g:</t>
        </r>
        <r>
          <rPr>
            <sz val="8"/>
            <color indexed="81"/>
            <rFont val="Tahoma"/>
            <family val="2"/>
          </rPr>
          <t xml:space="preserve">
Not use in the south D-1 report</t>
        </r>
      </text>
    </comment>
  </commentList>
</comments>
</file>

<file path=xl/sharedStrings.xml><?xml version="1.0" encoding="utf-8"?>
<sst xmlns="http://schemas.openxmlformats.org/spreadsheetml/2006/main" count="1152" uniqueCount="512">
  <si>
    <t>CORESO Engineers</t>
  </si>
  <si>
    <t>Security Levels:</t>
  </si>
  <si>
    <t>Key overall conditions</t>
  </si>
  <si>
    <t>Exchange program forecasts</t>
  </si>
  <si>
    <t>RTE flows on cross-border lines</t>
  </si>
  <si>
    <t>Load &amp; Generation margin forecast</t>
  </si>
  <si>
    <t>Main generating units connected to the grid in DACF</t>
  </si>
  <si>
    <t>ELIA</t>
  </si>
  <si>
    <t>Pmax
(MW)</t>
  </si>
  <si>
    <t>Peak load [MW]</t>
  </si>
  <si>
    <t>Generation Margin</t>
  </si>
  <si>
    <t>RTE</t>
  </si>
  <si>
    <t>Adequate</t>
  </si>
  <si>
    <t>NATIONAL GRID (UK time)</t>
  </si>
  <si>
    <t>TERNA</t>
  </si>
  <si>
    <t>PST</t>
  </si>
  <si>
    <t>Delta</t>
  </si>
  <si>
    <t>TSO</t>
  </si>
  <si>
    <t>Imax (A)</t>
  </si>
  <si>
    <t>% of Imax</t>
  </si>
  <si>
    <t>Voltage</t>
  </si>
  <si>
    <t>Terna</t>
  </si>
  <si>
    <t>Albertville - Rondissone 2</t>
  </si>
  <si>
    <t>Bulciago - Soazza</t>
  </si>
  <si>
    <t>Cagno - Mendrisio</t>
  </si>
  <si>
    <t>Musignano - Lavorgo</t>
  </si>
  <si>
    <t>Robbia - San Fiorano</t>
  </si>
  <si>
    <t>Robbia - Gorlago</t>
  </si>
  <si>
    <t>Venaus - Villarodin</t>
  </si>
  <si>
    <t>Airolo - Ponte</t>
  </si>
  <si>
    <t>Lienz - Soverzene</t>
  </si>
  <si>
    <t>Menton - Campo Rosso</t>
  </si>
  <si>
    <t>Riddes - Avise</t>
  </si>
  <si>
    <t>Riddes - Valpelline</t>
  </si>
  <si>
    <t>Serra - Pallanzeno</t>
  </si>
  <si>
    <t>P [MW]</t>
  </si>
  <si>
    <t>% Imax</t>
  </si>
  <si>
    <t>IMAP</t>
  </si>
  <si>
    <t>Rte</t>
  </si>
  <si>
    <t>Swissgrid</t>
  </si>
  <si>
    <t>Sils</t>
  </si>
  <si>
    <t>Génissiat</t>
  </si>
  <si>
    <t>Albertville</t>
  </si>
  <si>
    <t>Constraint</t>
  </si>
  <si>
    <t>U (kV)</t>
  </si>
  <si>
    <t>Substation 1</t>
  </si>
  <si>
    <t>Substation 2</t>
  </si>
  <si>
    <t>Code</t>
  </si>
  <si>
    <t>Overload</t>
  </si>
  <si>
    <t>South analyses results</t>
  </si>
  <si>
    <t>Security analyses have been performed for these 2 timestamps:</t>
  </si>
  <si>
    <t>Off-peak:</t>
  </si>
  <si>
    <t>Sensitivity coefficients for the Pentalateral instruction</t>
  </si>
  <si>
    <t>Peak</t>
  </si>
  <si>
    <t>peak</t>
  </si>
  <si>
    <t>Flow before</t>
  </si>
  <si>
    <t>Flow after</t>
  </si>
  <si>
    <t>Total</t>
  </si>
  <si>
    <t>NTC peak</t>
  </si>
  <si>
    <r>
      <t xml:space="preserve">FR </t>
    </r>
    <r>
      <rPr>
        <b/>
        <sz val="10"/>
        <color theme="1"/>
        <rFont val="Wingdings"/>
        <charset val="2"/>
      </rPr>
      <t>è</t>
    </r>
    <r>
      <rPr>
        <b/>
        <sz val="10"/>
        <color theme="1"/>
        <rFont val="Calibri"/>
        <family val="2"/>
        <scheme val="minor"/>
      </rPr>
      <t>IT</t>
    </r>
  </si>
  <si>
    <r>
      <t xml:space="preserve">CH </t>
    </r>
    <r>
      <rPr>
        <b/>
        <sz val="10"/>
        <color theme="1"/>
        <rFont val="Wingdings"/>
        <charset val="2"/>
      </rPr>
      <t>è</t>
    </r>
    <r>
      <rPr>
        <b/>
        <sz val="10"/>
        <color theme="1"/>
        <rFont val="Calibri"/>
        <family val="2"/>
        <scheme val="minor"/>
      </rPr>
      <t>IT</t>
    </r>
  </si>
  <si>
    <r>
      <t xml:space="preserve">AT </t>
    </r>
    <r>
      <rPr>
        <b/>
        <sz val="10"/>
        <color theme="1"/>
        <rFont val="Wingdings"/>
        <charset val="2"/>
      </rPr>
      <t>è</t>
    </r>
    <r>
      <rPr>
        <b/>
        <sz val="10"/>
        <color theme="1"/>
        <rFont val="Calibri"/>
        <family val="2"/>
        <scheme val="minor"/>
      </rPr>
      <t>IT</t>
    </r>
  </si>
  <si>
    <r>
      <t xml:space="preserve">SI </t>
    </r>
    <r>
      <rPr>
        <b/>
        <sz val="10"/>
        <color theme="1"/>
        <rFont val="Wingdings"/>
        <charset val="2"/>
      </rPr>
      <t>è</t>
    </r>
    <r>
      <rPr>
        <b/>
        <sz val="10"/>
        <color theme="1"/>
        <rFont val="Calibri"/>
        <family val="2"/>
        <scheme val="minor"/>
      </rPr>
      <t>IT</t>
    </r>
  </si>
  <si>
    <t>Final PSTs settings</t>
  </si>
  <si>
    <t>La Praz (1/33)</t>
  </si>
  <si>
    <t>Rondissone 1 (1/33)</t>
  </si>
  <si>
    <t>Rondissone 2 (1/33)</t>
  </si>
  <si>
    <t>Padriciano (1/33)</t>
  </si>
  <si>
    <t>Divaca (-32/32 each)</t>
  </si>
  <si>
    <t>The tables below present the tap positions and the physical flows on different PSTs with the adaptations
described at the top of the page (IT-SI target flow...) and preventive actions (before Pentalateral reduction).</t>
  </si>
  <si>
    <t>Conclusion</t>
  </si>
  <si>
    <t>The amount of the control program curtailment on peak and off-peak can be calculated thanks to the sensitivities in the table below:</t>
  </si>
  <si>
    <t>Creation date of this D-1 report :</t>
  </si>
  <si>
    <t>Last modification :</t>
  </si>
  <si>
    <t>Deviation time for the update :</t>
  </si>
  <si>
    <t>Now :</t>
  </si>
  <si>
    <t>Deviation time for the creation :</t>
  </si>
  <si>
    <t>Older D-1 report file :</t>
  </si>
  <si>
    <t>0,625 = 15:00:00</t>
  </si>
  <si>
    <t>Is it the first opening ?</t>
  </si>
  <si>
    <t>0,000462962962962963 = 00:00:40</t>
  </si>
  <si>
    <t>File date Checking :</t>
  </si>
  <si>
    <t>Comments:</t>
  </si>
  <si>
    <t>Robbia</t>
  </si>
  <si>
    <t>Bericevo</t>
  </si>
  <si>
    <t>Podlog</t>
  </si>
  <si>
    <t>D-1 report Name reference :</t>
  </si>
  <si>
    <t>LoTo.xlsm last modification :</t>
  </si>
  <si>
    <t>Resto.xlsm last modification :</t>
  </si>
  <si>
    <t>Outages.xlsx last modification :</t>
  </si>
  <si>
    <t>Off peak timestamp Terna</t>
  </si>
  <si>
    <t>Peak timestamp Terna</t>
  </si>
  <si>
    <t>Rondissone</t>
  </si>
  <si>
    <t>N-2</t>
  </si>
  <si>
    <t>Elia</t>
  </si>
  <si>
    <t>Doel</t>
  </si>
  <si>
    <t>Tihange</t>
  </si>
  <si>
    <t>Coo</t>
  </si>
  <si>
    <t>50 HzT</t>
  </si>
  <si>
    <t>Rostock</t>
  </si>
  <si>
    <t>Janschwalde</t>
  </si>
  <si>
    <t>Boxberg</t>
  </si>
  <si>
    <t>Schw. Pumpe</t>
  </si>
  <si>
    <t>Lippendorf</t>
  </si>
  <si>
    <t>Gravelines</t>
  </si>
  <si>
    <t>Chooz</t>
  </si>
  <si>
    <t>Cattenom</t>
  </si>
  <si>
    <t>Fessenheim</t>
  </si>
  <si>
    <t>Penly</t>
  </si>
  <si>
    <t>Paluel</t>
  </si>
  <si>
    <t>Nogent s/ Seine</t>
  </si>
  <si>
    <t>Bugey</t>
  </si>
  <si>
    <t>St Alban</t>
  </si>
  <si>
    <t>Cruas</t>
  </si>
  <si>
    <t>Tricastin</t>
  </si>
  <si>
    <t>Line (380 kV)</t>
  </si>
  <si>
    <t>380 kV</t>
  </si>
  <si>
    <t>220 kV</t>
  </si>
  <si>
    <t xml:space="preserve">• Peak period (07:00 – 23:00): </t>
  </si>
  <si>
    <t xml:space="preserve">• Off-peak period (23:00 – 07:00): </t>
  </si>
  <si>
    <r>
      <t xml:space="preserve">The Imax and load values in the table below are extracted from the </t>
    </r>
    <r>
      <rPr>
        <b/>
        <sz val="10"/>
        <color theme="1"/>
        <rFont val="Arial"/>
        <family val="2"/>
      </rPr>
      <t>adapted</t>
    </r>
    <r>
      <rPr>
        <sz val="10"/>
        <color theme="1"/>
        <rFont val="Arial"/>
        <family val="2"/>
      </rPr>
      <t xml:space="preserve"> merged TSOs’ DACF.</t>
    </r>
  </si>
  <si>
    <t>For Terna:</t>
  </si>
  <si>
    <t>Nodes in South area</t>
  </si>
  <si>
    <t>Off Peak</t>
  </si>
  <si>
    <t>New D-1 report</t>
  </si>
  <si>
    <t>D-1 report version</t>
  </si>
  <si>
    <t>Creation Date :</t>
  </si>
  <si>
    <t>D-1 Report for the :</t>
  </si>
  <si>
    <t>File name :</t>
  </si>
  <si>
    <t>Path directory :</t>
  </si>
  <si>
    <t>Informations needed to complete the D-1 report SOUTH</t>
  </si>
  <si>
    <t>Outages table</t>
  </si>
  <si>
    <t>ELIA loopflows &amp; PSTs tap position</t>
  </si>
  <si>
    <t>German renewable power production &amp; forecast</t>
  </si>
  <si>
    <t>N state flows at 10:30 and 19:30</t>
  </si>
  <si>
    <t>Special topologies at 10:30 and 19:30</t>
  </si>
  <si>
    <t>North analyses results</t>
  </si>
  <si>
    <t>Constraints on Elia, RTE (North) and 50HzT 400kV grids and tie-lines</t>
  </si>
  <si>
    <t>Constraints on ELIA 150/225kV grid at 10:30</t>
  </si>
  <si>
    <t>50HzT counter trading</t>
  </si>
  <si>
    <t>50HzT DC loopflows sensitivity</t>
  </si>
  <si>
    <t>Off Peak constraints on APG, Eles, RTE (South), Swissgrid and Terna 400kV grids and tie-lines</t>
  </si>
  <si>
    <t>Turbigo</t>
  </si>
  <si>
    <t>Baggio</t>
  </si>
  <si>
    <t>Bovisio</t>
  </si>
  <si>
    <t>Ostiglia</t>
  </si>
  <si>
    <t>Lienz</t>
  </si>
  <si>
    <r>
      <t xml:space="preserve">FR </t>
    </r>
    <r>
      <rPr>
        <b/>
        <sz val="10"/>
        <color theme="0"/>
        <rFont val="Wingdings"/>
        <charset val="2"/>
      </rPr>
      <t>è</t>
    </r>
    <r>
      <rPr>
        <b/>
        <sz val="10"/>
        <color theme="0"/>
        <rFont val="Arial"/>
        <family val="2"/>
      </rPr>
      <t xml:space="preserve"> IT</t>
    </r>
  </si>
  <si>
    <r>
      <t xml:space="preserve">CH </t>
    </r>
    <r>
      <rPr>
        <b/>
        <sz val="10"/>
        <color theme="0"/>
        <rFont val="Wingdings"/>
        <charset val="2"/>
      </rPr>
      <t>è</t>
    </r>
    <r>
      <rPr>
        <b/>
        <sz val="10"/>
        <color theme="0"/>
        <rFont val="Arial"/>
        <family val="2"/>
      </rPr>
      <t xml:space="preserve"> IT</t>
    </r>
  </si>
  <si>
    <r>
      <t xml:space="preserve">AT </t>
    </r>
    <r>
      <rPr>
        <b/>
        <sz val="10"/>
        <color theme="0"/>
        <rFont val="Wingdings"/>
        <charset val="2"/>
      </rPr>
      <t>è</t>
    </r>
    <r>
      <rPr>
        <b/>
        <sz val="10"/>
        <color theme="0"/>
        <rFont val="Arial"/>
        <family val="2"/>
      </rPr>
      <t xml:space="preserve"> IT</t>
    </r>
  </si>
  <si>
    <r>
      <t xml:space="preserve">SI </t>
    </r>
    <r>
      <rPr>
        <b/>
        <sz val="10"/>
        <color theme="0"/>
        <rFont val="Wingdings"/>
        <charset val="2"/>
      </rPr>
      <t>è</t>
    </r>
    <r>
      <rPr>
        <b/>
        <sz val="10"/>
        <color theme="0"/>
        <rFont val="Arial"/>
        <family val="2"/>
      </rPr>
      <t xml:space="preserve"> IT</t>
    </r>
  </si>
  <si>
    <t>Initial physical flows on adapted base case</t>
  </si>
  <si>
    <t>Compensation ratio (calculated from NTC)</t>
  </si>
  <si>
    <t>Pentalateral impact on physical flows</t>
  </si>
  <si>
    <t>Tap position</t>
  </si>
  <si>
    <t>Physical flow to Italy (MW)</t>
  </si>
  <si>
    <t>NTC off-peak</t>
  </si>
  <si>
    <t>off-peak</t>
  </si>
  <si>
    <t>Soverzene</t>
  </si>
  <si>
    <t>Montjovet</t>
  </si>
  <si>
    <t>Coreso Operators</t>
  </si>
  <si>
    <t>Zerjavinec</t>
  </si>
  <si>
    <t>Mraclin</t>
  </si>
  <si>
    <t>Leini</t>
  </si>
  <si>
    <t>Musignano</t>
  </si>
  <si>
    <t>Lavorgo</t>
  </si>
  <si>
    <t>Avegno</t>
  </si>
  <si>
    <t>Magadino</t>
  </si>
  <si>
    <r>
      <rPr>
        <b/>
        <u/>
        <sz val="8"/>
        <color theme="1"/>
        <rFont val="Calibri"/>
        <family val="2"/>
        <scheme val="minor"/>
      </rPr>
      <t>Curative action:</t>
    </r>
    <r>
      <rPr>
        <sz val="8"/>
        <color theme="1"/>
        <rFont val="Calibri"/>
        <family val="2"/>
        <scheme val="minor"/>
      </rPr>
      <t xml:space="preserve"> 2 nodes topology in Leini =&gt; 99% remaining.</t>
    </r>
  </si>
  <si>
    <t>Maribor</t>
  </si>
  <si>
    <t>Obersielach</t>
  </si>
  <si>
    <r>
      <t xml:space="preserve">Curative action: </t>
    </r>
    <r>
      <rPr>
        <u/>
        <sz val="8"/>
        <color theme="1"/>
        <rFont val="Calibri"/>
        <family val="2"/>
        <scheme val="minor"/>
      </rPr>
      <t>Divaca PST -5 taps =&gt; 96% remaining</t>
    </r>
  </si>
  <si>
    <t>Contingency</t>
  </si>
  <si>
    <t>Filsur</t>
  </si>
  <si>
    <t>Robbia- Pradella - Sils</t>
  </si>
  <si>
    <t>BONSIR Sébastien</t>
  </si>
  <si>
    <t>BROUTA Karl</t>
  </si>
  <si>
    <t>CARNANDET Benoit</t>
  </si>
  <si>
    <t>DEJONG Aubry</t>
  </si>
  <si>
    <t>D'HOKER Jeroen</t>
  </si>
  <si>
    <t>MIANI Kévin</t>
  </si>
  <si>
    <t>X &lt; 50 % of Imax</t>
  </si>
  <si>
    <t>50 ≤ X &lt; 75 % of Imax</t>
  </si>
  <si>
    <t>Gorlago</t>
  </si>
  <si>
    <t>Piancamuno</t>
  </si>
  <si>
    <t>San Fiorano</t>
  </si>
  <si>
    <t>Nave</t>
  </si>
  <si>
    <r>
      <rPr>
        <b/>
        <sz val="16"/>
        <rFont val="Arial"/>
        <family val="2"/>
      </rPr>
      <t>South D</t>
    </r>
    <r>
      <rPr>
        <b/>
        <sz val="16"/>
        <color theme="1"/>
        <rFont val="Arial"/>
        <family val="2"/>
      </rPr>
      <t>ay Ahead report for</t>
    </r>
  </si>
  <si>
    <t>Constraints greater than 100% on NL + Amprion 400kV grids and greater than 120% on DE, CZ,PL and SK 400kV grids</t>
  </si>
  <si>
    <t>Special topologies</t>
  </si>
  <si>
    <t>Backup path :</t>
  </si>
  <si>
    <r>
      <t>Off peak</t>
    </r>
    <r>
      <rPr>
        <sz val="14"/>
        <color theme="1"/>
        <rFont val="Calibri"/>
        <family val="2"/>
        <scheme val="minor"/>
      </rPr>
      <t xml:space="preserve"> PST &amp; Flows Terna</t>
    </r>
  </si>
  <si>
    <t>Use the Convergence dataset :</t>
  </si>
  <si>
    <t>South :</t>
  </si>
  <si>
    <t>[Lines] D-1 Report IT</t>
  </si>
  <si>
    <t>Rondissone Real Tap = DACF Tap - 34</t>
  </si>
  <si>
    <t>Divaca Real Tap = DACF Tap - 33</t>
  </si>
  <si>
    <t>X ≥ 75 % of Imax</t>
  </si>
  <si>
    <t>Don't use this cell ! It is used for the North report.</t>
  </si>
  <si>
    <t>OFF PEAK</t>
  </si>
  <si>
    <t>HECKMANN Steffi</t>
  </si>
  <si>
    <t>N state flows Off-Peak &amp; Peak</t>
  </si>
  <si>
    <t>Peak constraints on APG, Eles, RTE (South), Swissgrid and Terna 400kV grids and tie-lines</t>
  </si>
  <si>
    <t>Constraints on APG, Eles, RTE (South), Swissgrid and Terna 400kV grids and tie-lines</t>
  </si>
  <si>
    <t>Z:\CORESO tree\06-Day ahead\Back Up\DA Excel Report\Back Up Excel\</t>
  </si>
  <si>
    <r>
      <t>Peak</t>
    </r>
    <r>
      <rPr>
        <sz val="14"/>
        <rFont val="Calibri"/>
        <family val="2"/>
        <scheme val="minor"/>
      </rPr>
      <t xml:space="preserve"> PST &amp; Flows Terna</t>
    </r>
  </si>
  <si>
    <t xml:space="preserve">Terna </t>
  </si>
  <si>
    <t>Brugherio</t>
  </si>
  <si>
    <t>Ospiate</t>
  </si>
  <si>
    <t>Torretta</t>
  </si>
  <si>
    <r>
      <t>Curative action:</t>
    </r>
    <r>
      <rPr>
        <sz val="8"/>
        <color theme="1"/>
        <rFont val="Calibri"/>
        <family val="2"/>
        <scheme val="minor"/>
      </rPr>
      <t xml:space="preserve"> no cascading effect after the tripping of  Ospiate-Torretta 220kV</t>
    </r>
  </si>
  <si>
    <t>Soazza</t>
  </si>
  <si>
    <t>Redipuglia - Divaca</t>
  </si>
  <si>
    <t>Padriciano - Divaca</t>
  </si>
  <si>
    <t>Grande Ile</t>
  </si>
  <si>
    <t>Pivoz-Cordier</t>
  </si>
  <si>
    <t>Busbar</t>
  </si>
  <si>
    <t>1B</t>
  </si>
  <si>
    <t>Coulange</t>
  </si>
  <si>
    <t>Pivoz Cordier</t>
  </si>
  <si>
    <t>Chaffard</t>
  </si>
  <si>
    <t>Beaumont</t>
  </si>
  <si>
    <t>Pieve Albignola</t>
  </si>
  <si>
    <t>N-1</t>
  </si>
  <si>
    <t>La Spezia</t>
  </si>
  <si>
    <t>Vignole Borbera</t>
  </si>
  <si>
    <t>Observability area</t>
  </si>
  <si>
    <t>axis</t>
  </si>
  <si>
    <t>Remaining</t>
  </si>
  <si>
    <t>Vellai</t>
  </si>
  <si>
    <r>
      <t xml:space="preserve">Internal redispatching
</t>
    </r>
    <r>
      <rPr>
        <b/>
        <sz val="8"/>
        <color rgb="FF000000"/>
        <rFont val="Calibri"/>
        <family val="2"/>
      </rPr>
      <t>Note</t>
    </r>
    <r>
      <rPr>
        <sz val="8"/>
        <color rgb="FF000000"/>
        <rFont val="Calibri"/>
        <family val="2"/>
      </rPr>
      <t xml:space="preserve"> : 2 nodes in Turbigo =&gt;100% remaining</t>
    </r>
  </si>
  <si>
    <r>
      <rPr>
        <b/>
        <u/>
        <sz val="8"/>
        <color rgb="FF000000"/>
        <rFont val="Calibri"/>
        <family val="2"/>
      </rPr>
      <t>Preventive action:</t>
    </r>
    <r>
      <rPr>
        <sz val="8"/>
        <color rgb="FF000000"/>
        <rFont val="Calibri"/>
        <family val="2"/>
      </rPr>
      <t xml:space="preserve"> Mendrisio PST back to target flow (automatic device) =&gt; 96% remaining </t>
    </r>
  </si>
  <si>
    <t>101% (10')</t>
  </si>
  <si>
    <t xml:space="preserve"> </t>
  </si>
  <si>
    <r>
      <rPr>
        <b/>
        <u/>
        <sz val="8"/>
        <color theme="1"/>
        <rFont val="Calibri"/>
        <family val="2"/>
        <scheme val="minor"/>
      </rPr>
      <t xml:space="preserve">Preventive action : </t>
    </r>
    <r>
      <rPr>
        <b/>
        <sz val="8"/>
        <color theme="1"/>
        <rFont val="Calibri"/>
        <family val="2"/>
        <scheme val="minor"/>
      </rPr>
      <t xml:space="preserve"> </t>
    </r>
    <r>
      <rPr>
        <sz val="8"/>
        <color theme="1"/>
        <rFont val="Calibri"/>
        <family val="2"/>
        <scheme val="minor"/>
      </rPr>
      <t xml:space="preserve">-3 tap in Lienz PST  (14 to 11) =&gt; 118% remaining  for PST  (109% for line)
</t>
    </r>
    <r>
      <rPr>
        <b/>
        <u/>
        <sz val="8"/>
        <color theme="1"/>
        <rFont val="Calibri"/>
        <family val="2"/>
        <scheme val="minor"/>
      </rPr>
      <t>Curative action :</t>
    </r>
    <r>
      <rPr>
        <sz val="8"/>
        <color theme="1"/>
        <rFont val="Calibri"/>
        <family val="2"/>
        <scheme val="minor"/>
      </rPr>
      <t xml:space="preserve">  -4 tap in Lienz PST (11 to 7) =&gt; 99% remaining for PST  (89% for line)</t>
    </r>
  </si>
  <si>
    <r>
      <rPr>
        <b/>
        <u/>
        <sz val="8"/>
        <color theme="1"/>
        <rFont val="Calibri"/>
        <family val="2"/>
        <scheme val="minor"/>
      </rPr>
      <t>Observability area :</t>
    </r>
    <r>
      <rPr>
        <b/>
        <sz val="8"/>
        <color theme="1"/>
        <rFont val="Calibri"/>
        <family val="2"/>
        <scheme val="minor"/>
      </rPr>
      <t xml:space="preserve"> </t>
    </r>
    <r>
      <rPr>
        <sz val="8"/>
        <color theme="1"/>
        <rFont val="Calibri"/>
        <family val="2"/>
        <scheme val="minor"/>
      </rPr>
      <t xml:space="preserve">2 nodes in Coulange and Pivoz Cordier 380kV =&gt;119% (20') remaining. Some 220kV line in overload around Pratclaux area (2 nodes in Beaumont 220kV).  
</t>
    </r>
    <r>
      <rPr>
        <u/>
        <sz val="8"/>
        <color theme="1"/>
        <rFont val="Calibri"/>
        <family val="2"/>
        <scheme val="minor"/>
      </rPr>
      <t>Note:</t>
    </r>
    <r>
      <rPr>
        <sz val="8"/>
        <color theme="1"/>
        <rFont val="Calibri"/>
        <family val="2"/>
        <scheme val="minor"/>
      </rPr>
      <t xml:space="preserve"> Stopping 4 pumps in Grand Maison decreases overload by 4%.
</t>
    </r>
    <r>
      <rPr>
        <u/>
        <sz val="8"/>
        <color theme="1"/>
        <rFont val="Calibri"/>
        <family val="2"/>
        <scheme val="minor"/>
      </rPr>
      <t>Note:</t>
    </r>
    <r>
      <rPr>
        <sz val="8"/>
        <color theme="1"/>
        <rFont val="Calibri"/>
        <family val="2"/>
        <scheme val="minor"/>
      </rPr>
      <t xml:space="preserve"> Decrease 900MW at Tricastin or Cruas decreases overload by 22% and also resolves the constraints on the 220kV network.</t>
    </r>
  </si>
  <si>
    <t>116% (20')</t>
  </si>
  <si>
    <t>101% (20')</t>
  </si>
  <si>
    <t>La Praz</t>
  </si>
  <si>
    <r>
      <rPr>
        <b/>
        <u/>
        <sz val="8"/>
        <color theme="1"/>
        <rFont val="Calibri"/>
        <family val="2"/>
        <scheme val="minor"/>
      </rPr>
      <t xml:space="preserve">Curative action : </t>
    </r>
    <r>
      <rPr>
        <b/>
        <sz val="8"/>
        <color theme="1"/>
        <rFont val="Calibri"/>
        <family val="2"/>
        <scheme val="minor"/>
      </rPr>
      <t xml:space="preserve"> </t>
    </r>
    <r>
      <rPr>
        <sz val="8"/>
        <color theme="1"/>
        <rFont val="Calibri"/>
        <family val="2"/>
        <scheme val="minor"/>
      </rPr>
      <t>+2 tap in La Praz PST ( 17 to 19) =&gt; 99% remaining</t>
    </r>
  </si>
  <si>
    <t>Rte / Terna</t>
  </si>
  <si>
    <t>Divaca</t>
  </si>
  <si>
    <t>Padriciano</t>
  </si>
  <si>
    <t>Melina</t>
  </si>
  <si>
    <t>Axis</t>
  </si>
  <si>
    <r>
      <t>Curative action:</t>
    </r>
    <r>
      <rPr>
        <sz val="8"/>
        <color theme="1"/>
        <rFont val="Calibri"/>
        <family val="2"/>
        <scheme val="minor"/>
      </rPr>
      <t xml:space="preserve"> Open the line Padriciano Divaca 220KV (21% remaining)
</t>
    </r>
    <r>
      <rPr>
        <b/>
        <u/>
        <sz val="8"/>
        <color theme="1"/>
        <rFont val="Calibri"/>
        <family val="2"/>
        <scheme val="minor"/>
      </rPr>
      <t>Note :</t>
    </r>
    <r>
      <rPr>
        <sz val="8"/>
        <color theme="1"/>
        <rFont val="Calibri"/>
        <family val="2"/>
        <scheme val="minor"/>
      </rPr>
      <t xml:space="preserve"> Impossible to increase taps on PST Padriciano because no tap available (already in 33)</t>
    </r>
  </si>
  <si>
    <t>Venaus</t>
  </si>
  <si>
    <t>Piossasco</t>
  </si>
  <si>
    <t>Villarodin</t>
  </si>
  <si>
    <r>
      <t>Curative action:</t>
    </r>
    <r>
      <rPr>
        <sz val="8"/>
        <color theme="1"/>
        <rFont val="Calibri"/>
        <family val="2"/>
        <scheme val="minor"/>
      </rPr>
      <t xml:space="preserve"> increase 5 taps on La Praz PST (99% remaining)</t>
    </r>
  </si>
  <si>
    <r>
      <t>Curative action:</t>
    </r>
    <r>
      <rPr>
        <sz val="8"/>
        <color theme="1"/>
        <rFont val="Calibri"/>
        <family val="2"/>
        <scheme val="minor"/>
      </rPr>
      <t xml:space="preserve"> decrease 2 taps on La Praz PST (79% remaining)</t>
    </r>
  </si>
  <si>
    <t>OR</t>
  </si>
  <si>
    <t>Bois Tollot</t>
  </si>
  <si>
    <t>Verbois</t>
  </si>
  <si>
    <t>Genissiat</t>
  </si>
  <si>
    <t>Batiaz</t>
  </si>
  <si>
    <t>Saint Triphon</t>
  </si>
  <si>
    <t>Leyni</t>
  </si>
  <si>
    <t>Levana</t>
  </si>
  <si>
    <t>Martin N K</t>
  </si>
  <si>
    <r>
      <t>Observability area
Note :</t>
    </r>
    <r>
      <rPr>
        <sz val="8"/>
        <color theme="1"/>
        <rFont val="Calibri"/>
        <family val="2"/>
        <scheme val="minor"/>
      </rPr>
      <t xml:space="preserve"> The loss of the line didn't show any constraint.</t>
    </r>
  </si>
  <si>
    <t>Verderio</t>
  </si>
  <si>
    <t>Bulciago</t>
  </si>
  <si>
    <t>Vignole</t>
  </si>
  <si>
    <t>Spezia</t>
  </si>
  <si>
    <t>Internal redispatching</t>
  </si>
  <si>
    <t>97% 1'</t>
  </si>
  <si>
    <t>Champagnol</t>
  </si>
  <si>
    <t>Swissgrid / Terna</t>
  </si>
  <si>
    <t>Ponte</t>
  </si>
  <si>
    <t>Serra</t>
  </si>
  <si>
    <t>Pallanzeno</t>
  </si>
  <si>
    <t>Bonaduz</t>
  </si>
  <si>
    <t xml:space="preserve">Sils </t>
  </si>
  <si>
    <t>1&amp;2</t>
  </si>
  <si>
    <t xml:space="preserve">Pradella </t>
  </si>
  <si>
    <t>La Punt</t>
  </si>
  <si>
    <t>S.Fiorano</t>
  </si>
  <si>
    <t>Copy/paste charts, not the lines to avoid 100pages in your report!</t>
  </si>
  <si>
    <t>ATD Redipuglia - Planais</t>
  </si>
  <si>
    <t>Redipuglia/Padriciano - Divaca</t>
  </si>
  <si>
    <t xml:space="preserve">Eles / Terna </t>
  </si>
  <si>
    <t>Divaca - Melina</t>
  </si>
  <si>
    <t>Monfalcone</t>
  </si>
  <si>
    <t>Robbia - Filisur / Pradella Sils</t>
  </si>
  <si>
    <r>
      <t>Curative action:</t>
    </r>
    <r>
      <rPr>
        <b/>
        <sz val="8"/>
        <color theme="1"/>
        <rFont val="Calibri"/>
        <family val="2"/>
        <scheme val="minor"/>
      </rPr>
      <t xml:space="preserve"> </t>
    </r>
    <r>
      <rPr>
        <sz val="8"/>
        <color theme="1"/>
        <rFont val="Calibri"/>
        <family val="2"/>
        <scheme val="minor"/>
      </rPr>
      <t>Open the 220kV line --&gt; no constraint remaining</t>
    </r>
  </si>
  <si>
    <t>Pradella</t>
  </si>
  <si>
    <t>La punt</t>
  </si>
  <si>
    <t>Bonaduz - Sils 1&amp;2</t>
  </si>
  <si>
    <r>
      <rPr>
        <b/>
        <u/>
        <sz val="8"/>
        <color theme="1"/>
        <rFont val="Calibri"/>
        <family val="2"/>
        <scheme val="minor"/>
      </rPr>
      <t>Curative action:</t>
    </r>
    <r>
      <rPr>
        <sz val="8"/>
        <color theme="1"/>
        <rFont val="Calibri"/>
        <family val="2"/>
        <scheme val="minor"/>
      </rPr>
      <t xml:space="preserve"> 2 nodes in Sils (98%) + Open a TR in Soazza (96%)</t>
    </r>
  </si>
  <si>
    <t>Eles / HEP / Terna</t>
  </si>
  <si>
    <t>APG / Swissgrid / Terna</t>
  </si>
  <si>
    <t>APG / Eles / Terna</t>
  </si>
  <si>
    <t xml:space="preserve">Rte / Terna </t>
  </si>
  <si>
    <t>Rte / Swissgrid</t>
  </si>
  <si>
    <t>Eles / Swissgrid / Terna</t>
  </si>
  <si>
    <r>
      <rPr>
        <b/>
        <u/>
        <sz val="8"/>
        <color theme="1"/>
        <rFont val="Calibri"/>
        <family val="2"/>
        <scheme val="minor"/>
      </rPr>
      <t>Curative action:</t>
    </r>
    <r>
      <rPr>
        <sz val="8"/>
        <color theme="1"/>
        <rFont val="Calibri"/>
        <family val="2"/>
        <scheme val="minor"/>
      </rPr>
      <t xml:space="preserve"> not in observability area
</t>
    </r>
    <r>
      <rPr>
        <b/>
        <u/>
        <sz val="8"/>
        <color theme="1"/>
        <rFont val="Calibri"/>
        <family val="2"/>
        <scheme val="minor"/>
      </rPr>
      <t>Note:</t>
    </r>
    <r>
      <rPr>
        <sz val="8"/>
        <color theme="1"/>
        <rFont val="Calibri"/>
        <family val="2"/>
        <scheme val="minor"/>
      </rPr>
      <t xml:space="preserve"> ELES will reduce the IT-Sl Targetflow to 250 MW as preventive action</t>
    </r>
  </si>
  <si>
    <r>
      <rPr>
        <b/>
        <u/>
        <sz val="8"/>
        <color theme="1"/>
        <rFont val="Calibri"/>
        <family val="2"/>
        <scheme val="minor"/>
      </rPr>
      <t>Preventive action</t>
    </r>
    <r>
      <rPr>
        <u/>
        <sz val="8"/>
        <color theme="1"/>
        <rFont val="Calibri"/>
        <family val="2"/>
        <scheme val="minor"/>
      </rPr>
      <t>:</t>
    </r>
    <r>
      <rPr>
        <sz val="8"/>
        <color theme="1"/>
        <rFont val="Calibri"/>
        <family val="2"/>
        <scheme val="minor"/>
      </rPr>
      <t xml:space="preserve"> 2 nodes in Pradella --&gt; 89%  
OR 2 nodes in Sils --&gt; 91% remaining OR open TR 380/220 in Pradella --&gt; 97% </t>
    </r>
  </si>
  <si>
    <r>
      <rPr>
        <b/>
        <u/>
        <sz val="8"/>
        <color theme="1"/>
        <rFont val="Calibri"/>
        <family val="2"/>
        <scheme val="minor"/>
      </rPr>
      <t>Preventive action:</t>
    </r>
    <r>
      <rPr>
        <sz val="8"/>
        <color theme="1"/>
        <rFont val="Calibri"/>
        <family val="2"/>
        <scheme val="minor"/>
      </rPr>
      <t xml:space="preserve"> 2N in Batiaz 220kV + Increase 15 taps (13-&gt;28) on Chamoson PST --&gt; 111% remaining
</t>
    </r>
    <r>
      <rPr>
        <b/>
        <u/>
        <sz val="8"/>
        <color theme="1"/>
        <rFont val="Calibri"/>
        <family val="2"/>
        <scheme val="minor"/>
      </rPr>
      <t xml:space="preserve">Curative action : </t>
    </r>
    <r>
      <rPr>
        <sz val="8"/>
        <color theme="1"/>
        <rFont val="Calibri"/>
        <family val="2"/>
        <scheme val="minor"/>
      </rPr>
      <t>Open 1 TR in Genissiat --&gt; 97% remaining</t>
    </r>
  </si>
  <si>
    <t>Pradella - Sils</t>
  </si>
  <si>
    <r>
      <t>Preventive action:</t>
    </r>
    <r>
      <rPr>
        <sz val="8"/>
        <color theme="1"/>
        <rFont val="Calibri"/>
        <family val="2"/>
        <scheme val="minor"/>
      </rPr>
      <t xml:space="preserve">  1N in Magenta 220 kV --&gt; 74% </t>
    </r>
  </si>
  <si>
    <r>
      <rPr>
        <b/>
        <u/>
        <sz val="8"/>
        <color theme="1"/>
        <rFont val="Calibri"/>
        <family val="2"/>
        <scheme val="minor"/>
      </rPr>
      <t>Preventive action</t>
    </r>
    <r>
      <rPr>
        <u/>
        <sz val="8"/>
        <color theme="1"/>
        <rFont val="Calibri"/>
        <family val="2"/>
        <scheme val="minor"/>
      </rPr>
      <t>:</t>
    </r>
    <r>
      <rPr>
        <sz val="8"/>
        <color theme="1"/>
        <rFont val="Calibri"/>
        <family val="2"/>
        <scheme val="minor"/>
      </rPr>
      <t xml:space="preserve"> 2 nodes in Sils =&gt; 95% remainig or open transformer  380/220 in Soazza =&gt; 99% remainig </t>
    </r>
  </si>
  <si>
    <r>
      <t>Preventive action :</t>
    </r>
    <r>
      <rPr>
        <sz val="8"/>
        <color theme="1"/>
        <rFont val="Calibri"/>
        <family val="2"/>
        <scheme val="minor"/>
      </rPr>
      <t xml:space="preserve"> Decrease 2 taps on Lienz PST (125% remaining)</t>
    </r>
    <r>
      <rPr>
        <b/>
        <u/>
        <sz val="8"/>
        <color theme="1"/>
        <rFont val="Calibri"/>
        <family val="2"/>
        <scheme val="minor"/>
      </rPr>
      <t xml:space="preserve">
Curative action:</t>
    </r>
    <r>
      <rPr>
        <b/>
        <sz val="8"/>
        <color theme="1"/>
        <rFont val="Calibri"/>
        <family val="2"/>
        <scheme val="minor"/>
      </rPr>
      <t xml:space="preserve"> </t>
    </r>
    <r>
      <rPr>
        <sz val="8"/>
        <color theme="1"/>
        <rFont val="Calibri"/>
        <family val="2"/>
        <scheme val="minor"/>
      </rPr>
      <t>one generator of Malta in direct operation to Soverzene (52% remaining)</t>
    </r>
  </si>
  <si>
    <r>
      <t>Curative action:</t>
    </r>
    <r>
      <rPr>
        <b/>
        <sz val="8"/>
        <color theme="1"/>
        <rFont val="Calibri"/>
        <family val="2"/>
        <scheme val="minor"/>
      </rPr>
      <t xml:space="preserve"> </t>
    </r>
    <r>
      <rPr>
        <sz val="8"/>
        <color theme="1"/>
        <rFont val="Calibri"/>
        <family val="2"/>
        <scheme val="minor"/>
      </rPr>
      <t>Lienz PST -1 taps --&gt; 94% remaining</t>
    </r>
  </si>
  <si>
    <r>
      <t xml:space="preserve">Curative action: </t>
    </r>
    <r>
      <rPr>
        <sz val="8"/>
        <color theme="1"/>
        <rFont val="Calibri"/>
        <family val="2"/>
        <scheme val="minor"/>
      </rPr>
      <t>Lienz PST -1 tap --&gt; 95% remaining
No cascading effect after the tripping of  Ospiate-Torretta 220kV</t>
    </r>
  </si>
  <si>
    <r>
      <t xml:space="preserve">Preventive action:  </t>
    </r>
    <r>
      <rPr>
        <sz val="8"/>
        <color theme="1"/>
        <rFont val="Calibri"/>
        <family val="2"/>
        <scheme val="minor"/>
      </rPr>
      <t>2 nodes in Sils, +4 taps on Lavorgo PST</t>
    </r>
    <r>
      <rPr>
        <b/>
        <u/>
        <sz val="8"/>
        <color theme="1"/>
        <rFont val="Calibri"/>
        <family val="2"/>
        <scheme val="minor"/>
      </rPr>
      <t xml:space="preserve">
Curative action: </t>
    </r>
    <r>
      <rPr>
        <sz val="8"/>
        <color theme="1"/>
        <rFont val="Calibri"/>
        <family val="2"/>
        <scheme val="minor"/>
      </rPr>
      <t>Lienz PST  -2 taps, Rondissone PST + 33 taps (max), La Praz PST -16taps and +8 taps Divaca PST 
 --&gt; Lienz PST at 86% remaining, Sils-Soazza 380kV line at 96%, Lavrogo-Musignano 380kV at 96%</t>
    </r>
  </si>
  <si>
    <r>
      <t>Curative action:</t>
    </r>
    <r>
      <rPr>
        <sz val="8"/>
        <color theme="1"/>
        <rFont val="Calibri"/>
        <family val="2"/>
        <scheme val="minor"/>
      </rPr>
      <t xml:space="preserve"> Lienz PST -6 taps --&gt; 84% remaining on Lienz - Soverzene 220kV, then
</t>
    </r>
    <r>
      <rPr>
        <b/>
        <u/>
        <sz val="8"/>
        <color theme="1"/>
        <rFont val="Calibri"/>
        <family val="2"/>
        <scheme val="minor"/>
      </rPr>
      <t>Curative action:</t>
    </r>
    <r>
      <rPr>
        <sz val="8"/>
        <color theme="1"/>
        <rFont val="Calibri"/>
        <family val="2"/>
        <scheme val="minor"/>
      </rPr>
      <t xml:space="preserve"> 2 nodes in Sils (109% in Pradella-La Punt)
</t>
    </r>
    <r>
      <rPr>
        <b/>
        <u/>
        <sz val="8"/>
        <color rgb="FFFF0000"/>
        <rFont val="Calibri"/>
        <family val="2"/>
        <scheme val="minor"/>
      </rPr>
      <t xml:space="preserve">Pentalateral needed : </t>
    </r>
    <r>
      <rPr>
        <sz val="8"/>
        <color rgb="FFFF0000"/>
        <rFont val="Calibri"/>
        <family val="2"/>
        <scheme val="minor"/>
      </rPr>
      <t xml:space="preserve"> (99% remaining with "1300MW" less on the global Italian load). 350MW of Pentalaterale is more realistic by doing redispatching on the most efficient generation (see coordinated redispatching table).</t>
    </r>
  </si>
  <si>
    <r>
      <t>Curative action :</t>
    </r>
    <r>
      <rPr>
        <b/>
        <sz val="8"/>
        <color rgb="FF000000"/>
        <rFont val="Calibri"/>
        <family val="2"/>
      </rPr>
      <t xml:space="preserve">  </t>
    </r>
    <r>
      <rPr>
        <sz val="8"/>
        <color rgb="FF000000"/>
        <rFont val="Calibri"/>
        <family val="2"/>
      </rPr>
      <t>-4 taps on Lienz PST --&gt; 97% remaining</t>
    </r>
  </si>
  <si>
    <r>
      <t>Preventive action:</t>
    </r>
    <r>
      <rPr>
        <b/>
        <sz val="8"/>
        <color theme="1"/>
        <rFont val="Calibri"/>
        <family val="2"/>
        <scheme val="minor"/>
      </rPr>
      <t xml:space="preserve"> </t>
    </r>
    <r>
      <rPr>
        <sz val="8"/>
        <color theme="1"/>
        <rFont val="Calibri"/>
        <family val="2"/>
        <scheme val="minor"/>
      </rPr>
      <t xml:space="preserve">Increase SL/IT target flow to 870 MW (tap 10 in Divaca) --&gt; 99% remaining on Soazza-Bulciago, 100% on Lavorgo-Musignano, 113% on Bovisio-Verderio
</t>
    </r>
    <r>
      <rPr>
        <b/>
        <u/>
        <sz val="8"/>
        <color theme="1"/>
        <rFont val="Calibri"/>
        <family val="2"/>
        <scheme val="minor"/>
      </rPr>
      <t>Curative actions:</t>
    </r>
    <r>
      <rPr>
        <sz val="8"/>
        <color theme="1"/>
        <rFont val="Calibri"/>
        <family val="2"/>
        <scheme val="minor"/>
      </rPr>
      <t xml:space="preserve"> Open 220kV line Gorlago-Chiari =&gt; 104% remaining 
+ 1 node in Bovisio =&gt; 98% remaining on Bovisio-Verderio
OR
Redispatching (increase generation in San Fiorano)</t>
    </r>
  </si>
  <si>
    <r>
      <rPr>
        <b/>
        <u/>
        <sz val="8"/>
        <color theme="1"/>
        <rFont val="Calibri"/>
        <family val="2"/>
        <scheme val="minor"/>
      </rPr>
      <t>Curative action:</t>
    </r>
    <r>
      <rPr>
        <sz val="8"/>
        <color theme="1"/>
        <rFont val="Calibri"/>
        <family val="2"/>
        <scheme val="minor"/>
      </rPr>
      <t xml:space="preserve"> Divaca PST -18 taps --&gt; 100% remaining
</t>
    </r>
    <r>
      <rPr>
        <b/>
        <u/>
        <sz val="8"/>
        <color theme="1"/>
        <rFont val="Calibri"/>
        <family val="2"/>
        <scheme val="minor"/>
      </rPr>
      <t>Note:</t>
    </r>
    <r>
      <rPr>
        <sz val="8"/>
        <color theme="1"/>
        <rFont val="Calibri"/>
        <family val="2"/>
        <scheme val="minor"/>
      </rPr>
      <t xml:space="preserve"> ELES will reduce the IT-Sl Targetflow to 250 MW as preventive action</t>
    </r>
  </si>
  <si>
    <r>
      <rPr>
        <b/>
        <u/>
        <sz val="8"/>
        <color theme="1"/>
        <rFont val="Calibri"/>
        <family val="2"/>
        <scheme val="minor"/>
      </rPr>
      <t>Curative action:</t>
    </r>
    <r>
      <rPr>
        <sz val="8"/>
        <color theme="1"/>
        <rFont val="Calibri"/>
        <family val="2"/>
        <scheme val="minor"/>
      </rPr>
      <t xml:space="preserve"> Reduce generation in Edolo and San Fiorano. 160 MW is needed to solve the whole constraint. 
With 2 nodes topology in Sils this constraint disappears.</t>
    </r>
  </si>
  <si>
    <r>
      <rPr>
        <b/>
        <u/>
        <sz val="8"/>
        <color theme="1"/>
        <rFont val="Calibri"/>
        <family val="2"/>
        <scheme val="minor"/>
      </rPr>
      <t>Preventive action:</t>
    </r>
    <r>
      <rPr>
        <b/>
        <sz val="8"/>
        <color theme="1"/>
        <rFont val="Calibri"/>
        <family val="2"/>
        <scheme val="minor"/>
      </rPr>
      <t xml:space="preserve"> </t>
    </r>
    <r>
      <rPr>
        <sz val="8"/>
        <color theme="1"/>
        <rFont val="Calibri"/>
        <family val="2"/>
        <scheme val="minor"/>
      </rPr>
      <t>2 nodes in Sils (not confirmed by Swissgrid) 
--&gt; 98%  on Bulciago - Soazza, 99% on Lavorgo-Musignano, 93% on Bovisio-Verderio</t>
    </r>
  </si>
  <si>
    <t>Airolo - Fiesch</t>
  </si>
  <si>
    <r>
      <rPr>
        <b/>
        <u/>
        <sz val="8"/>
        <color theme="1"/>
        <rFont val="Calibri"/>
        <family val="2"/>
        <scheme val="minor"/>
      </rPr>
      <t>Curative action:</t>
    </r>
    <r>
      <rPr>
        <sz val="8"/>
        <color theme="1"/>
        <rFont val="Calibri"/>
        <family val="2"/>
        <scheme val="minor"/>
      </rPr>
      <t xml:space="preserve"> Increase 2 taps on La Praz PST --&gt; 99% remaining</t>
    </r>
  </si>
  <si>
    <r>
      <rPr>
        <b/>
        <u/>
        <sz val="8"/>
        <color theme="1"/>
        <rFont val="Calibri"/>
        <family val="2"/>
        <scheme val="minor"/>
      </rPr>
      <t>Observability area :</t>
    </r>
    <r>
      <rPr>
        <b/>
        <sz val="8"/>
        <color theme="1"/>
        <rFont val="Calibri"/>
        <family val="2"/>
        <scheme val="minor"/>
      </rPr>
      <t xml:space="preserve"> </t>
    </r>
    <r>
      <rPr>
        <sz val="8"/>
        <color theme="1"/>
        <rFont val="Calibri"/>
        <family val="2"/>
        <scheme val="minor"/>
      </rPr>
      <t>2 nodes in Chaffard  and Charpenay --&gt; 97% remaining</t>
    </r>
  </si>
  <si>
    <r>
      <t xml:space="preserve">Curative action:  </t>
    </r>
    <r>
      <rPr>
        <sz val="8"/>
        <color theme="1"/>
        <rFont val="Calibri"/>
        <family val="2"/>
        <scheme val="minor"/>
      </rPr>
      <t>2 nodes in Coulange (Cruas 1 with Beaumont And Tricastin 2 on one node) --&gt; 91% remaining on Coulange-Beaumont and 108% on Beaumont-Chaffard.
Then decrease generation on Cruas 1 by 350MW --&gt; 98% remaining.</t>
    </r>
  </si>
  <si>
    <r>
      <rPr>
        <b/>
        <u/>
        <sz val="8"/>
        <color theme="1"/>
        <rFont val="Calibri"/>
        <family val="2"/>
        <scheme val="minor"/>
      </rPr>
      <t xml:space="preserve">Observability area : </t>
    </r>
    <r>
      <rPr>
        <sz val="8"/>
        <color theme="1"/>
        <rFont val="Calibri"/>
        <family val="2"/>
        <scheme val="minor"/>
      </rPr>
      <t xml:space="preserve">2 nodes in  Pivoz Cordier 380kV --&gt; 95% (20') remaining. Some 220kV line in overload around Pratclaux area (2 nodes in Beaumont 220kV). </t>
    </r>
  </si>
  <si>
    <r>
      <t>Preventive action:</t>
    </r>
    <r>
      <rPr>
        <sz val="8"/>
        <color theme="1"/>
        <rFont val="Calibri"/>
        <family val="2"/>
        <scheme val="minor"/>
      </rPr>
      <t xml:space="preserve"> Open 220kV line Génissiat-Champagnol --&gt; No cascading effect</t>
    </r>
  </si>
  <si>
    <r>
      <rPr>
        <b/>
        <u/>
        <sz val="8"/>
        <color theme="1"/>
        <rFont val="Calibri"/>
        <family val="2"/>
        <scheme val="minor"/>
      </rPr>
      <t>Curative action</t>
    </r>
    <r>
      <rPr>
        <u/>
        <sz val="8"/>
        <color theme="1"/>
        <rFont val="Calibri"/>
        <family val="2"/>
        <scheme val="minor"/>
      </rPr>
      <t>:</t>
    </r>
    <r>
      <rPr>
        <sz val="8"/>
        <color theme="1"/>
        <rFont val="Calibri"/>
        <family val="2"/>
        <scheme val="minor"/>
      </rPr>
      <t xml:space="preserve"> decrease 6 taps in Rondissone PST  --&gt; 99% remaining</t>
    </r>
  </si>
  <si>
    <t xml:space="preserve">APG / Swissgrid / Terna </t>
  </si>
  <si>
    <t>APG / Eles / Swissgrid / Terna</t>
  </si>
  <si>
    <t>If you don’t see a green box, filter is active</t>
  </si>
  <si>
    <t>DEFINED</t>
  </si>
  <si>
    <t>INVERSED AUTOMATICALLY (NOT TO BE FILLED IN)</t>
  </si>
  <si>
    <t>Albertville - Rondissone 1</t>
  </si>
  <si>
    <t>CHANGE ALSO IN D-1 NORTH SHEET CONFIG LINES !!!!!!!!!!!!</t>
  </si>
  <si>
    <t>Camporosso Real Tap = DACF Tap - 33</t>
  </si>
  <si>
    <t>Lienz (-32/32)</t>
  </si>
  <si>
    <t>Camporosso (-32/32)</t>
  </si>
  <si>
    <t>******** XAL_RO11 *</t>
  </si>
  <si>
    <t>******** XAL_RO12 *</t>
  </si>
  <si>
    <t>******** XSO_BU11 *</t>
  </si>
  <si>
    <t>******** XME_CA11 *</t>
  </si>
  <si>
    <t>******** XLA_MU11 *</t>
  </si>
  <si>
    <t>******** XRE_DI11 *</t>
  </si>
  <si>
    <t>******** XRO_SF11 *</t>
  </si>
  <si>
    <t>******** XRO_GO11 *</t>
  </si>
  <si>
    <t>******** XVL_VE11 *</t>
  </si>
  <si>
    <t>******** XAI_PO21 *</t>
  </si>
  <si>
    <t>******** XLI_SO21 *</t>
  </si>
  <si>
    <t>******** XB._CA21 *</t>
  </si>
  <si>
    <t>******** XPA_DI21 *</t>
  </si>
  <si>
    <t>******** XRI_AV21 *</t>
  </si>
  <si>
    <t>******** XRI_VA21 *</t>
  </si>
  <si>
    <t>******** XSE_PA21 *</t>
  </si>
  <si>
    <t>CWE: dd</t>
  </si>
  <si>
    <t>CEE: dd</t>
  </si>
  <si>
    <t>DOMINGUES Joel</t>
  </si>
  <si>
    <t>MÜHLING Philipp</t>
  </si>
  <si>
    <t>EL JAFOUFI Mohamed</t>
  </si>
  <si>
    <t>BIVONA Ignazio</t>
  </si>
  <si>
    <t>SCHÜLKE Arnaud</t>
  </si>
  <si>
    <t>ANDRIANI Arianna</t>
  </si>
  <si>
    <t>GOSSIAUX Alain</t>
  </si>
  <si>
    <t>Branch</t>
  </si>
  <si>
    <t>1A</t>
  </si>
  <si>
    <t>100% (10')</t>
  </si>
  <si>
    <t>Passy</t>
  </si>
  <si>
    <t>Pressy</t>
  </si>
  <si>
    <t>100% (20')</t>
  </si>
  <si>
    <t>Chavanod</t>
  </si>
  <si>
    <r>
      <t>Curative action</t>
    </r>
    <r>
      <rPr>
        <b/>
        <sz val="8"/>
        <color theme="1"/>
        <rFont val="Calibri"/>
        <family val="2"/>
        <scheme val="minor"/>
      </rPr>
      <t xml:space="preserve">: </t>
    </r>
    <r>
      <rPr>
        <sz val="8"/>
        <color theme="1"/>
        <rFont val="Calibri"/>
        <family val="2"/>
        <scheme val="minor"/>
      </rPr>
      <t xml:space="preserve">Stop 3 pumps (450MW) in S.Bissorte </t>
    </r>
    <r>
      <rPr>
        <b/>
        <sz val="8"/>
        <color theme="1"/>
        <rFont val="Calibri"/>
        <family val="2"/>
        <scheme val="minor"/>
      </rPr>
      <t>=&gt; respectively 97% (20') and 84% (20') remaining</t>
    </r>
  </si>
  <si>
    <t>Longefan</t>
  </si>
  <si>
    <t>105% (10')</t>
  </si>
  <si>
    <r>
      <t>Curative action</t>
    </r>
    <r>
      <rPr>
        <b/>
        <sz val="8"/>
        <color theme="1"/>
        <rFont val="Calibri"/>
        <family val="2"/>
        <scheme val="minor"/>
      </rPr>
      <t xml:space="preserve">: </t>
    </r>
    <r>
      <rPr>
        <sz val="8"/>
        <color theme="1"/>
        <rFont val="Calibri"/>
        <family val="2"/>
        <scheme val="minor"/>
      </rPr>
      <t xml:space="preserve">Stop 3 pumps (450MW) in S.Bissorte </t>
    </r>
    <r>
      <rPr>
        <b/>
        <sz val="8"/>
        <color theme="1"/>
        <rFont val="Calibri"/>
        <family val="2"/>
        <scheme val="minor"/>
      </rPr>
      <t>=&gt; 98% (20') remaining</t>
    </r>
  </si>
  <si>
    <r>
      <t>Curative action</t>
    </r>
    <r>
      <rPr>
        <b/>
        <sz val="8"/>
        <color theme="1"/>
        <rFont val="Calibri"/>
        <family val="2"/>
        <scheme val="minor"/>
      </rPr>
      <t>:</t>
    </r>
    <r>
      <rPr>
        <sz val="8"/>
        <color theme="1"/>
        <rFont val="Calibri"/>
        <family val="2"/>
        <scheme val="minor"/>
      </rPr>
      <t xml:space="preserve"> Decrease 2 taps on Lienz PST </t>
    </r>
    <r>
      <rPr>
        <b/>
        <sz val="8"/>
        <color theme="1"/>
        <rFont val="Calibri"/>
        <family val="2"/>
        <scheme val="minor"/>
      </rPr>
      <t>=&gt; 98% remaining</t>
    </r>
    <r>
      <rPr>
        <b/>
        <u/>
        <sz val="8"/>
        <color theme="1"/>
        <rFont val="Calibri"/>
        <family val="2"/>
        <scheme val="minor"/>
      </rPr>
      <t/>
    </r>
  </si>
  <si>
    <t>CUER Antoine</t>
  </si>
  <si>
    <t>Adaptations made on merged DACFs:</t>
  </si>
  <si>
    <t>No constraint detected</t>
  </si>
  <si>
    <t>104% (20')</t>
  </si>
  <si>
    <r>
      <rPr>
        <b/>
        <u/>
        <sz val="8"/>
        <color theme="1"/>
        <rFont val="Calibri"/>
        <family val="2"/>
        <scheme val="minor"/>
      </rPr>
      <t>Curative actions</t>
    </r>
    <r>
      <rPr>
        <b/>
        <sz val="8"/>
        <color theme="1"/>
        <rFont val="Calibri"/>
        <family val="2"/>
        <scheme val="minor"/>
      </rPr>
      <t xml:space="preserve">:  </t>
    </r>
    <r>
      <rPr>
        <sz val="8"/>
        <color theme="1"/>
        <rFont val="Calibri"/>
        <family val="2"/>
        <scheme val="minor"/>
      </rPr>
      <t xml:space="preserve">ATD will increase 5 taps on La Praz PST (17 to 22) + 2 nodes topology in Leyni </t>
    </r>
    <r>
      <rPr>
        <b/>
        <sz val="8"/>
        <color theme="1"/>
        <rFont val="Calibri"/>
        <family val="2"/>
        <scheme val="minor"/>
      </rPr>
      <t>=&gt; respectively 98% and 84% remaining</t>
    </r>
  </si>
  <si>
    <t>CWE/CEE</t>
  </si>
  <si>
    <t>CSE</t>
  </si>
  <si>
    <r>
      <t>Curative action</t>
    </r>
    <r>
      <rPr>
        <b/>
        <sz val="8"/>
        <color theme="1"/>
        <rFont val="Calibri"/>
        <family val="2"/>
        <scheme val="minor"/>
      </rPr>
      <t xml:space="preserve">: </t>
    </r>
    <r>
      <rPr>
        <sz val="8"/>
        <color theme="1"/>
        <rFont val="Calibri"/>
        <family val="2"/>
        <scheme val="minor"/>
      </rPr>
      <t xml:space="preserve">Stop 2 pumps (320MW) in Super Bissorte </t>
    </r>
    <r>
      <rPr>
        <b/>
        <sz val="8"/>
        <color theme="1"/>
        <rFont val="Calibri"/>
        <family val="2"/>
        <scheme val="minor"/>
      </rPr>
      <t xml:space="preserve">=&gt; 92% remaining
</t>
    </r>
    <r>
      <rPr>
        <sz val="8"/>
        <color theme="1"/>
        <rFont val="Calibri"/>
        <family val="2"/>
        <scheme val="minor"/>
      </rPr>
      <t xml:space="preserve">or go to neutral tap (10 to 17) on La Praz PST </t>
    </r>
    <r>
      <rPr>
        <b/>
        <sz val="8"/>
        <color theme="1"/>
        <rFont val="Calibri"/>
        <family val="2"/>
        <scheme val="minor"/>
      </rPr>
      <t>=&gt; 97% remaining</t>
    </r>
  </si>
  <si>
    <t>For information</t>
  </si>
  <si>
    <r>
      <t>Curative action</t>
    </r>
    <r>
      <rPr>
        <b/>
        <sz val="8"/>
        <color theme="1"/>
        <rFont val="Calibri"/>
        <family val="2"/>
        <scheme val="minor"/>
      </rPr>
      <t>:</t>
    </r>
    <r>
      <rPr>
        <sz val="8"/>
        <color theme="1"/>
        <rFont val="Calibri"/>
        <family val="2"/>
        <scheme val="minor"/>
      </rPr>
      <t xml:space="preserve"> Decrease 1 tap on Lienz </t>
    </r>
    <r>
      <rPr>
        <sz val="8"/>
        <rFont val="Calibri"/>
        <family val="2"/>
        <scheme val="minor"/>
      </rPr>
      <t>PST (5 to 4</t>
    </r>
    <r>
      <rPr>
        <sz val="8"/>
        <color theme="1"/>
        <rFont val="Calibri"/>
        <family val="2"/>
        <scheme val="minor"/>
      </rPr>
      <t xml:space="preserve">) </t>
    </r>
    <r>
      <rPr>
        <b/>
        <sz val="8"/>
        <rFont val="Calibri"/>
        <family val="2"/>
        <scheme val="minor"/>
      </rPr>
      <t>=&gt;</t>
    </r>
    <r>
      <rPr>
        <b/>
        <sz val="8"/>
        <color theme="1"/>
        <rFont val="Calibri"/>
        <family val="2"/>
        <scheme val="minor"/>
      </rPr>
      <t xml:space="preserve"> 94% remaining</t>
    </r>
    <r>
      <rPr>
        <b/>
        <u/>
        <sz val="8"/>
        <color theme="1"/>
        <rFont val="Calibri"/>
        <family val="2"/>
        <scheme val="minor"/>
      </rPr>
      <t/>
    </r>
  </si>
  <si>
    <t>BOYER Jonathan</t>
  </si>
  <si>
    <t>BRIEGERT Robin</t>
  </si>
  <si>
    <t>KROMLIDIS Stylianos</t>
  </si>
  <si>
    <t>ROCHET Jonathan</t>
  </si>
  <si>
    <t>Vado Ligure</t>
  </si>
  <si>
    <r>
      <t>Curative action</t>
    </r>
    <r>
      <rPr>
        <b/>
        <sz val="8"/>
        <color theme="1"/>
        <rFont val="Calibri"/>
        <family val="2"/>
        <scheme val="minor"/>
      </rPr>
      <t>:</t>
    </r>
    <r>
      <rPr>
        <sz val="8"/>
        <color theme="1"/>
        <rFont val="Calibri"/>
        <family val="2"/>
        <scheme val="minor"/>
      </rPr>
      <t xml:space="preserve"> Go to neutral tap on La Praz </t>
    </r>
    <r>
      <rPr>
        <sz val="8"/>
        <rFont val="Calibri"/>
        <family val="2"/>
        <scheme val="minor"/>
      </rPr>
      <t>PST (1 to 17)</t>
    </r>
    <r>
      <rPr>
        <sz val="8"/>
        <color theme="1"/>
        <rFont val="Calibri"/>
        <family val="2"/>
        <scheme val="minor"/>
      </rPr>
      <t xml:space="preserve"> </t>
    </r>
    <r>
      <rPr>
        <b/>
        <sz val="8"/>
        <rFont val="Calibri"/>
        <family val="2"/>
        <scheme val="minor"/>
      </rPr>
      <t>=&gt;</t>
    </r>
    <r>
      <rPr>
        <b/>
        <sz val="8"/>
        <color theme="1"/>
        <rFont val="Calibri"/>
        <family val="2"/>
        <scheme val="minor"/>
      </rPr>
      <t xml:space="preserve"> 97% remaining</t>
    </r>
    <r>
      <rPr>
        <b/>
        <u/>
        <sz val="8"/>
        <color theme="1"/>
        <rFont val="Calibri"/>
        <family val="2"/>
        <scheme val="minor"/>
      </rPr>
      <t/>
    </r>
  </si>
  <si>
    <t>----------------------------</t>
  </si>
  <si>
    <t xml:space="preserve">PEAK </t>
  </si>
  <si>
    <t>Terna / Eles / APG</t>
  </si>
  <si>
    <t>ATD</t>
  </si>
  <si>
    <t>N-K</t>
  </si>
  <si>
    <r>
      <t>Curative action :</t>
    </r>
    <r>
      <rPr>
        <sz val="8"/>
        <color theme="1"/>
        <rFont val="Calibri"/>
        <family val="2"/>
        <scheme val="minor"/>
      </rPr>
      <t xml:space="preserve"> Decrease 2 taps on Lienz PST (from 2 to 0) </t>
    </r>
    <r>
      <rPr>
        <b/>
        <sz val="8"/>
        <color theme="1"/>
        <rFont val="Calibri"/>
        <family val="2"/>
        <scheme val="minor"/>
      </rPr>
      <t>=&gt; 93% remaining</t>
    </r>
  </si>
  <si>
    <t>380/220</t>
  </si>
  <si>
    <t>TRFO</t>
  </si>
  <si>
    <t>La Coche</t>
  </si>
  <si>
    <r>
      <t>Curative action :</t>
    </r>
    <r>
      <rPr>
        <sz val="8"/>
        <color theme="1"/>
        <rFont val="Calibri"/>
        <family val="2"/>
        <scheme val="minor"/>
      </rPr>
      <t xml:space="preserve"> Decrease 7 taps on La Praz PST (from 17 to 10) </t>
    </r>
    <r>
      <rPr>
        <b/>
        <sz val="8"/>
        <color theme="1"/>
        <rFont val="Calibri"/>
        <family val="2"/>
        <scheme val="minor"/>
      </rPr>
      <t>=&gt; 96% remaining</t>
    </r>
  </si>
  <si>
    <r>
      <t>Curative action :</t>
    </r>
    <r>
      <rPr>
        <sz val="8"/>
        <color theme="1"/>
        <rFont val="Calibri"/>
        <family val="2"/>
        <scheme val="minor"/>
      </rPr>
      <t xml:space="preserve"> Decrease 2 taps on Lienz PST (from 9 to 7) </t>
    </r>
    <r>
      <rPr>
        <b/>
        <sz val="8"/>
        <color theme="1"/>
        <rFont val="Calibri"/>
        <family val="2"/>
        <scheme val="minor"/>
      </rPr>
      <t>=&gt; 93% remaining</t>
    </r>
  </si>
  <si>
    <r>
      <rPr>
        <b/>
        <sz val="8"/>
        <color theme="1"/>
        <rFont val="Calibri"/>
        <family val="2"/>
        <scheme val="minor"/>
      </rPr>
      <t xml:space="preserve">Preventive action </t>
    </r>
    <r>
      <rPr>
        <sz val="8"/>
        <color theme="1"/>
        <rFont val="Calibri"/>
        <family val="2"/>
        <scheme val="minor"/>
      </rPr>
      <t xml:space="preserve">: 2 nodes in 400kV substation Sils (agreed by SWG) </t>
    </r>
    <r>
      <rPr>
        <b/>
        <sz val="8"/>
        <color theme="1"/>
        <rFont val="Calibri"/>
        <family val="2"/>
        <scheme val="minor"/>
      </rPr>
      <t>=&gt; 89% remaining</t>
    </r>
  </si>
  <si>
    <t>Swissgrid / Transnet BW</t>
  </si>
  <si>
    <t>Laufenburg</t>
  </si>
  <si>
    <t>Trossingen</t>
  </si>
  <si>
    <t>Kühmoos</t>
  </si>
  <si>
    <r>
      <rPr>
        <b/>
        <sz val="8"/>
        <color theme="1"/>
        <rFont val="Calibri"/>
        <family val="2"/>
        <scheme val="minor"/>
      </rPr>
      <t xml:space="preserve">Curative action </t>
    </r>
    <r>
      <rPr>
        <sz val="8"/>
        <color theme="1"/>
        <rFont val="Calibri"/>
        <family val="2"/>
        <scheme val="minor"/>
      </rPr>
      <t xml:space="preserve">: 1 node in 400kV substation Kühmoos </t>
    </r>
    <r>
      <rPr>
        <b/>
        <sz val="8"/>
        <color theme="1"/>
        <rFont val="Calibri"/>
        <family val="2"/>
        <scheme val="minor"/>
      </rPr>
      <t>=&gt; 78% remaining</t>
    </r>
  </si>
  <si>
    <t>106% (1')</t>
  </si>
  <si>
    <t>400/220</t>
  </si>
  <si>
    <t>Cornier</t>
  </si>
  <si>
    <r>
      <rPr>
        <b/>
        <sz val="8"/>
        <color theme="1"/>
        <rFont val="Calibri"/>
        <family val="2"/>
        <scheme val="minor"/>
      </rPr>
      <t xml:space="preserve">Curative action </t>
    </r>
    <r>
      <rPr>
        <sz val="8"/>
        <color theme="1"/>
        <rFont val="Calibri"/>
        <family val="2"/>
        <scheme val="minor"/>
      </rPr>
      <t xml:space="preserve">: 1 node in 400kV substation Kühmoos </t>
    </r>
    <r>
      <rPr>
        <b/>
        <sz val="8"/>
        <color theme="1"/>
        <rFont val="Calibri"/>
        <family val="2"/>
        <scheme val="minor"/>
      </rPr>
      <t>=&gt; 73% remaining</t>
    </r>
  </si>
  <si>
    <r>
      <rPr>
        <b/>
        <sz val="8"/>
        <color theme="1"/>
        <rFont val="Calibri"/>
        <family val="2"/>
        <scheme val="minor"/>
      </rPr>
      <t xml:space="preserve">Curative action : </t>
    </r>
    <r>
      <rPr>
        <sz val="8"/>
        <color theme="1"/>
        <rFont val="Calibri"/>
        <family val="2"/>
        <scheme val="minor"/>
      </rPr>
      <t xml:space="preserve">Put back in service TRFO 2 of Génissiat </t>
    </r>
    <r>
      <rPr>
        <b/>
        <sz val="8"/>
        <color theme="1"/>
        <rFont val="Calibri"/>
        <family val="2"/>
        <scheme val="minor"/>
      </rPr>
      <t>=&gt; 76% remaining</t>
    </r>
  </si>
  <si>
    <r>
      <t xml:space="preserve">Note :  </t>
    </r>
    <r>
      <rPr>
        <sz val="8"/>
        <color theme="1"/>
        <rFont val="Calibri"/>
        <family val="2"/>
        <scheme val="minor"/>
      </rPr>
      <t xml:space="preserve">Opening of the 220kV lines Albertville-Chavanod and Passy-Pressy via ATDs </t>
    </r>
    <r>
      <rPr>
        <b/>
        <sz val="8"/>
        <color theme="1"/>
        <rFont val="Calibri"/>
        <family val="2"/>
        <scheme val="minor"/>
      </rPr>
      <t>=&gt; 67% remaining on Albertville-Grande Ile 400kV remaining line</t>
    </r>
  </si>
  <si>
    <t xml:space="preserve">Bois Tollot </t>
  </si>
  <si>
    <t>Rte / SwG</t>
  </si>
  <si>
    <t xml:space="preserve">Rondissone </t>
  </si>
  <si>
    <t xml:space="preserve">Trino </t>
  </si>
  <si>
    <t xml:space="preserve">1 &amp; 2 </t>
  </si>
  <si>
    <r>
      <rPr>
        <b/>
        <u/>
        <sz val="8"/>
        <rFont val="Calibri"/>
        <family val="2"/>
        <scheme val="minor"/>
      </rPr>
      <t>Preventive action :</t>
    </r>
    <r>
      <rPr>
        <sz val="8"/>
        <rFont val="Calibri"/>
        <family val="2"/>
        <scheme val="minor"/>
      </rPr>
      <t xml:space="preserve"> Open 1 auto-transformer in Genissiat =&gt; 91% remaining</t>
    </r>
    <r>
      <rPr>
        <b/>
        <sz val="8"/>
        <color rgb="FFFF0000"/>
        <rFont val="Calibri"/>
        <family val="2"/>
        <scheme val="minor"/>
      </rPr>
      <t/>
    </r>
  </si>
  <si>
    <r>
      <t>Curative action :</t>
    </r>
    <r>
      <rPr>
        <b/>
        <sz val="8"/>
        <color theme="1"/>
        <rFont val="Calibri"/>
        <family val="2"/>
        <scheme val="minor"/>
      </rPr>
      <t xml:space="preserve"> </t>
    </r>
    <r>
      <rPr>
        <sz val="8"/>
        <color theme="1"/>
        <rFont val="Calibri"/>
        <family val="2"/>
        <scheme val="minor"/>
      </rPr>
      <t>decrease  1 tap in Lienz PST =&gt; 96% remaining on Lienz-Soverzene (98% in Lavorgo-Musignano)</t>
    </r>
  </si>
  <si>
    <r>
      <rPr>
        <b/>
        <u/>
        <sz val="8"/>
        <color theme="1"/>
        <rFont val="Calibri"/>
        <family val="2"/>
        <scheme val="minor"/>
      </rPr>
      <t>Curative action:</t>
    </r>
    <r>
      <rPr>
        <sz val="8"/>
        <color theme="1"/>
        <rFont val="Calibri"/>
        <family val="2"/>
        <scheme val="minor"/>
      </rPr>
      <t xml:space="preserve"> 2 node in Trino =&gt; 77% remaining </t>
    </r>
  </si>
  <si>
    <r>
      <t>Curative action :</t>
    </r>
    <r>
      <rPr>
        <b/>
        <sz val="8"/>
        <color theme="1"/>
        <rFont val="Calibri"/>
        <family val="2"/>
        <scheme val="minor"/>
      </rPr>
      <t xml:space="preserve"> </t>
    </r>
    <r>
      <rPr>
        <sz val="8"/>
        <color theme="1"/>
        <rFont val="Calibri"/>
        <family val="2"/>
        <scheme val="minor"/>
      </rPr>
      <t>decrease  2 taps  in Lienz PST =&gt; 93% remaining on Lienz-Soverzene (98% in Lavorgo-Musignano)</t>
    </r>
  </si>
  <si>
    <t xml:space="preserve">Peak: </t>
  </si>
  <si>
    <t>Tap (N)</t>
  </si>
  <si>
    <t>Active flow (MW) (N)</t>
  </si>
  <si>
    <t>AHMED Ali</t>
  </si>
  <si>
    <t>BIANCO Andrea</t>
  </si>
  <si>
    <t>ANQUEZ Romain</t>
  </si>
  <si>
    <t>CUGNY François</t>
  </si>
  <si>
    <t>DECKERS Bram</t>
  </si>
  <si>
    <t>DE LABARRE Vianney</t>
  </si>
  <si>
    <t>LEONARD Jean-Louis</t>
  </si>
  <si>
    <t>NYAZIKA Paget</t>
  </si>
  <si>
    <t>PREVOST Raphaël</t>
  </si>
  <si>
    <t>Sufficient</t>
  </si>
  <si>
    <r>
      <rPr>
        <b/>
        <u/>
        <sz val="8"/>
        <color theme="1"/>
        <rFont val="Calibri"/>
        <family val="2"/>
        <scheme val="minor"/>
      </rPr>
      <t>Generation margin legend:</t>
    </r>
    <r>
      <rPr>
        <sz val="8"/>
        <color theme="1"/>
        <rFont val="Calibri"/>
        <family val="2"/>
        <scheme val="minor"/>
      </rPr>
      <t xml:space="preserve">
</t>
    </r>
    <r>
      <rPr>
        <sz val="8"/>
        <color rgb="FF00B050"/>
        <rFont val="Calibri"/>
        <family val="2"/>
        <scheme val="minor"/>
      </rPr>
      <t>Green</t>
    </r>
    <r>
      <rPr>
        <sz val="8"/>
        <color theme="1"/>
        <rFont val="Calibri"/>
        <family val="2"/>
        <scheme val="minor"/>
      </rPr>
      <t xml:space="preserve">: Sufficient margin available. No risk for need of inter-TSO solicitation due to margin issues.
</t>
    </r>
    <r>
      <rPr>
        <sz val="8"/>
        <color theme="9"/>
        <rFont val="Calibri"/>
        <family val="2"/>
        <scheme val="minor"/>
      </rPr>
      <t>Orange</t>
    </r>
    <r>
      <rPr>
        <sz val="8"/>
        <color theme="1"/>
        <rFont val="Calibri"/>
        <family val="2"/>
        <scheme val="minor"/>
      </rPr>
      <t xml:space="preserve">: Tight margin available.Low risk for need of inter-TSO solicitation due to margin issues.
</t>
    </r>
    <r>
      <rPr>
        <sz val="8"/>
        <color rgb="FFFF0000"/>
        <rFont val="Calibri"/>
        <family val="2"/>
        <scheme val="minor"/>
      </rPr>
      <t>Red:</t>
    </r>
    <r>
      <rPr>
        <sz val="8"/>
        <color theme="1"/>
        <rFont val="Calibri"/>
        <family val="2"/>
        <scheme val="minor"/>
      </rPr>
      <t xml:space="preserve"> Insufficient margin available. High risk for need of inter-TSO solicitation due to margin issues.</t>
    </r>
  </si>
  <si>
    <t>Z:\CORESO tree\06-Day ahead\DA reports\2018\01</t>
  </si>
  <si>
    <t>LDIVAC12 XRE_DI11 1</t>
  </si>
  <si>
    <t>LDIVAC22 XPA_DI21 1</t>
  </si>
  <si>
    <t>OLIENN22 XLI_SO21 1</t>
  </si>
  <si>
    <t>SLAVOR12 XLA_MU11 1</t>
  </si>
  <si>
    <t>SMENDR11 XME_CA11 1</t>
  </si>
  <si>
    <t>SRIDDE22 XRI_AV21 1</t>
  </si>
  <si>
    <t>SRIDDE22 XRI_VA21 1</t>
  </si>
  <si>
    <t>SROBBI12 XRO_SF11 1</t>
  </si>
  <si>
    <t>SROBBI14 XRO_GO11 1</t>
  </si>
  <si>
    <t>SSERRA21 XSE_PA21 1</t>
  </si>
  <si>
    <t>SSOAZZ11 XSO_BU11 1</t>
  </si>
  <si>
    <t>SY_ACQ21 XAI_PO21 1</t>
  </si>
  <si>
    <t>XAI_PO21 IPONTA21 1</t>
  </si>
  <si>
    <t>XAL_RO11 FALBER13 1</t>
  </si>
  <si>
    <t>XAL_RO11 IRONT112 1</t>
  </si>
  <si>
    <t>XAL_RO12 FALBER12 2</t>
  </si>
  <si>
    <t>XAL_RO12 IRONT113 2</t>
  </si>
  <si>
    <t>XB._CA21 FZMENT21 1</t>
  </si>
  <si>
    <t>XB._CA21 ICMPTA22 1</t>
  </si>
  <si>
    <t>XLA_MU11 IMUSM111 1</t>
  </si>
  <si>
    <t>XLI_SO21 ISOVVA21 1</t>
  </si>
  <si>
    <t>XME_CA11 ICAGMA11 1</t>
  </si>
  <si>
    <t>XPA_DI21 IPDRV122 1</t>
  </si>
  <si>
    <t>XRE_DI11 IRDPVA11 1</t>
  </si>
  <si>
    <t>XRI_AV21 IAVITA21 1</t>
  </si>
  <si>
    <t>XRI_VA21 IVALT121 1</t>
  </si>
  <si>
    <t>XRO_GO11 IGORM111 1</t>
  </si>
  <si>
    <t>XRO_SF11 ISFIM111 1</t>
  </si>
  <si>
    <t>XSE_PA21 IPLLTA21 1</t>
  </si>
  <si>
    <t>XSO_BU11 IBULM111 1</t>
  </si>
  <si>
    <t>XVL_VE11 FVLARO11 1</t>
  </si>
  <si>
    <t>XVL_VE11 IVNST111 1</t>
  </si>
  <si>
    <t>FP.AND12 FDEPHG11 1</t>
  </si>
  <si>
    <t>ICMPTA21 ICMPTA22 1</t>
  </si>
  <si>
    <t>IPDRV121 IPDRV122 1</t>
  </si>
  <si>
    <t>IRONT112 IRONT111 2</t>
  </si>
  <si>
    <t>IRONT113 IRONT111 1</t>
  </si>
  <si>
    <t>LDIVAC11 LDIVAC12 1</t>
  </si>
  <si>
    <t>OLIENN21 OLIENN22 2</t>
  </si>
  <si>
    <t>SCHAMO1T SCHAMO27 1</t>
  </si>
  <si>
    <t>SLAVOR2T SLAVOR24 1</t>
  </si>
  <si>
    <t>SMENDR3T SMENDR32 1</t>
  </si>
  <si>
    <t>SSOAZZ1T SSOAZZ22 2</t>
  </si>
  <si>
    <t>102% (1')</t>
  </si>
  <si>
    <t>Malgovert</t>
  </si>
  <si>
    <t>Contamine</t>
  </si>
  <si>
    <t>102% (20')</t>
  </si>
  <si>
    <r>
      <t xml:space="preserve">Preventive action: </t>
    </r>
    <r>
      <rPr>
        <sz val="8"/>
        <color theme="1"/>
        <rFont val="Calibri"/>
        <family val="2"/>
        <scheme val="minor"/>
      </rPr>
      <t>Increase 16 taps (17 to 33) on La Praz PST</t>
    </r>
    <r>
      <rPr>
        <b/>
        <sz val="8"/>
        <color theme="1"/>
        <rFont val="Calibri"/>
        <family val="2"/>
        <scheme val="minor"/>
      </rPr>
      <t xml:space="preserve"> =&gt; 105% (20') and 85% (20') remaining
Curative action:</t>
    </r>
    <r>
      <rPr>
        <sz val="8"/>
        <color theme="1"/>
        <rFont val="Calibri"/>
        <family val="2"/>
        <scheme val="minor"/>
      </rPr>
      <t xml:space="preserve"> Stop 1 pump (160MW) in Super Bissorte</t>
    </r>
    <r>
      <rPr>
        <b/>
        <sz val="8"/>
        <color theme="1"/>
        <rFont val="Calibri"/>
        <family val="2"/>
        <scheme val="minor"/>
      </rPr>
      <t xml:space="preserve"> =&gt; 97% (20') and 80% (20') remaining
Note : </t>
    </r>
    <r>
      <rPr>
        <sz val="8"/>
        <color theme="1"/>
        <rFont val="Calibri"/>
        <family val="2"/>
        <scheme val="minor"/>
      </rPr>
      <t>Thermal monitoring (Night thresholds) can also help to solve these constraints</t>
    </r>
  </si>
  <si>
    <r>
      <t>Curative action:</t>
    </r>
    <r>
      <rPr>
        <sz val="8"/>
        <color theme="1"/>
        <rFont val="Calibri"/>
        <family val="2"/>
        <scheme val="minor"/>
      </rPr>
      <t xml:space="preserve"> 2 nodes in Chaffard 400kV (isolate busbar 1B)</t>
    </r>
    <r>
      <rPr>
        <b/>
        <sz val="8"/>
        <color theme="1"/>
        <rFont val="Calibri"/>
        <family val="2"/>
        <scheme val="minor"/>
      </rPr>
      <t xml:space="preserve"> =&gt; 95% (20') remaining
Note : </t>
    </r>
    <r>
      <rPr>
        <sz val="8"/>
        <color theme="1"/>
        <rFont val="Calibri"/>
        <family val="2"/>
        <scheme val="minor"/>
      </rPr>
      <t>Stop 1 pump (160MW) in Super Bissorte can also help to solve this constraint</t>
    </r>
  </si>
  <si>
    <r>
      <t>Preventive action:</t>
    </r>
    <r>
      <rPr>
        <sz val="8"/>
        <color theme="1"/>
        <rFont val="Calibri"/>
        <family val="2"/>
        <scheme val="minor"/>
      </rPr>
      <t xml:space="preserve"> 2 nodes in Sils 400kV (agreed by SWG) </t>
    </r>
    <r>
      <rPr>
        <b/>
        <sz val="8"/>
        <color theme="1"/>
        <rFont val="Calibri"/>
        <family val="2"/>
        <scheme val="minor"/>
      </rPr>
      <t>=&gt; 84% remaining</t>
    </r>
  </si>
  <si>
    <t>SWG / APG</t>
  </si>
  <si>
    <t>Redipuglia-Divaca</t>
  </si>
  <si>
    <r>
      <t>Curative action:</t>
    </r>
    <r>
      <rPr>
        <sz val="8"/>
        <color theme="1"/>
        <rFont val="Calibri"/>
        <family val="2"/>
        <scheme val="minor"/>
      </rPr>
      <t xml:space="preserve"> Decrease 2 taps on Lienz PST (from -17 to -19) </t>
    </r>
    <r>
      <rPr>
        <b/>
        <sz val="8"/>
        <color theme="1"/>
        <rFont val="Calibri"/>
        <family val="2"/>
        <scheme val="minor"/>
      </rPr>
      <t>=&gt; 96% remaining</t>
    </r>
  </si>
  <si>
    <t>106% (20')</t>
  </si>
  <si>
    <t>105% (20')</t>
  </si>
  <si>
    <t>103% (20')</t>
  </si>
  <si>
    <r>
      <t>Curative actions:</t>
    </r>
    <r>
      <rPr>
        <sz val="8"/>
        <color theme="1"/>
        <rFont val="Calibri"/>
        <family val="2"/>
        <scheme val="minor"/>
      </rPr>
      <t xml:space="preserve"> 2 nodes in Chaffard 400kV (isolate busbar 1B)</t>
    </r>
    <r>
      <rPr>
        <b/>
        <sz val="8"/>
        <color theme="1"/>
        <rFont val="Calibri"/>
        <family val="2"/>
        <scheme val="minor"/>
      </rPr>
      <t xml:space="preserve"> =&gt; 98% (20') remaining but Passy-Pressy 220kV line at 101% (20')
</t>
    </r>
    <r>
      <rPr>
        <sz val="8"/>
        <color theme="1"/>
        <rFont val="Calibri"/>
        <family val="2"/>
        <scheme val="minor"/>
      </rPr>
      <t>Then stop 1 pump (160MW) in Super Bissorte</t>
    </r>
    <r>
      <rPr>
        <b/>
        <sz val="8"/>
        <color theme="1"/>
        <rFont val="Calibri"/>
        <family val="2"/>
        <scheme val="minor"/>
      </rPr>
      <t xml:space="preserve"> =&gt; 96% (20') and 98% (20') remaining
Note : </t>
    </r>
    <r>
      <rPr>
        <sz val="8"/>
        <color theme="1"/>
        <rFont val="Calibri"/>
        <family val="2"/>
        <scheme val="minor"/>
      </rPr>
      <t>Thermal monitoring (Night thresholds) can also help to solve these constraints</t>
    </r>
  </si>
  <si>
    <r>
      <t xml:space="preserve">Preventive action: </t>
    </r>
    <r>
      <rPr>
        <sz val="8"/>
        <color theme="1"/>
        <rFont val="Calibri"/>
        <family val="2"/>
        <scheme val="minor"/>
      </rPr>
      <t>Increase 10 taps (17 to 27) on La Praz PST</t>
    </r>
    <r>
      <rPr>
        <b/>
        <sz val="8"/>
        <color theme="1"/>
        <rFont val="Calibri"/>
        <family val="2"/>
        <scheme val="minor"/>
      </rPr>
      <t xml:space="preserve"> =&gt; 99% (10'), 94% (20') and 95% (20') remaining
Curative action:</t>
    </r>
    <r>
      <rPr>
        <sz val="8"/>
        <color theme="1"/>
        <rFont val="Calibri"/>
        <family val="2"/>
        <scheme val="minor"/>
      </rPr>
      <t xml:space="preserve"> Stop 2 pumps (320MW) in Super Bissorte</t>
    </r>
    <r>
      <rPr>
        <b/>
        <sz val="8"/>
        <color theme="1"/>
        <rFont val="Calibri"/>
        <family val="2"/>
        <scheme val="minor"/>
      </rPr>
      <t xml:space="preserve"> =&gt; 99% (20'), 84% (20') and 86% (20') remaining
Note : </t>
    </r>
    <r>
      <rPr>
        <sz val="8"/>
        <color theme="1"/>
        <rFont val="Calibri"/>
        <family val="2"/>
        <scheme val="minor"/>
      </rPr>
      <t>Thermal monitoring (Night thresholds) can also help to solve these constraints</t>
    </r>
  </si>
  <si>
    <t>98% (1')</t>
  </si>
  <si>
    <r>
      <t xml:space="preserve">Preventive action: </t>
    </r>
    <r>
      <rPr>
        <sz val="8"/>
        <color theme="1"/>
        <rFont val="Calibri"/>
        <family val="2"/>
        <scheme val="minor"/>
      </rPr>
      <t xml:space="preserve">Increase 7 taps (17 to 24) on La Praz PST </t>
    </r>
    <r>
      <rPr>
        <b/>
        <sz val="8"/>
        <color theme="1"/>
        <rFont val="Calibri"/>
        <family val="2"/>
        <scheme val="minor"/>
      </rPr>
      <t>=&gt; 102% (10') remaining
Curative action:</t>
    </r>
    <r>
      <rPr>
        <sz val="8"/>
        <color theme="1"/>
        <rFont val="Calibri"/>
        <family val="2"/>
        <scheme val="minor"/>
      </rPr>
      <t xml:space="preserve"> 2 nodes in Albertville 400kV (isolate busbar 2A)</t>
    </r>
    <r>
      <rPr>
        <b/>
        <sz val="8"/>
        <color theme="1"/>
        <rFont val="Calibri"/>
        <family val="2"/>
        <scheme val="minor"/>
      </rPr>
      <t xml:space="preserve"> =&gt; 80% (20') remaining</t>
    </r>
    <r>
      <rPr>
        <sz val="8"/>
        <color theme="1"/>
        <rFont val="Calibri"/>
        <family val="2"/>
        <scheme val="minor"/>
      </rPr>
      <t/>
    </r>
  </si>
  <si>
    <r>
      <t>Curative action:</t>
    </r>
    <r>
      <rPr>
        <sz val="8"/>
        <color theme="1"/>
        <rFont val="Calibri"/>
        <family val="2"/>
        <scheme val="minor"/>
      </rPr>
      <t xml:space="preserve"> Increase 3 taps (24 to 27) on La Praz PST</t>
    </r>
    <r>
      <rPr>
        <b/>
        <sz val="8"/>
        <color theme="1"/>
        <rFont val="Calibri"/>
        <family val="2"/>
        <scheme val="minor"/>
      </rPr>
      <t xml:space="preserve"> =&gt; 98% (20') remaining
Note : </t>
    </r>
    <r>
      <rPr>
        <sz val="8"/>
        <color theme="1"/>
        <rFont val="Calibri"/>
        <family val="2"/>
        <scheme val="minor"/>
      </rPr>
      <t>Thermal monitoring (Night thresholds) can also help to solve this constraint</t>
    </r>
  </si>
  <si>
    <t>Active flow (MW) (N_K)</t>
  </si>
  <si>
    <r>
      <t xml:space="preserve">• PST of Camporosso adapted to </t>
    </r>
    <r>
      <rPr>
        <b/>
        <sz val="10"/>
        <color theme="1"/>
        <rFont val="Calibri"/>
        <family val="2"/>
        <scheme val="minor"/>
      </rPr>
      <t>200 MW</t>
    </r>
  </si>
  <si>
    <t>Inv</t>
  </si>
  <si>
    <t>Sils - Filisur
Robbia - Pradella - Sils</t>
  </si>
  <si>
    <t>Terna / ELES / APG / SWG</t>
  </si>
  <si>
    <t>Handeck</t>
  </si>
  <si>
    <r>
      <t xml:space="preserve">• PST of Lienz adapted to </t>
    </r>
    <r>
      <rPr>
        <b/>
        <sz val="10"/>
        <color theme="1"/>
        <rFont val="Calibri"/>
        <family val="2"/>
        <scheme val="minor"/>
      </rPr>
      <t>150 MW</t>
    </r>
  </si>
  <si>
    <r>
      <t xml:space="preserve">• SI </t>
    </r>
    <r>
      <rPr>
        <sz val="10"/>
        <rFont val="Wingdings"/>
        <charset val="2"/>
      </rPr>
      <t>è</t>
    </r>
    <r>
      <rPr>
        <sz val="10"/>
        <rFont val="Calibri"/>
        <family val="2"/>
      </rPr>
      <t xml:space="preserve"> </t>
    </r>
    <r>
      <rPr>
        <sz val="10"/>
        <rFont val="Calibri"/>
        <family val="2"/>
        <scheme val="minor"/>
      </rPr>
      <t>IT physical flow</t>
    </r>
    <r>
      <rPr>
        <b/>
        <sz val="10"/>
        <rFont val="Calibri"/>
        <family val="2"/>
        <scheme val="minor"/>
      </rPr>
      <t xml:space="preserve"> </t>
    </r>
    <r>
      <rPr>
        <sz val="10"/>
        <rFont val="Calibri"/>
        <family val="2"/>
        <scheme val="minor"/>
      </rPr>
      <t>adapted</t>
    </r>
    <r>
      <rPr>
        <b/>
        <sz val="10"/>
        <rFont val="Calibri"/>
        <family val="2"/>
        <scheme val="minor"/>
      </rPr>
      <t xml:space="preserve"> </t>
    </r>
    <r>
      <rPr>
        <sz val="10"/>
        <rFont val="Calibri"/>
        <family val="2"/>
        <scheme val="minor"/>
      </rPr>
      <t xml:space="preserve">to the target flow : </t>
    </r>
    <r>
      <rPr>
        <b/>
        <sz val="10"/>
        <rFont val="Calibri"/>
        <family val="2"/>
        <scheme val="minor"/>
      </rPr>
      <t>1200 MW (agreed by ELES and APG)</t>
    </r>
  </si>
  <si>
    <r>
      <t xml:space="preserve">• Mendrisio-Cagno flow adapted to the schedule : </t>
    </r>
    <r>
      <rPr>
        <b/>
        <sz val="10"/>
        <color theme="1"/>
        <rFont val="Calibri"/>
        <family val="2"/>
        <scheme val="minor"/>
      </rPr>
      <t xml:space="preserve">50 MW </t>
    </r>
  </si>
  <si>
    <r>
      <rPr>
        <b/>
        <u/>
        <sz val="8"/>
        <color theme="1"/>
        <rFont val="Calibri"/>
        <family val="2"/>
        <scheme val="minor"/>
      </rPr>
      <t>Curative action:</t>
    </r>
    <r>
      <rPr>
        <b/>
        <sz val="8"/>
        <color theme="1"/>
        <rFont val="Calibri"/>
        <family val="2"/>
        <scheme val="minor"/>
      </rPr>
      <t xml:space="preserve"> </t>
    </r>
    <r>
      <rPr>
        <sz val="8"/>
        <color theme="1"/>
        <rFont val="Calibri"/>
        <family val="2"/>
        <scheme val="minor"/>
      </rPr>
      <t>Automatic device moves PST back in neutral tap =&gt; 93% remaining</t>
    </r>
  </si>
  <si>
    <r>
      <rPr>
        <b/>
        <u/>
        <sz val="8"/>
        <color theme="1"/>
        <rFont val="Calibri"/>
        <family val="2"/>
        <scheme val="minor"/>
      </rPr>
      <t>Curative action:</t>
    </r>
    <r>
      <rPr>
        <sz val="8"/>
        <color theme="1"/>
        <rFont val="Calibri"/>
        <family val="2"/>
        <scheme val="minor"/>
      </rPr>
      <t xml:space="preserve"> Decrease 2 taps on Lienz PST  </t>
    </r>
    <r>
      <rPr>
        <b/>
        <sz val="8"/>
        <color theme="1"/>
        <rFont val="Calibri"/>
        <family val="2"/>
        <scheme val="minor"/>
      </rPr>
      <t>=</t>
    </r>
    <r>
      <rPr>
        <sz val="8"/>
        <color theme="1"/>
        <rFont val="Calibri"/>
        <family val="2"/>
        <scheme val="minor"/>
      </rPr>
      <t>&gt; 98% remaining</t>
    </r>
  </si>
  <si>
    <t>Tap (N_K)</t>
  </si>
  <si>
    <t>With above mentioned PRA following constraints are detected:</t>
  </si>
  <si>
    <r>
      <rPr>
        <b/>
        <sz val="11"/>
        <rFont val="Calibri"/>
        <family val="2"/>
        <scheme val="minor"/>
      </rPr>
      <t>SWG:</t>
    </r>
    <r>
      <rPr>
        <sz val="11"/>
        <rFont val="Calibri"/>
        <family val="2"/>
        <scheme val="minor"/>
      </rPr>
      <t xml:space="preserve"> </t>
    </r>
    <r>
      <rPr>
        <sz val="11"/>
        <color rgb="FFFF0000"/>
        <rFont val="Calibri"/>
        <family val="2"/>
        <scheme val="minor"/>
      </rPr>
      <t xml:space="preserve">The line Sils - Soazza 380kV tripped at 16/01 and was considered in outage during all day, during the day tests will be performed and the line might be put back into service. The tie lines 220kV Serra - Pallanzerno - Morel and 220kV Airolo - Ponte - Fiesch couldn't be visited till this evening, so no return date known at tis point.
</t>
    </r>
    <r>
      <rPr>
        <b/>
        <sz val="11"/>
        <rFont val="Calibri"/>
        <family val="2"/>
        <scheme val="minor"/>
      </rPr>
      <t xml:space="preserve">Eles: </t>
    </r>
    <r>
      <rPr>
        <sz val="11"/>
        <rFont val="Calibri"/>
        <family val="2"/>
        <scheme val="minor"/>
      </rPr>
      <t>An increase of the target flow from 800MW to 1200MW is possible all hours of the day.</t>
    </r>
    <r>
      <rPr>
        <i/>
        <sz val="11"/>
        <rFont val="Calibri"/>
        <family val="2"/>
        <scheme val="minor"/>
      </rPr>
      <t xml:space="preserve"> </t>
    </r>
    <r>
      <rPr>
        <sz val="11"/>
        <rFont val="Calibri"/>
        <family val="2"/>
        <scheme val="minor"/>
      </rPr>
      <t>That has been confirmed from APG.</t>
    </r>
    <r>
      <rPr>
        <i/>
        <sz val="11"/>
        <rFont val="Calibri"/>
        <family val="2"/>
        <scheme val="minor"/>
      </rPr>
      <t xml:space="preserve">
</t>
    </r>
    <r>
      <rPr>
        <b/>
        <sz val="11"/>
        <rFont val="Calibri"/>
        <family val="2"/>
        <scheme val="minor"/>
      </rPr>
      <t/>
    </r>
  </si>
  <si>
    <t>46900</t>
  </si>
  <si>
    <r>
      <t xml:space="preserve">• PSTs of Rondisonne adapted to </t>
    </r>
    <r>
      <rPr>
        <b/>
        <sz val="10"/>
        <color theme="1"/>
        <rFont val="Calibri"/>
        <family val="2"/>
        <scheme val="minor"/>
      </rPr>
      <t>tap 33</t>
    </r>
  </si>
  <si>
    <r>
      <t xml:space="preserve">• SI </t>
    </r>
    <r>
      <rPr>
        <sz val="10"/>
        <rFont val="Wingdings"/>
        <charset val="2"/>
      </rPr>
      <t>è</t>
    </r>
    <r>
      <rPr>
        <sz val="10"/>
        <rFont val="Calibri"/>
        <family val="2"/>
      </rPr>
      <t xml:space="preserve"> </t>
    </r>
    <r>
      <rPr>
        <sz val="10"/>
        <rFont val="Calibri"/>
        <family val="2"/>
        <scheme val="minor"/>
      </rPr>
      <t>IT physical flow</t>
    </r>
    <r>
      <rPr>
        <b/>
        <sz val="10"/>
        <rFont val="Calibri"/>
        <family val="2"/>
        <scheme val="minor"/>
      </rPr>
      <t xml:space="preserve"> </t>
    </r>
    <r>
      <rPr>
        <sz val="10"/>
        <rFont val="Calibri"/>
        <family val="2"/>
        <scheme val="minor"/>
      </rPr>
      <t>adapted</t>
    </r>
    <r>
      <rPr>
        <b/>
        <sz val="10"/>
        <rFont val="Calibri"/>
        <family val="2"/>
        <scheme val="minor"/>
      </rPr>
      <t xml:space="preserve"> </t>
    </r>
    <r>
      <rPr>
        <sz val="10"/>
        <rFont val="Calibri"/>
        <family val="2"/>
        <scheme val="minor"/>
      </rPr>
      <t xml:space="preserve">to the target flow : </t>
    </r>
    <r>
      <rPr>
        <b/>
        <sz val="10"/>
        <rFont val="Calibri"/>
        <family val="2"/>
        <scheme val="minor"/>
      </rPr>
      <t>1100 MW (agreed by ELES and APG)</t>
    </r>
  </si>
  <si>
    <r>
      <t xml:space="preserve">• Mendrisio-Cagno flow adapted to the schedule : </t>
    </r>
    <r>
      <rPr>
        <b/>
        <sz val="10"/>
        <color theme="1"/>
        <rFont val="Calibri"/>
        <family val="2"/>
        <scheme val="minor"/>
      </rPr>
      <t xml:space="preserve">191 MW </t>
    </r>
  </si>
  <si>
    <t>Peccia</t>
  </si>
  <si>
    <t>CSE: Situation is tense due to the ongoing forced outage of Sils-Soazza. To manage constraints on 380 kV grid on IT - CH border, a pentalateral reduction of 300 MW is needed. (To manage overloads on the Swiss 220 kV grid after this incident, an increase of this amount up to 1000 MW might be requested).</t>
  </si>
  <si>
    <r>
      <rPr>
        <b/>
        <u/>
        <sz val="8"/>
        <color theme="1"/>
        <rFont val="Calibri"/>
        <family val="2"/>
        <scheme val="minor"/>
      </rPr>
      <t>Preventive action:</t>
    </r>
    <r>
      <rPr>
        <sz val="8"/>
        <color theme="1"/>
        <rFont val="Calibri"/>
        <family val="2"/>
        <scheme val="minor"/>
      </rPr>
      <t xml:space="preserve"> 
Target flow SL &gt; IT set to 1100 MW in base case (1200 MW was accepted by Eles and APG, however constraints appear on Divaca transformer)
Max tap positions on the Rondissone PST's
Increase 4 taps on the Lavorgo PST (-8 &gt; -4)
103% remaining on Lavorgo - Musignano
117% remaining on Peccia - Handeck
106% remaining on Lienz - Soverzene
300 MW of pentalateral reduction needed to solve the constraint on Lavorgo - Musignano
97% remaining on Lavorgo - Musignano
113% remaining on Peccia - Handeck
100% remaining on Lienz - Soverzene
Constraint on Peccia - Handeck can be managed by internal redispatching. However SWG can request to increase the amount of pentalateral upto 1000 MW to solve these constraints.
</t>
    </r>
    <r>
      <rPr>
        <b/>
        <u/>
        <sz val="8"/>
        <color theme="1"/>
        <rFont val="Calibri"/>
        <family val="2"/>
        <scheme val="minor"/>
      </rPr>
      <t>Curative action:</t>
    </r>
    <r>
      <rPr>
        <sz val="8"/>
        <color theme="1"/>
        <rFont val="Calibri"/>
        <family val="2"/>
        <scheme val="minor"/>
      </rPr>
      <t xml:space="preserve"> Decrease 1 tap on the Lienz PST
94% remaining on Lienz - Soverzene</t>
    </r>
  </si>
  <si>
    <r>
      <rPr>
        <b/>
        <u/>
        <sz val="8"/>
        <color theme="1"/>
        <rFont val="Calibri"/>
        <family val="2"/>
        <scheme val="minor"/>
      </rPr>
      <t>Curative action:</t>
    </r>
    <r>
      <rPr>
        <sz val="8"/>
        <color theme="1"/>
        <rFont val="Calibri"/>
        <family val="2"/>
        <scheme val="minor"/>
      </rPr>
      <t xml:space="preserve"> Decrease 2 taps on Lienz PST  </t>
    </r>
    <r>
      <rPr>
        <b/>
        <sz val="8"/>
        <color theme="1"/>
        <rFont val="Calibri"/>
        <family val="2"/>
        <scheme val="minor"/>
      </rPr>
      <t>=</t>
    </r>
    <r>
      <rPr>
        <sz val="8"/>
        <color theme="1"/>
        <rFont val="Calibri"/>
        <family val="2"/>
        <scheme val="minor"/>
      </rPr>
      <t>&gt; 95% remaining</t>
    </r>
  </si>
</sst>
</file>

<file path=xl/styles.xml><?xml version="1.0" encoding="utf-8"?>
<styleSheet xmlns="http://schemas.openxmlformats.org/spreadsheetml/2006/main">
  <numFmts count="7">
    <numFmt numFmtId="164" formatCode="[$-809]dd\ mmmm\ yyyy;@"/>
    <numFmt numFmtId="165" formatCode="[h]:mm:ss;@"/>
    <numFmt numFmtId="166" formatCode="0.0000"/>
    <numFmt numFmtId="167" formatCode="0.000000000000"/>
    <numFmt numFmtId="168" formatCode="yyyymmdd"/>
    <numFmt numFmtId="169" formatCode="[$-F400]h:mm:ss\ AM/PM"/>
    <numFmt numFmtId="170" formatCode="00"/>
  </numFmts>
  <fonts count="90">
    <font>
      <sz val="11"/>
      <color theme="1"/>
      <name val="Calibri"/>
      <family val="2"/>
      <scheme val="minor"/>
    </font>
    <font>
      <sz val="11"/>
      <color theme="0"/>
      <name val="Calibri"/>
      <family val="2"/>
      <scheme val="minor"/>
    </font>
    <font>
      <sz val="10"/>
      <color theme="1"/>
      <name val="Arial"/>
      <family val="2"/>
    </font>
    <font>
      <b/>
      <sz val="10"/>
      <color theme="1"/>
      <name val="Arial"/>
      <family val="2"/>
    </font>
    <font>
      <b/>
      <sz val="16"/>
      <color theme="1"/>
      <name val="Arial"/>
      <family val="2"/>
    </font>
    <font>
      <b/>
      <sz val="14"/>
      <color theme="1"/>
      <name val="Arial"/>
      <family val="2"/>
    </font>
    <font>
      <b/>
      <sz val="10"/>
      <name val="Arial"/>
      <family val="2"/>
    </font>
    <font>
      <u/>
      <sz val="11"/>
      <color theme="10"/>
      <name val="Calibri"/>
      <family val="2"/>
    </font>
    <font>
      <i/>
      <u/>
      <sz val="11"/>
      <color theme="1"/>
      <name val="Arial"/>
      <family val="2"/>
    </font>
    <font>
      <sz val="11"/>
      <color theme="1"/>
      <name val="Arial"/>
      <family val="2"/>
    </font>
    <font>
      <b/>
      <sz val="12"/>
      <color theme="1"/>
      <name val="Arial"/>
      <family val="2"/>
    </font>
    <font>
      <sz val="8"/>
      <color theme="1"/>
      <name val="Arial"/>
      <family val="2"/>
    </font>
    <font>
      <sz val="8"/>
      <color theme="1"/>
      <name val="Calibri"/>
      <family val="2"/>
      <scheme val="minor"/>
    </font>
    <font>
      <sz val="10"/>
      <color theme="1"/>
      <name val="Calibri"/>
      <family val="2"/>
      <scheme val="minor"/>
    </font>
    <font>
      <b/>
      <sz val="8"/>
      <color theme="1"/>
      <name val="Calibri"/>
      <family val="2"/>
      <scheme val="minor"/>
    </font>
    <font>
      <b/>
      <sz val="11"/>
      <color theme="1"/>
      <name val="Calibri"/>
      <family val="2"/>
      <scheme val="minor"/>
    </font>
    <font>
      <b/>
      <sz val="10"/>
      <color theme="1"/>
      <name val="Calibri"/>
      <family val="2"/>
      <scheme val="minor"/>
    </font>
    <font>
      <b/>
      <sz val="14"/>
      <color theme="1"/>
      <name val="Calibri"/>
      <family val="2"/>
      <scheme val="minor"/>
    </font>
    <font>
      <b/>
      <i/>
      <u/>
      <sz val="11"/>
      <color theme="1"/>
      <name val="Arial"/>
      <family val="2"/>
    </font>
    <font>
      <b/>
      <sz val="10"/>
      <color theme="1"/>
      <name val="Wingdings"/>
      <charset val="2"/>
    </font>
    <font>
      <b/>
      <i/>
      <sz val="16"/>
      <color theme="1"/>
      <name val="Calibri"/>
      <family val="2"/>
      <scheme val="minor"/>
    </font>
    <font>
      <u/>
      <sz val="18"/>
      <color theme="1"/>
      <name val="Calibri"/>
      <family val="2"/>
      <scheme val="minor"/>
    </font>
    <font>
      <i/>
      <sz val="8"/>
      <color theme="1"/>
      <name val="Calibri"/>
      <family val="2"/>
      <scheme val="minor"/>
    </font>
    <font>
      <sz val="8"/>
      <color indexed="81"/>
      <name val="Tahoma"/>
      <family val="2"/>
    </font>
    <font>
      <b/>
      <sz val="8"/>
      <color indexed="81"/>
      <name val="Tahoma"/>
      <family val="2"/>
    </font>
    <font>
      <b/>
      <sz val="11"/>
      <color theme="0"/>
      <name val="Calibri"/>
      <family val="2"/>
      <scheme val="minor"/>
    </font>
    <font>
      <b/>
      <sz val="12"/>
      <color theme="1"/>
      <name val="Calibri"/>
      <family val="2"/>
      <scheme val="minor"/>
    </font>
    <font>
      <sz val="12"/>
      <color theme="1"/>
      <name val="Calibri"/>
      <family val="2"/>
      <scheme val="minor"/>
    </font>
    <font>
      <b/>
      <u/>
      <sz val="12"/>
      <color theme="1"/>
      <name val="Calibri"/>
      <family val="2"/>
      <scheme val="minor"/>
    </font>
    <font>
      <b/>
      <u/>
      <sz val="8"/>
      <color theme="1"/>
      <name val="Calibri"/>
      <family val="2"/>
      <scheme val="minor"/>
    </font>
    <font>
      <b/>
      <i/>
      <u/>
      <sz val="11"/>
      <color theme="1"/>
      <name val="Calibri"/>
      <family val="2"/>
      <scheme val="minor"/>
    </font>
    <font>
      <sz val="9"/>
      <color theme="1"/>
      <name val="Calibri"/>
      <family val="2"/>
      <scheme val="minor"/>
    </font>
    <font>
      <b/>
      <u/>
      <sz val="20"/>
      <color theme="8" tint="0.39997558519241921"/>
      <name val="Calibri"/>
      <family val="2"/>
      <scheme val="minor"/>
    </font>
    <font>
      <sz val="11"/>
      <name val="Calibri"/>
      <family val="2"/>
      <scheme val="minor"/>
    </font>
    <font>
      <i/>
      <sz val="11"/>
      <name val="Calibri"/>
      <family val="2"/>
      <scheme val="minor"/>
    </font>
    <font>
      <b/>
      <i/>
      <sz val="9"/>
      <name val="Calibri"/>
      <family val="2"/>
      <scheme val="minor"/>
    </font>
    <font>
      <i/>
      <sz val="11"/>
      <color theme="0"/>
      <name val="Calibri"/>
      <family val="2"/>
      <scheme val="minor"/>
    </font>
    <font>
      <b/>
      <sz val="11"/>
      <name val="Calibri"/>
      <family val="2"/>
      <scheme val="minor"/>
    </font>
    <font>
      <b/>
      <sz val="8"/>
      <color indexed="9"/>
      <name val="Tahoma"/>
      <family val="2"/>
    </font>
    <font>
      <b/>
      <u/>
      <sz val="18"/>
      <color rgb="FFFF0000"/>
      <name val="Calibri"/>
      <family val="2"/>
      <scheme val="minor"/>
    </font>
    <font>
      <i/>
      <sz val="9"/>
      <color theme="0"/>
      <name val="Calibri"/>
      <family val="2"/>
      <scheme val="minor"/>
    </font>
    <font>
      <b/>
      <sz val="12"/>
      <color theme="2" tint="-0.249977111117893"/>
      <name val="Calibri"/>
      <family val="2"/>
      <scheme val="minor"/>
    </font>
    <font>
      <sz val="11"/>
      <color theme="2" tint="-0.249977111117893"/>
      <name val="Calibri"/>
      <family val="2"/>
      <scheme val="minor"/>
    </font>
    <font>
      <b/>
      <sz val="11"/>
      <color theme="2" tint="-0.249977111117893"/>
      <name val="Calibri"/>
      <family val="2"/>
      <scheme val="minor"/>
    </font>
    <font>
      <sz val="10"/>
      <color theme="2" tint="-0.249977111117893"/>
      <name val="Calibri"/>
      <family val="2"/>
      <scheme val="minor"/>
    </font>
    <font>
      <b/>
      <sz val="10"/>
      <color theme="0"/>
      <name val="Arial"/>
      <family val="2"/>
    </font>
    <font>
      <b/>
      <sz val="10"/>
      <color theme="0"/>
      <name val="Wingdings"/>
      <charset val="2"/>
    </font>
    <font>
      <b/>
      <sz val="12"/>
      <name val="Calibri"/>
      <family val="2"/>
      <scheme val="minor"/>
    </font>
    <font>
      <u/>
      <sz val="11"/>
      <name val="Calibri"/>
      <family val="2"/>
    </font>
    <font>
      <sz val="10"/>
      <name val="Calibri"/>
      <family val="2"/>
      <scheme val="minor"/>
    </font>
    <font>
      <b/>
      <i/>
      <sz val="11"/>
      <color rgb="FFFF0000"/>
      <name val="Calibri"/>
      <family val="2"/>
      <scheme val="minor"/>
    </font>
    <font>
      <u/>
      <sz val="8"/>
      <color theme="1"/>
      <name val="Calibri"/>
      <family val="2"/>
      <scheme val="minor"/>
    </font>
    <font>
      <b/>
      <sz val="16"/>
      <name val="Arial"/>
      <family val="2"/>
    </font>
    <font>
      <b/>
      <i/>
      <u/>
      <sz val="16"/>
      <color theme="3" tint="0.39997558519241921"/>
      <name val="Calibri"/>
      <family val="2"/>
      <scheme val="minor"/>
    </font>
    <font>
      <b/>
      <sz val="12"/>
      <color theme="2" tint="-0.249977111117893"/>
      <name val="Arial"/>
      <family val="2"/>
    </font>
    <font>
      <b/>
      <sz val="8"/>
      <color indexed="81"/>
      <name val="Calibri"/>
      <family val="2"/>
    </font>
    <font>
      <b/>
      <sz val="9"/>
      <color indexed="81"/>
      <name val="Calibri"/>
      <family val="2"/>
    </font>
    <font>
      <sz val="14"/>
      <color theme="1"/>
      <name val="Calibri"/>
      <family val="2"/>
      <scheme val="minor"/>
    </font>
    <font>
      <b/>
      <u/>
      <sz val="11"/>
      <color theme="1"/>
      <name val="Calibri"/>
      <family val="2"/>
      <scheme val="minor"/>
    </font>
    <font>
      <b/>
      <sz val="11"/>
      <color rgb="FFFF0000"/>
      <name val="Calibri"/>
      <family val="2"/>
      <scheme val="minor"/>
    </font>
    <font>
      <b/>
      <i/>
      <sz val="11"/>
      <color theme="1"/>
      <name val="Calibri"/>
      <family val="2"/>
      <scheme val="minor"/>
    </font>
    <font>
      <sz val="9"/>
      <name val="Calibri"/>
      <family val="2"/>
      <scheme val="minor"/>
    </font>
    <font>
      <b/>
      <sz val="10"/>
      <name val="Calibri"/>
      <family val="2"/>
      <scheme val="minor"/>
    </font>
    <font>
      <sz val="10"/>
      <name val="Wingdings"/>
      <charset val="2"/>
    </font>
    <font>
      <b/>
      <sz val="14"/>
      <name val="Calibri"/>
      <family val="2"/>
      <scheme val="minor"/>
    </font>
    <font>
      <sz val="14"/>
      <name val="Calibri"/>
      <family val="2"/>
      <scheme val="minor"/>
    </font>
    <font>
      <sz val="7"/>
      <color theme="1"/>
      <name val="Calibri"/>
      <family val="2"/>
      <scheme val="minor"/>
    </font>
    <font>
      <sz val="12"/>
      <color theme="0" tint="-0.249977111117893"/>
      <name val="Arial"/>
      <family val="2"/>
    </font>
    <font>
      <b/>
      <sz val="8"/>
      <color rgb="FF000000"/>
      <name val="Calibri"/>
      <family val="2"/>
    </font>
    <font>
      <sz val="8"/>
      <color rgb="FF000000"/>
      <name val="Calibri"/>
      <family val="2"/>
    </font>
    <font>
      <b/>
      <u/>
      <sz val="8"/>
      <color rgb="FF000000"/>
      <name val="Calibri"/>
      <family val="2"/>
    </font>
    <font>
      <sz val="8"/>
      <color rgb="FFFF0000"/>
      <name val="Calibri"/>
      <family val="2"/>
      <scheme val="minor"/>
    </font>
    <font>
      <b/>
      <u/>
      <sz val="8"/>
      <color rgb="FFFF0000"/>
      <name val="Calibri"/>
      <family val="2"/>
      <scheme val="minor"/>
    </font>
    <font>
      <sz val="10"/>
      <color theme="0" tint="-4.9989318521683403E-2"/>
      <name val="Calibri"/>
      <family val="2"/>
      <scheme val="minor"/>
    </font>
    <font>
      <sz val="8"/>
      <color theme="0" tint="-4.9989318521683403E-2"/>
      <name val="Calibri"/>
      <family val="2"/>
      <scheme val="minor"/>
    </font>
    <font>
      <sz val="8"/>
      <color theme="0"/>
      <name val="Calibri"/>
      <family val="2"/>
      <scheme val="minor"/>
    </font>
    <font>
      <sz val="8"/>
      <color theme="0"/>
      <name val="Calibri"/>
      <family val="2"/>
    </font>
    <font>
      <b/>
      <i/>
      <u/>
      <sz val="8"/>
      <color theme="3" tint="0.39997558519241921"/>
      <name val="Calibri"/>
      <family val="2"/>
      <scheme val="minor"/>
    </font>
    <font>
      <sz val="10"/>
      <name val="Calibri"/>
      <family val="2"/>
    </font>
    <font>
      <b/>
      <sz val="8"/>
      <name val="Calibri"/>
      <family val="2"/>
      <scheme val="minor"/>
    </font>
    <font>
      <sz val="8"/>
      <name val="Calibri"/>
      <family val="2"/>
      <scheme val="minor"/>
    </font>
    <font>
      <sz val="6.5"/>
      <color theme="1"/>
      <name val="Calibri"/>
      <family val="2"/>
      <scheme val="minor"/>
    </font>
    <font>
      <sz val="11"/>
      <color rgb="FFFF0000"/>
      <name val="Calibri"/>
      <family val="2"/>
      <scheme val="minor"/>
    </font>
    <font>
      <b/>
      <sz val="8"/>
      <color rgb="FFFF0000"/>
      <name val="Calibri"/>
      <family val="2"/>
      <scheme val="minor"/>
    </font>
    <font>
      <sz val="11"/>
      <color rgb="FFFFC000"/>
      <name val="Calibri"/>
      <family val="2"/>
      <scheme val="minor"/>
    </font>
    <font>
      <b/>
      <u/>
      <sz val="8"/>
      <name val="Calibri"/>
      <family val="2"/>
      <scheme val="minor"/>
    </font>
    <font>
      <sz val="8"/>
      <color rgb="FF00B050"/>
      <name val="Calibri"/>
      <family val="2"/>
      <scheme val="minor"/>
    </font>
    <font>
      <sz val="8"/>
      <color theme="9"/>
      <name val="Calibri"/>
      <family val="2"/>
      <scheme val="minor"/>
    </font>
    <font>
      <sz val="11"/>
      <color rgb="FF00B050"/>
      <name val="Calibri"/>
      <family val="2"/>
      <scheme val="minor"/>
    </font>
    <font>
      <sz val="12"/>
      <color rgb="FFFF0000"/>
      <name val="Arial"/>
      <family val="2"/>
    </font>
  </fonts>
  <fills count="26">
    <fill>
      <patternFill patternType="none"/>
    </fill>
    <fill>
      <patternFill patternType="gray125"/>
    </fill>
    <fill>
      <patternFill patternType="solid">
        <fgColor theme="7" tint="0.59999389629810485"/>
        <bgColor indexed="64"/>
      </patternFill>
    </fill>
    <fill>
      <patternFill patternType="solid">
        <fgColor theme="7"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lightUp"/>
    </fill>
    <fill>
      <patternFill patternType="solid">
        <fgColor theme="4" tint="0.39997558519241921"/>
        <bgColor indexed="64"/>
      </patternFill>
    </fill>
    <fill>
      <patternFill patternType="solid">
        <fgColor rgb="FFFFC000"/>
        <bgColor indexed="64"/>
      </patternFill>
    </fill>
    <fill>
      <patternFill patternType="solid">
        <fgColor rgb="FFFF0000"/>
        <bgColor indexed="64"/>
      </patternFill>
    </fill>
    <fill>
      <patternFill patternType="solid">
        <fgColor theme="1"/>
        <bgColor indexed="64"/>
      </patternFill>
    </fill>
    <fill>
      <patternFill patternType="solid">
        <fgColor rgb="FFEFE0DD"/>
        <bgColor indexed="64"/>
      </patternFill>
    </fill>
    <fill>
      <patternFill patternType="solid">
        <fgColor rgb="FFBF7C6F"/>
        <bgColor indexed="64"/>
      </patternFill>
    </fill>
    <fill>
      <patternFill patternType="solid">
        <fgColor rgb="FFD73D13"/>
        <bgColor indexed="64"/>
      </patternFill>
    </fill>
    <fill>
      <patternFill patternType="solid">
        <fgColor theme="6"/>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rgb="FF92D050"/>
        <bgColor rgb="FF000000"/>
      </patternFill>
    </fill>
    <fill>
      <patternFill patternType="solid">
        <fgColor theme="0"/>
        <bgColor indexed="64"/>
      </patternFill>
    </fill>
    <fill>
      <patternFill patternType="solid">
        <fgColor rgb="FF00B050"/>
        <bgColor indexed="64"/>
      </patternFill>
    </fill>
  </fills>
  <borders count="76">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s>
  <cellStyleXfs count="2">
    <xf numFmtId="0" fontId="0" fillId="0" borderId="0"/>
    <xf numFmtId="0" fontId="7" fillId="0" borderId="0" applyNumberFormat="0" applyFill="0" applyBorder="0" applyAlignment="0" applyProtection="0">
      <alignment vertical="top"/>
      <protection locked="0"/>
    </xf>
  </cellStyleXfs>
  <cellXfs count="805">
    <xf numFmtId="0" fontId="0" fillId="0" borderId="0" xfId="0"/>
    <xf numFmtId="0" fontId="0" fillId="0" borderId="0" xfId="0" applyAlignment="1">
      <alignment vertical="center"/>
    </xf>
    <xf numFmtId="0" fontId="12" fillId="0" borderId="0" xfId="0" applyFont="1" applyBorder="1" applyAlignment="1">
      <alignment horizontal="left"/>
    </xf>
    <xf numFmtId="0" fontId="12" fillId="0" borderId="0" xfId="0" applyFont="1" applyBorder="1"/>
    <xf numFmtId="14" fontId="12" fillId="0" borderId="0" xfId="0" applyNumberFormat="1" applyFont="1" applyBorder="1" applyAlignment="1">
      <alignment horizontal="center"/>
    </xf>
    <xf numFmtId="14" fontId="12" fillId="0" borderId="0" xfId="0" applyNumberFormat="1" applyFont="1" applyBorder="1" applyAlignment="1">
      <alignment horizontal="center" vertical="center"/>
    </xf>
    <xf numFmtId="0" fontId="12" fillId="0" borderId="0" xfId="0" applyFont="1"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vertical="center"/>
    </xf>
    <xf numFmtId="0" fontId="0" fillId="0" borderId="32" xfId="0" applyFill="1" applyBorder="1" applyAlignment="1">
      <alignment horizontal="center"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Border="1"/>
    <xf numFmtId="0" fontId="0" fillId="6" borderId="32" xfId="0" applyFill="1" applyBorder="1" applyAlignment="1">
      <alignment horizontal="center" vertical="center"/>
    </xf>
    <xf numFmtId="0" fontId="0" fillId="7" borderId="32" xfId="0" applyFill="1" applyBorder="1" applyAlignment="1">
      <alignment horizontal="center" vertical="center"/>
    </xf>
    <xf numFmtId="0" fontId="0" fillId="8" borderId="32" xfId="0" applyFill="1" applyBorder="1" applyAlignment="1">
      <alignment horizontal="center" vertical="center"/>
    </xf>
    <xf numFmtId="0" fontId="16" fillId="0" borderId="32" xfId="0" applyFont="1" applyBorder="1" applyAlignment="1">
      <alignment horizontal="center" vertical="center"/>
    </xf>
    <xf numFmtId="0" fontId="0" fillId="0" borderId="16" xfId="0" applyBorder="1" applyAlignment="1">
      <alignment horizontal="center"/>
    </xf>
    <xf numFmtId="0" fontId="21" fillId="0" borderId="0" xfId="0" applyFont="1"/>
    <xf numFmtId="22" fontId="0" fillId="9" borderId="32" xfId="0" applyNumberFormat="1" applyFill="1" applyBorder="1" applyAlignment="1">
      <alignment horizontal="center" vertical="center"/>
    </xf>
    <xf numFmtId="0" fontId="22" fillId="0" borderId="0" xfId="0" applyFont="1" applyAlignment="1">
      <alignment horizontal="center"/>
    </xf>
    <xf numFmtId="22" fontId="0" fillId="7" borderId="32" xfId="0" applyNumberFormat="1" applyFill="1" applyBorder="1" applyAlignment="1">
      <alignment horizontal="center" vertical="center"/>
    </xf>
    <xf numFmtId="0" fontId="0" fillId="0" borderId="0" xfId="0" applyAlignment="1">
      <alignment horizontal="right"/>
    </xf>
    <xf numFmtId="0" fontId="0" fillId="3" borderId="32" xfId="0" applyFill="1" applyBorder="1" applyAlignment="1">
      <alignment horizontal="right" vertical="center"/>
    </xf>
    <xf numFmtId="165" fontId="0" fillId="3" borderId="32" xfId="0" applyNumberFormat="1" applyFill="1" applyBorder="1" applyAlignment="1">
      <alignment horizontal="center" vertical="center"/>
    </xf>
    <xf numFmtId="0" fontId="0" fillId="10" borderId="32" xfId="0" applyFill="1" applyBorder="1" applyAlignment="1">
      <alignment horizontal="right" vertical="center"/>
    </xf>
    <xf numFmtId="22" fontId="0" fillId="10" borderId="32" xfId="0" applyNumberFormat="1" applyFill="1" applyBorder="1" applyAlignment="1">
      <alignment horizontal="center" vertical="center"/>
    </xf>
    <xf numFmtId="166" fontId="0" fillId="0" borderId="0" xfId="0" applyNumberFormat="1"/>
    <xf numFmtId="0" fontId="0" fillId="11" borderId="32" xfId="0" applyFill="1" applyBorder="1" applyAlignment="1">
      <alignment horizontal="right" vertical="center"/>
    </xf>
    <xf numFmtId="165" fontId="0" fillId="11" borderId="32" xfId="0" applyNumberFormat="1" applyFill="1" applyBorder="1" applyAlignment="1">
      <alignment horizontal="center" vertical="center"/>
    </xf>
    <xf numFmtId="0" fontId="0" fillId="0" borderId="0" xfId="0" applyNumberFormat="1"/>
    <xf numFmtId="167" fontId="0" fillId="0" borderId="0" xfId="0" applyNumberFormat="1"/>
    <xf numFmtId="0" fontId="0" fillId="0" borderId="0" xfId="0" applyFill="1"/>
    <xf numFmtId="0" fontId="0" fillId="9" borderId="32" xfId="0" applyFill="1" applyBorder="1" applyAlignment="1">
      <alignment horizontal="right" vertical="center"/>
    </xf>
    <xf numFmtId="168" fontId="0" fillId="9" borderId="32" xfId="0" applyNumberFormat="1" applyFill="1" applyBorder="1" applyAlignment="1">
      <alignment horizontal="center" vertical="center"/>
    </xf>
    <xf numFmtId="0" fontId="0" fillId="7" borderId="32" xfId="0" applyFill="1" applyBorder="1" applyAlignment="1">
      <alignment horizontal="right" vertical="center"/>
    </xf>
    <xf numFmtId="22" fontId="0" fillId="0" borderId="32" xfId="0" applyNumberFormat="1" applyFill="1" applyBorder="1" applyAlignment="1">
      <alignment horizontal="center" vertical="center"/>
    </xf>
    <xf numFmtId="22" fontId="0" fillId="12" borderId="32" xfId="0" applyNumberFormat="1" applyFill="1" applyBorder="1" applyAlignment="1">
      <alignment horizontal="center" vertical="center"/>
    </xf>
    <xf numFmtId="0" fontId="0" fillId="0" borderId="0" xfId="0"/>
    <xf numFmtId="0" fontId="0" fillId="0" borderId="19" xfId="0" applyBorder="1" applyAlignment="1">
      <alignment horizontal="center" vertical="center"/>
    </xf>
    <xf numFmtId="14" fontId="1" fillId="19" borderId="32" xfId="0" applyNumberFormat="1" applyFont="1" applyFill="1" applyBorder="1" applyAlignment="1" applyProtection="1">
      <alignment horizontal="center" vertical="center"/>
      <protection locked="0"/>
    </xf>
    <xf numFmtId="0" fontId="1" fillId="16" borderId="0" xfId="0" applyFont="1" applyFill="1" applyAlignment="1" applyProtection="1">
      <alignment horizontal="left" vertical="center"/>
      <protection locked="0"/>
    </xf>
    <xf numFmtId="0" fontId="0" fillId="0" borderId="0" xfId="0" applyBorder="1" applyAlignment="1"/>
    <xf numFmtId="0" fontId="0" fillId="6" borderId="19" xfId="0" applyFill="1" applyBorder="1" applyAlignment="1">
      <alignment horizontal="center" vertical="center"/>
    </xf>
    <xf numFmtId="0" fontId="0" fillId="22" borderId="32" xfId="0" applyFill="1" applyBorder="1" applyAlignment="1">
      <alignment horizontal="center" vertical="center"/>
    </xf>
    <xf numFmtId="0" fontId="0" fillId="6" borderId="22" xfId="0" applyFill="1" applyBorder="1" applyAlignment="1">
      <alignment horizontal="center" vertical="center"/>
    </xf>
    <xf numFmtId="0" fontId="39" fillId="16" borderId="0" xfId="0" applyFont="1" applyFill="1" applyAlignment="1" applyProtection="1">
      <alignment horizontal="left" vertical="center"/>
    </xf>
    <xf numFmtId="0" fontId="0" fillId="16" borderId="0" xfId="0" applyFill="1" applyAlignment="1" applyProtection="1">
      <alignment horizontal="center" vertical="center"/>
    </xf>
    <xf numFmtId="0" fontId="32" fillId="16" borderId="0" xfId="0" applyFont="1" applyFill="1" applyAlignment="1" applyProtection="1">
      <alignment horizontal="left" vertical="center"/>
    </xf>
    <xf numFmtId="0" fontId="33" fillId="16" borderId="0" xfId="0" applyFont="1" applyFill="1" applyAlignment="1" applyProtection="1">
      <alignment horizontal="center" vertical="center"/>
    </xf>
    <xf numFmtId="0" fontId="34" fillId="17" borderId="19" xfId="0" applyFont="1" applyFill="1" applyBorder="1" applyAlignment="1" applyProtection="1">
      <alignment horizontal="center" vertical="center"/>
    </xf>
    <xf numFmtId="0" fontId="35" fillId="17" borderId="32" xfId="0" applyFont="1" applyFill="1" applyBorder="1" applyAlignment="1" applyProtection="1">
      <alignment horizontal="right" vertical="center"/>
    </xf>
    <xf numFmtId="0" fontId="1" fillId="16" borderId="0" xfId="0" applyFont="1" applyFill="1" applyAlignment="1" applyProtection="1">
      <alignment horizontal="center" vertical="center"/>
    </xf>
    <xf numFmtId="0" fontId="36" fillId="16" borderId="0" xfId="0" applyFont="1" applyFill="1" applyAlignment="1" applyProtection="1">
      <alignment horizontal="left" vertical="center"/>
    </xf>
    <xf numFmtId="0" fontId="37" fillId="17" borderId="32" xfId="0" applyFont="1" applyFill="1" applyBorder="1" applyAlignment="1" applyProtection="1">
      <alignment horizontal="right" vertical="center"/>
    </xf>
    <xf numFmtId="14" fontId="1" fillId="18" borderId="32" xfId="0" applyNumberFormat="1" applyFont="1" applyFill="1" applyBorder="1" applyAlignment="1" applyProtection="1">
      <alignment horizontal="center" vertical="center"/>
    </xf>
    <xf numFmtId="168" fontId="33" fillId="16" borderId="0" xfId="0" applyNumberFormat="1" applyFont="1" applyFill="1" applyAlignment="1" applyProtection="1">
      <alignment horizontal="center" vertical="center"/>
    </xf>
    <xf numFmtId="0" fontId="25" fillId="16" borderId="0" xfId="0" applyFont="1" applyFill="1" applyAlignment="1" applyProtection="1">
      <alignment horizontal="right" vertical="center"/>
    </xf>
    <xf numFmtId="168" fontId="1" fillId="16" borderId="0" xfId="0" applyNumberFormat="1" applyFont="1" applyFill="1" applyAlignment="1" applyProtection="1">
      <alignment horizontal="left" vertical="center"/>
    </xf>
    <xf numFmtId="49" fontId="1" fillId="16" borderId="0" xfId="0" applyNumberFormat="1" applyFont="1" applyFill="1" applyAlignment="1" applyProtection="1">
      <alignment horizontal="center" vertical="center"/>
    </xf>
    <xf numFmtId="170" fontId="0" fillId="16" borderId="0" xfId="0" applyNumberFormat="1" applyFill="1" applyAlignment="1" applyProtection="1">
      <alignment horizontal="center" vertical="center"/>
    </xf>
    <xf numFmtId="168" fontId="0" fillId="16" borderId="0" xfId="0" applyNumberFormat="1" applyFill="1" applyAlignment="1" applyProtection="1">
      <alignment horizontal="center" vertical="center"/>
    </xf>
    <xf numFmtId="14" fontId="40" fillId="18" borderId="32" xfId="0" applyNumberFormat="1" applyFont="1" applyFill="1" applyBorder="1" applyAlignment="1" applyProtection="1">
      <alignment horizontal="center" vertical="center"/>
      <protection locked="0"/>
    </xf>
    <xf numFmtId="14" fontId="40" fillId="19" borderId="32" xfId="0" applyNumberFormat="1" applyFont="1" applyFill="1" applyBorder="1" applyAlignment="1" applyProtection="1">
      <alignment horizontal="center" vertical="center"/>
      <protection locked="0"/>
    </xf>
    <xf numFmtId="0" fontId="0" fillId="0" borderId="0" xfId="0" applyProtection="1"/>
    <xf numFmtId="0" fontId="0" fillId="0" borderId="0" xfId="0" applyProtection="1">
      <protection locked="0"/>
    </xf>
    <xf numFmtId="0" fontId="0" fillId="0" borderId="0" xfId="0" applyAlignment="1" applyProtection="1">
      <alignment shrinkToFit="1"/>
      <protection locked="0"/>
    </xf>
    <xf numFmtId="0" fontId="27" fillId="0" borderId="0" xfId="0" applyFont="1" applyProtection="1">
      <protection locked="0"/>
    </xf>
    <xf numFmtId="0" fontId="0" fillId="0" borderId="0" xfId="0" applyFont="1" applyAlignment="1" applyProtection="1">
      <alignment horizontal="left"/>
      <protection locked="0"/>
    </xf>
    <xf numFmtId="0" fontId="0" fillId="0" borderId="0" xfId="0" applyFont="1" applyAlignment="1" applyProtection="1">
      <alignment vertical="center"/>
      <protection locked="0"/>
    </xf>
    <xf numFmtId="0" fontId="26" fillId="0" borderId="0" xfId="0" applyFont="1" applyAlignment="1" applyProtection="1">
      <alignment vertical="center"/>
      <protection locked="0"/>
    </xf>
    <xf numFmtId="0" fontId="0" fillId="0" borderId="0" xfId="0" applyFont="1" applyAlignment="1" applyProtection="1">
      <alignment horizontal="left" vertical="center"/>
      <protection locked="0"/>
    </xf>
    <xf numFmtId="0" fontId="33" fillId="0" borderId="0" xfId="0" applyFont="1" applyProtection="1">
      <protection locked="0"/>
    </xf>
    <xf numFmtId="0" fontId="48" fillId="0" borderId="0" xfId="1" applyFont="1" applyAlignment="1" applyProtection="1">
      <alignment horizontal="justify"/>
      <protection locked="0"/>
    </xf>
    <xf numFmtId="0" fontId="7" fillId="0" borderId="0" xfId="1" applyAlignment="1" applyProtection="1">
      <alignment horizontal="justify"/>
      <protection locked="0"/>
    </xf>
    <xf numFmtId="0" fontId="0" fillId="0" borderId="0" xfId="0" applyFill="1" applyBorder="1" applyAlignment="1" applyProtection="1">
      <protection locked="0"/>
    </xf>
    <xf numFmtId="0" fontId="0" fillId="0" borderId="0" xfId="0" applyAlignment="1" applyProtection="1">
      <alignment vertical="center"/>
      <protection locked="0"/>
    </xf>
    <xf numFmtId="0" fontId="0" fillId="0" borderId="0" xfId="0" applyFill="1" applyProtection="1">
      <protection locked="0"/>
    </xf>
    <xf numFmtId="9" fontId="9" fillId="0" borderId="0" xfId="0" applyNumberFormat="1" applyFont="1" applyFill="1" applyBorder="1" applyAlignment="1" applyProtection="1">
      <alignment horizontal="center" vertical="center"/>
      <protection locked="0"/>
    </xf>
    <xf numFmtId="9" fontId="9" fillId="0" borderId="0" xfId="0" applyNumberFormat="1" applyFont="1" applyBorder="1" applyAlignment="1" applyProtection="1">
      <alignment horizontal="center" vertical="center"/>
      <protection locked="0"/>
    </xf>
    <xf numFmtId="0" fontId="2" fillId="0" borderId="0" xfId="0" applyFont="1" applyProtection="1">
      <protection locked="0"/>
    </xf>
    <xf numFmtId="0" fontId="2" fillId="0" borderId="0" xfId="0" applyFont="1" applyAlignment="1" applyProtection="1">
      <alignment horizontal="left"/>
      <protection locked="0"/>
    </xf>
    <xf numFmtId="0" fontId="20" fillId="0" borderId="0" xfId="0" applyFont="1" applyProtection="1">
      <protection locked="0"/>
    </xf>
    <xf numFmtId="0" fontId="11" fillId="0" borderId="0" xfId="0" applyFont="1" applyFill="1" applyBorder="1" applyAlignment="1" applyProtection="1">
      <alignment horizontal="left" vertical="center"/>
      <protection locked="0"/>
    </xf>
    <xf numFmtId="0" fontId="31" fillId="0" borderId="0" xfId="0" quotePrefix="1" applyFont="1" applyFill="1" applyBorder="1" applyAlignment="1" applyProtection="1">
      <alignment horizontal="center" vertical="center"/>
      <protection locked="0"/>
    </xf>
    <xf numFmtId="0" fontId="31" fillId="0" borderId="0" xfId="0" applyFont="1" applyFill="1" applyBorder="1" applyAlignment="1" applyProtection="1">
      <alignment horizontal="center" vertical="center"/>
      <protection locked="0"/>
    </xf>
    <xf numFmtId="0" fontId="27" fillId="0" borderId="0" xfId="0" applyFont="1" applyProtection="1"/>
    <xf numFmtId="0" fontId="0" fillId="0" borderId="0" xfId="0" applyFill="1" applyBorder="1" applyProtection="1">
      <protection locked="0"/>
    </xf>
    <xf numFmtId="0" fontId="50" fillId="0" borderId="32" xfId="0" applyFont="1" applyBorder="1" applyAlignment="1">
      <alignment horizontal="center" vertical="center"/>
    </xf>
    <xf numFmtId="0" fontId="6" fillId="0" borderId="45" xfId="0" applyFont="1" applyFill="1" applyBorder="1" applyAlignment="1">
      <alignment horizontal="left"/>
    </xf>
    <xf numFmtId="0" fontId="6" fillId="0" borderId="45" xfId="0" applyFont="1" applyBorder="1" applyAlignment="1">
      <alignment horizontal="left"/>
    </xf>
    <xf numFmtId="0" fontId="12" fillId="0" borderId="0" xfId="0" applyFont="1" applyFill="1" applyBorder="1" applyAlignment="1" applyProtection="1">
      <alignment vertical="center"/>
      <protection locked="0"/>
    </xf>
    <xf numFmtId="0" fontId="16" fillId="0" borderId="0" xfId="0" applyFont="1" applyFill="1" applyBorder="1" applyAlignment="1" applyProtection="1">
      <alignment vertical="center" wrapText="1"/>
      <protection locked="0"/>
    </xf>
    <xf numFmtId="0" fontId="0" fillId="0" borderId="4" xfId="0" applyBorder="1" applyAlignment="1" applyProtection="1">
      <alignment horizontal="left"/>
      <protection locked="0"/>
    </xf>
    <xf numFmtId="0" fontId="53" fillId="0" borderId="0" xfId="0" applyFont="1" applyProtection="1">
      <protection locked="0"/>
    </xf>
    <xf numFmtId="0" fontId="0" fillId="0" borderId="0" xfId="0" applyFill="1" applyBorder="1" applyAlignment="1" applyProtection="1">
      <alignment horizontal="center"/>
      <protection locked="0"/>
    </xf>
    <xf numFmtId="0" fontId="0" fillId="8" borderId="32" xfId="0" applyFill="1" applyBorder="1" applyAlignment="1">
      <alignment horizontal="right" vertical="center"/>
    </xf>
    <xf numFmtId="0" fontId="0" fillId="0" borderId="0" xfId="0" applyAlignment="1">
      <alignment horizontal="left"/>
    </xf>
    <xf numFmtId="0" fontId="0" fillId="0" borderId="0" xfId="0" applyFont="1" applyAlignment="1">
      <alignment horizontal="left" vertical="center"/>
    </xf>
    <xf numFmtId="0" fontId="0" fillId="0" borderId="0" xfId="0" applyFill="1" applyAlignment="1">
      <alignment horizontal="center"/>
    </xf>
    <xf numFmtId="0" fontId="58" fillId="0" borderId="0" xfId="0" applyFont="1" applyAlignment="1">
      <alignment horizontal="left" vertical="center"/>
    </xf>
    <xf numFmtId="0" fontId="59" fillId="0" borderId="0" xfId="0" applyFont="1" applyAlignment="1">
      <alignment horizontal="left" vertical="center"/>
    </xf>
    <xf numFmtId="0" fontId="0" fillId="5" borderId="0" xfId="0" applyFill="1"/>
    <xf numFmtId="0" fontId="60" fillId="0" borderId="0" xfId="0" applyFont="1" applyFill="1"/>
    <xf numFmtId="0" fontId="60" fillId="0" borderId="0" xfId="0" applyFont="1" applyAlignment="1">
      <alignment horizontal="left" vertical="center"/>
    </xf>
    <xf numFmtId="0" fontId="5" fillId="0" borderId="0" xfId="0" applyFont="1" applyAlignment="1" applyProtection="1">
      <alignment horizontal="left"/>
      <protection locked="0"/>
    </xf>
    <xf numFmtId="0" fontId="15" fillId="0" borderId="0" xfId="0" applyFont="1" applyFill="1" applyBorder="1" applyAlignment="1" applyProtection="1">
      <alignment horizontal="center" vertical="center"/>
      <protection locked="0"/>
    </xf>
    <xf numFmtId="0" fontId="0" fillId="0" borderId="0" xfId="0" applyBorder="1" applyAlignment="1" applyProtection="1">
      <alignment horizontal="center"/>
      <protection locked="0"/>
    </xf>
    <xf numFmtId="0" fontId="27" fillId="0" borderId="0" xfId="0" applyFont="1" applyAlignment="1" applyProtection="1">
      <alignment horizontal="left"/>
      <protection locked="0"/>
    </xf>
    <xf numFmtId="0" fontId="18" fillId="0" borderId="0" xfId="0" applyFont="1" applyAlignment="1" applyProtection="1">
      <alignment horizontal="left" vertical="center"/>
    </xf>
    <xf numFmtId="0" fontId="0" fillId="0" borderId="19" xfId="0" applyBorder="1" applyAlignment="1">
      <alignment horizontal="center" vertical="center"/>
    </xf>
    <xf numFmtId="0" fontId="18" fillId="0" borderId="0" xfId="0" applyFont="1" applyAlignment="1" applyProtection="1">
      <alignment horizontal="left" vertical="center"/>
    </xf>
    <xf numFmtId="0" fontId="33" fillId="0" borderId="0" xfId="0" applyFont="1" applyFill="1" applyBorder="1" applyProtection="1"/>
    <xf numFmtId="0" fontId="33" fillId="0" borderId="0" xfId="0" applyFont="1" applyFill="1" applyBorder="1" applyProtection="1">
      <protection locked="0"/>
    </xf>
    <xf numFmtId="0" fontId="5" fillId="0" borderId="0" xfId="0" applyFont="1" applyFill="1" applyBorder="1" applyAlignment="1" applyProtection="1">
      <alignment horizontal="left"/>
    </xf>
    <xf numFmtId="0" fontId="0" fillId="0" borderId="0" xfId="0" applyFill="1" applyProtection="1"/>
    <xf numFmtId="0" fontId="12" fillId="0" borderId="22"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53" xfId="0" applyFont="1" applyFill="1" applyBorder="1" applyAlignment="1" applyProtection="1">
      <alignment horizontal="center" vertical="center"/>
      <protection locked="0"/>
    </xf>
    <xf numFmtId="0" fontId="12" fillId="0" borderId="35" xfId="0" applyFont="1" applyFill="1" applyBorder="1" applyAlignment="1" applyProtection="1">
      <alignment horizontal="center" vertical="center"/>
      <protection locked="0"/>
    </xf>
    <xf numFmtId="0" fontId="12" fillId="0" borderId="36" xfId="0" applyFont="1" applyFill="1" applyBorder="1" applyAlignment="1" applyProtection="1">
      <alignment horizontal="center" vertical="center"/>
      <protection locked="0"/>
    </xf>
    <xf numFmtId="0" fontId="12" fillId="0" borderId="48" xfId="0" applyFont="1" applyFill="1" applyBorder="1" applyAlignment="1" applyProtection="1">
      <alignment horizontal="center" vertical="center"/>
      <protection locked="0"/>
    </xf>
    <xf numFmtId="0" fontId="0" fillId="0" borderId="1" xfId="0" applyBorder="1" applyAlignment="1" applyProtection="1">
      <protection locked="0"/>
    </xf>
    <xf numFmtId="0" fontId="12" fillId="0" borderId="35" xfId="0" applyFont="1" applyFill="1" applyBorder="1" applyAlignment="1" applyProtection="1">
      <alignment vertical="center"/>
      <protection locked="0"/>
    </xf>
    <xf numFmtId="0" fontId="12" fillId="0" borderId="36" xfId="0" applyFont="1" applyFill="1" applyBorder="1" applyAlignment="1" applyProtection="1">
      <alignment vertical="center"/>
      <protection locked="0"/>
    </xf>
    <xf numFmtId="0" fontId="12" fillId="0" borderId="48" xfId="0" applyFont="1" applyFill="1" applyBorder="1" applyAlignment="1" applyProtection="1">
      <alignment vertical="center"/>
      <protection locked="0"/>
    </xf>
    <xf numFmtId="0" fontId="0" fillId="0" borderId="58" xfId="0" applyBorder="1" applyAlignment="1" applyProtection="1">
      <alignment vertical="center"/>
      <protection locked="0"/>
    </xf>
    <xf numFmtId="0" fontId="0" fillId="0" borderId="0" xfId="0" applyAlignment="1" applyProtection="1">
      <protection locked="0"/>
    </xf>
    <xf numFmtId="0" fontId="0" fillId="0" borderId="0" xfId="0" applyFont="1" applyProtection="1">
      <protection locked="0"/>
    </xf>
    <xf numFmtId="0" fontId="0" fillId="0" borderId="1" xfId="0" applyFont="1" applyBorder="1" applyAlignment="1" applyProtection="1">
      <protection locked="0"/>
    </xf>
    <xf numFmtId="0" fontId="3" fillId="0" borderId="0" xfId="0" applyFont="1" applyAlignment="1">
      <alignment horizontal="left"/>
    </xf>
    <xf numFmtId="0" fontId="13" fillId="0" borderId="0" xfId="0" applyFont="1" applyBorder="1" applyAlignment="1">
      <alignment horizontal="left" vertical="center"/>
    </xf>
    <xf numFmtId="0" fontId="13" fillId="0" borderId="0" xfId="0" applyFont="1" applyAlignment="1">
      <alignment horizontal="left"/>
    </xf>
    <xf numFmtId="0" fontId="13" fillId="0" borderId="0" xfId="0" applyFont="1" applyBorder="1" applyAlignment="1"/>
    <xf numFmtId="20" fontId="12" fillId="0" borderId="0" xfId="0" applyNumberFormat="1" applyFont="1" applyBorder="1" applyAlignment="1" applyProtection="1">
      <alignment vertical="center" wrapText="1"/>
      <protection locked="0"/>
    </xf>
    <xf numFmtId="0" fontId="12" fillId="0" borderId="0" xfId="0" applyFont="1" applyBorder="1" applyAlignment="1" applyProtection="1">
      <alignment vertical="center" wrapText="1"/>
      <protection locked="0"/>
    </xf>
    <xf numFmtId="0" fontId="69" fillId="0" borderId="0" xfId="0" applyFont="1" applyBorder="1" applyAlignment="1" applyProtection="1">
      <alignment vertical="center" wrapText="1"/>
      <protection locked="0"/>
    </xf>
    <xf numFmtId="20" fontId="12" fillId="0" borderId="0" xfId="0" applyNumberFormat="1" applyFont="1" applyFill="1" applyBorder="1" applyAlignment="1" applyProtection="1">
      <alignment vertical="center" wrapText="1"/>
      <protection locked="0"/>
    </xf>
    <xf numFmtId="0" fontId="12" fillId="0" borderId="0" xfId="0" applyFont="1" applyFill="1" applyBorder="1" applyAlignment="1" applyProtection="1">
      <alignment vertical="center" wrapText="1"/>
      <protection locked="0"/>
    </xf>
    <xf numFmtId="0" fontId="74" fillId="0" borderId="0" xfId="0" applyFont="1" applyBorder="1" applyAlignment="1" applyProtection="1">
      <alignment vertical="center" wrapText="1"/>
      <protection locked="0"/>
    </xf>
    <xf numFmtId="0" fontId="73" fillId="0" borderId="0" xfId="0" applyFont="1" applyBorder="1" applyAlignment="1"/>
    <xf numFmtId="20" fontId="74" fillId="0" borderId="0" xfId="0" applyNumberFormat="1" applyFont="1" applyBorder="1" applyAlignment="1" applyProtection="1">
      <alignment vertical="center" wrapText="1"/>
      <protection locked="0"/>
    </xf>
    <xf numFmtId="0" fontId="73" fillId="0" borderId="0" xfId="0" applyFont="1" applyBorder="1" applyAlignment="1">
      <alignment horizontal="left" vertical="center"/>
    </xf>
    <xf numFmtId="0" fontId="75" fillId="0" borderId="0" xfId="0" applyFont="1" applyBorder="1" applyAlignment="1" applyProtection="1">
      <alignment vertical="center" wrapText="1"/>
      <protection locked="0"/>
    </xf>
    <xf numFmtId="0" fontId="76" fillId="0" borderId="0" xfId="0" applyFont="1" applyBorder="1" applyAlignment="1" applyProtection="1">
      <alignment vertical="center" wrapText="1"/>
      <protection locked="0"/>
    </xf>
    <xf numFmtId="20" fontId="75" fillId="0" borderId="0" xfId="0" applyNumberFormat="1" applyFont="1" applyBorder="1" applyAlignment="1" applyProtection="1">
      <alignment vertical="center" wrapText="1"/>
      <protection locked="0"/>
    </xf>
    <xf numFmtId="20" fontId="75" fillId="0" borderId="0" xfId="0" applyNumberFormat="1" applyFont="1" applyFill="1" applyBorder="1" applyAlignment="1" applyProtection="1">
      <alignment vertical="center" wrapText="1"/>
      <protection locked="0"/>
    </xf>
    <xf numFmtId="0" fontId="75" fillId="0" borderId="0" xfId="0" applyFont="1" applyFill="1" applyBorder="1" applyAlignment="1" applyProtection="1">
      <alignment vertical="center" wrapText="1"/>
      <protection locked="0"/>
    </xf>
    <xf numFmtId="0" fontId="77" fillId="0" borderId="0" xfId="0" applyFont="1" applyAlignment="1" applyProtection="1">
      <alignment horizontal="left"/>
      <protection locked="0"/>
    </xf>
    <xf numFmtId="0" fontId="12" fillId="0" borderId="0" xfId="0" applyFont="1" applyAlignment="1" applyProtection="1">
      <alignment horizontal="left"/>
      <protection locked="0"/>
    </xf>
    <xf numFmtId="0" fontId="74" fillId="0" borderId="0" xfId="0" applyFont="1" applyAlignment="1" applyProtection="1">
      <alignment horizontal="left"/>
      <protection locked="0"/>
    </xf>
    <xf numFmtId="0" fontId="12" fillId="0" borderId="0" xfId="0" applyFont="1" applyAlignment="1" applyProtection="1">
      <alignment horizontal="left" vertical="center" wrapText="1"/>
      <protection locked="0"/>
    </xf>
    <xf numFmtId="0" fontId="74" fillId="0" borderId="0" xfId="0" applyFont="1" applyAlignment="1" applyProtection="1">
      <alignment horizontal="left" vertical="center" wrapText="1"/>
      <protection locked="0"/>
    </xf>
    <xf numFmtId="20" fontId="66" fillId="0" borderId="0" xfId="0" applyNumberFormat="1" applyFont="1" applyBorder="1" applyAlignment="1" applyProtection="1">
      <alignment vertical="center" wrapText="1"/>
      <protection locked="0"/>
    </xf>
    <xf numFmtId="0" fontId="5" fillId="0" borderId="0" xfId="0" applyFont="1" applyFill="1" applyBorder="1" applyProtection="1">
      <protection locked="0"/>
    </xf>
    <xf numFmtId="0" fontId="0" fillId="0" borderId="75" xfId="0" applyFill="1" applyBorder="1" applyProtection="1">
      <protection locked="0"/>
    </xf>
    <xf numFmtId="0" fontId="15" fillId="5" borderId="0" xfId="0" applyFont="1" applyFill="1"/>
    <xf numFmtId="0" fontId="15" fillId="24" borderId="0" xfId="0" applyFont="1" applyFill="1"/>
    <xf numFmtId="0" fontId="59" fillId="24" borderId="0" xfId="0" applyFont="1" applyFill="1"/>
    <xf numFmtId="0" fontId="18" fillId="0" borderId="0" xfId="0" applyFont="1" applyBorder="1" applyAlignment="1" applyProtection="1">
      <alignment horizontal="left" vertical="center"/>
    </xf>
    <xf numFmtId="0" fontId="0" fillId="0" borderId="0" xfId="0" applyBorder="1" applyProtection="1">
      <protection locked="0"/>
    </xf>
    <xf numFmtId="0" fontId="0" fillId="0" borderId="0" xfId="0" applyFill="1" applyAlignment="1">
      <alignment horizontal="center"/>
    </xf>
    <xf numFmtId="0" fontId="0" fillId="0" borderId="0" xfId="0" applyFill="1" applyBorder="1" applyAlignment="1" applyProtection="1">
      <alignment horizontal="center" vertical="center" wrapText="1"/>
      <protection locked="0"/>
    </xf>
    <xf numFmtId="0" fontId="11" fillId="0" borderId="0" xfId="0" applyFont="1" applyFill="1" applyBorder="1" applyAlignment="1" applyProtection="1">
      <alignment horizontal="center" vertical="center" wrapText="1"/>
      <protection locked="0"/>
    </xf>
    <xf numFmtId="9" fontId="2" fillId="0" borderId="0" xfId="0" quotePrefix="1" applyNumberFormat="1" applyFont="1" applyFill="1" applyBorder="1" applyAlignment="1" applyProtection="1">
      <alignment horizontal="center" vertical="center"/>
    </xf>
    <xf numFmtId="9" fontId="2" fillId="0" borderId="0" xfId="0" quotePrefix="1" applyNumberFormat="1" applyFont="1" applyFill="1" applyBorder="1" applyAlignment="1" applyProtection="1">
      <alignment horizontal="center" vertical="center" shrinkToFit="1"/>
    </xf>
    <xf numFmtId="0" fontId="0" fillId="0" borderId="0" xfId="0" applyFill="1"/>
    <xf numFmtId="0" fontId="0" fillId="5" borderId="0" xfId="0" applyFill="1"/>
    <xf numFmtId="0" fontId="6" fillId="0" borderId="45" xfId="0" quotePrefix="1" applyFont="1" applyBorder="1" applyAlignment="1">
      <alignment horizontal="left"/>
    </xf>
    <xf numFmtId="0" fontId="30" fillId="0" borderId="0" xfId="0" applyFont="1" applyFill="1" applyBorder="1" applyAlignment="1" applyProtection="1">
      <alignment horizontal="left"/>
      <protection locked="0"/>
    </xf>
    <xf numFmtId="0" fontId="12" fillId="0" borderId="41" xfId="0" applyFont="1" applyFill="1" applyBorder="1" applyAlignment="1" applyProtection="1">
      <alignment horizontal="center" vertical="center"/>
      <protection locked="0"/>
    </xf>
    <xf numFmtId="0" fontId="12" fillId="0" borderId="53" xfId="0" applyFont="1" applyFill="1" applyBorder="1" applyAlignment="1" applyProtection="1">
      <alignment horizontal="center" vertical="center"/>
      <protection locked="0"/>
    </xf>
    <xf numFmtId="0" fontId="0" fillId="0" borderId="0" xfId="0" applyBorder="1" applyAlignment="1" applyProtection="1">
      <alignment horizontal="center"/>
      <protection locked="0"/>
    </xf>
    <xf numFmtId="0" fontId="0" fillId="0" borderId="0" xfId="0" applyAlignment="1" applyProtection="1">
      <alignment horizontal="left" wrapText="1"/>
      <protection locked="0"/>
    </xf>
    <xf numFmtId="0" fontId="12" fillId="0" borderId="41" xfId="0" applyFont="1" applyFill="1" applyBorder="1" applyAlignment="1" applyProtection="1">
      <alignment horizontal="center" vertical="center"/>
      <protection locked="0"/>
    </xf>
    <xf numFmtId="0" fontId="12" fillId="0" borderId="53" xfId="0" applyFont="1" applyFill="1" applyBorder="1" applyAlignment="1" applyProtection="1">
      <alignment horizontal="center" vertical="center"/>
      <protection locked="0"/>
    </xf>
    <xf numFmtId="0" fontId="0" fillId="0" borderId="0" xfId="0"/>
    <xf numFmtId="0" fontId="0" fillId="0" borderId="0" xfId="0" applyFill="1"/>
    <xf numFmtId="14" fontId="12" fillId="0" borderId="0" xfId="0" applyNumberFormat="1" applyFont="1" applyBorder="1" applyAlignment="1">
      <alignment horizontal="center" vertical="center"/>
    </xf>
    <xf numFmtId="0" fontId="12" fillId="0" borderId="0" xfId="0" applyFont="1" applyBorder="1" applyAlignment="1">
      <alignment horizontal="center" vertical="center"/>
    </xf>
    <xf numFmtId="0" fontId="0" fillId="8" borderId="32" xfId="0" applyFill="1" applyBorder="1" applyAlignment="1">
      <alignment horizontal="center" vertical="center"/>
    </xf>
    <xf numFmtId="0" fontId="16" fillId="0" borderId="32" xfId="0" applyFont="1" applyBorder="1" applyAlignment="1">
      <alignment horizontal="center" vertical="center"/>
    </xf>
    <xf numFmtId="0" fontId="0" fillId="6" borderId="32" xfId="0" applyFill="1" applyBorder="1" applyAlignment="1" applyProtection="1">
      <alignment horizontal="center" vertical="center"/>
      <protection locked="0"/>
    </xf>
    <xf numFmtId="0" fontId="0" fillId="7" borderId="32" xfId="0" applyFill="1" applyBorder="1" applyAlignment="1" applyProtection="1">
      <alignment horizontal="center" vertical="center"/>
      <protection locked="0"/>
    </xf>
    <xf numFmtId="0" fontId="0" fillId="22" borderId="32" xfId="0" applyFill="1" applyBorder="1" applyAlignment="1" applyProtection="1">
      <alignment horizontal="center" vertical="center"/>
      <protection locked="0"/>
    </xf>
    <xf numFmtId="0" fontId="0" fillId="0" borderId="0" xfId="0"/>
    <xf numFmtId="0" fontId="13" fillId="0" borderId="0" xfId="0" applyFont="1" applyFill="1" applyBorder="1" applyAlignment="1" applyProtection="1">
      <alignment horizontal="left"/>
      <protection locked="0"/>
    </xf>
    <xf numFmtId="0" fontId="12" fillId="13" borderId="22" xfId="0" applyFont="1" applyFill="1" applyBorder="1" applyAlignment="1" applyProtection="1">
      <alignment vertical="center"/>
      <protection locked="0"/>
    </xf>
    <xf numFmtId="0" fontId="12" fillId="13" borderId="41" xfId="0" applyFont="1" applyFill="1" applyBorder="1" applyAlignment="1" applyProtection="1">
      <alignment vertical="center"/>
      <protection locked="0"/>
    </xf>
    <xf numFmtId="0" fontId="12" fillId="13" borderId="53" xfId="0" applyFont="1" applyFill="1" applyBorder="1" applyAlignment="1" applyProtection="1">
      <alignment vertical="center"/>
      <protection locked="0"/>
    </xf>
    <xf numFmtId="0" fontId="12" fillId="13" borderId="24" xfId="0" applyFont="1" applyFill="1" applyBorder="1" applyAlignment="1" applyProtection="1">
      <alignment vertical="center"/>
      <protection locked="0"/>
    </xf>
    <xf numFmtId="0" fontId="12" fillId="13" borderId="1" xfId="0" applyFont="1" applyFill="1" applyBorder="1" applyAlignment="1" applyProtection="1">
      <alignment vertical="center"/>
      <protection locked="0"/>
    </xf>
    <xf numFmtId="0" fontId="12" fillId="13" borderId="54" xfId="0" applyFont="1" applyFill="1" applyBorder="1" applyAlignment="1" applyProtection="1">
      <alignment vertical="center"/>
      <protection locked="0"/>
    </xf>
    <xf numFmtId="0" fontId="5" fillId="0" borderId="0" xfId="0" applyFont="1" applyFill="1" applyProtection="1">
      <protection locked="0"/>
    </xf>
    <xf numFmtId="0" fontId="84" fillId="0" borderId="0" xfId="0" applyFont="1" applyFill="1" applyProtection="1">
      <protection locked="0"/>
    </xf>
    <xf numFmtId="0" fontId="84" fillId="0" borderId="0" xfId="0" applyFont="1" applyFill="1" applyProtection="1"/>
    <xf numFmtId="0" fontId="84" fillId="0" borderId="0" xfId="0" applyFont="1" applyFill="1" applyBorder="1" applyProtection="1"/>
    <xf numFmtId="20" fontId="12" fillId="0" borderId="0" xfId="0" applyNumberFormat="1" applyFont="1" applyFill="1" applyBorder="1" applyAlignment="1" applyProtection="1">
      <alignment horizontal="center" vertical="center" wrapText="1"/>
      <protection locked="0"/>
    </xf>
    <xf numFmtId="20" fontId="71" fillId="0" borderId="0" xfId="0" applyNumberFormat="1" applyFont="1" applyFill="1" applyBorder="1" applyAlignment="1" applyProtection="1">
      <alignment vertical="center" wrapText="1"/>
      <protection locked="0"/>
    </xf>
    <xf numFmtId="0" fontId="29" fillId="0" borderId="0" xfId="0" applyFont="1" applyFill="1" applyBorder="1" applyAlignment="1" applyProtection="1">
      <alignment horizontal="center" vertical="center" wrapText="1"/>
      <protection locked="0"/>
    </xf>
    <xf numFmtId="0" fontId="82" fillId="0" borderId="0" xfId="0" applyFont="1" applyFill="1" applyProtection="1">
      <protection locked="0"/>
    </xf>
    <xf numFmtId="0" fontId="0" fillId="24" borderId="0" xfId="0" applyFill="1" applyProtection="1">
      <protection locked="0"/>
    </xf>
    <xf numFmtId="0" fontId="33" fillId="24" borderId="0" xfId="0" applyFont="1" applyFill="1" applyBorder="1" applyProtection="1">
      <protection locked="0"/>
    </xf>
    <xf numFmtId="20" fontId="16" fillId="0" borderId="0" xfId="0" applyNumberFormat="1" applyFont="1" applyFill="1" applyBorder="1" applyAlignment="1" applyProtection="1">
      <alignment horizontal="center" vertical="center" wrapText="1"/>
      <protection locked="0"/>
    </xf>
    <xf numFmtId="0" fontId="12" fillId="0" borderId="22"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53" xfId="0" applyFont="1" applyFill="1" applyBorder="1" applyAlignment="1" applyProtection="1">
      <alignment horizontal="center" vertical="center"/>
      <protection locked="0"/>
    </xf>
    <xf numFmtId="0" fontId="88" fillId="0" borderId="0" xfId="0" applyFont="1" applyFill="1" applyAlignment="1" applyProtection="1">
      <protection locked="0"/>
    </xf>
    <xf numFmtId="20" fontId="16" fillId="0" borderId="0" xfId="0" applyNumberFormat="1" applyFont="1" applyFill="1" applyBorder="1" applyAlignment="1" applyProtection="1">
      <alignment horizontal="center" vertical="center" wrapText="1"/>
      <protection locked="0"/>
    </xf>
    <xf numFmtId="20" fontId="79" fillId="24" borderId="0" xfId="0" applyNumberFormat="1" applyFont="1" applyFill="1" applyBorder="1" applyAlignment="1" applyProtection="1">
      <alignment horizontal="center" vertical="center" wrapText="1"/>
      <protection locked="0"/>
    </xf>
    <xf numFmtId="0" fontId="13" fillId="0" borderId="0" xfId="0" applyFont="1" applyFill="1" applyBorder="1" applyAlignment="1" applyProtection="1">
      <alignment horizontal="left"/>
      <protection locked="0"/>
    </xf>
    <xf numFmtId="0" fontId="15" fillId="0" borderId="0" xfId="0" applyFont="1" applyFill="1" applyProtection="1">
      <protection locked="0"/>
    </xf>
    <xf numFmtId="0" fontId="13" fillId="0" borderId="0" xfId="0" applyFont="1" applyFill="1" applyBorder="1" applyAlignment="1" applyProtection="1">
      <alignment horizontal="left"/>
    </xf>
    <xf numFmtId="20" fontId="16" fillId="0" borderId="0" xfId="0" applyNumberFormat="1" applyFont="1" applyFill="1" applyBorder="1" applyAlignment="1" applyProtection="1"/>
    <xf numFmtId="0" fontId="15" fillId="0" borderId="0" xfId="0" applyFont="1" applyFill="1" applyAlignment="1" applyProtection="1">
      <alignment horizontal="center"/>
      <protection locked="0"/>
    </xf>
    <xf numFmtId="0" fontId="62" fillId="0" borderId="0" xfId="0" applyFont="1" applyFill="1" applyBorder="1" applyAlignment="1" applyProtection="1">
      <protection locked="0"/>
    </xf>
    <xf numFmtId="0" fontId="33" fillId="0" borderId="0" xfId="0" applyFont="1" applyFill="1" applyProtection="1">
      <protection locked="0"/>
    </xf>
    <xf numFmtId="0" fontId="13" fillId="0" borderId="0" xfId="0" applyFont="1" applyFill="1" applyBorder="1" applyAlignment="1" applyProtection="1">
      <alignment horizontal="left"/>
      <protection locked="0"/>
    </xf>
    <xf numFmtId="0" fontId="12" fillId="0" borderId="45"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12" fillId="0" borderId="58" xfId="0" applyFont="1" applyFill="1" applyBorder="1" applyAlignment="1" applyProtection="1">
      <alignment horizontal="center" vertical="center"/>
      <protection locked="0"/>
    </xf>
    <xf numFmtId="0" fontId="14" fillId="5" borderId="35" xfId="0" applyFont="1" applyFill="1" applyBorder="1" applyAlignment="1" applyProtection="1">
      <alignment horizontal="center" vertical="center" wrapText="1"/>
      <protection locked="0"/>
    </xf>
    <xf numFmtId="0" fontId="29" fillId="5" borderId="36" xfId="0" applyFont="1" applyFill="1" applyBorder="1" applyAlignment="1" applyProtection="1">
      <alignment horizontal="center" vertical="center" wrapText="1"/>
      <protection locked="0"/>
    </xf>
    <xf numFmtId="0" fontId="29" fillId="5" borderId="48" xfId="0" applyFont="1" applyFill="1" applyBorder="1" applyAlignment="1" applyProtection="1">
      <alignment horizontal="center" vertical="center" wrapText="1"/>
      <protection locked="0"/>
    </xf>
    <xf numFmtId="20" fontId="12" fillId="0" borderId="45" xfId="0" applyNumberFormat="1" applyFont="1" applyFill="1" applyBorder="1" applyAlignment="1" applyProtection="1">
      <alignment horizontal="center" vertical="center" wrapText="1"/>
      <protection locked="0"/>
    </xf>
    <xf numFmtId="20" fontId="12" fillId="0" borderId="0" xfId="0" applyNumberFormat="1" applyFont="1" applyFill="1" applyBorder="1" applyAlignment="1" applyProtection="1">
      <alignment horizontal="center" vertical="center" wrapText="1"/>
      <protection locked="0"/>
    </xf>
    <xf numFmtId="20" fontId="12" fillId="0" borderId="58" xfId="0" applyNumberFormat="1" applyFont="1" applyFill="1" applyBorder="1" applyAlignment="1" applyProtection="1">
      <alignment horizontal="center" vertical="center" wrapText="1"/>
      <protection locked="0"/>
    </xf>
    <xf numFmtId="20" fontId="12" fillId="0" borderId="24" xfId="0" applyNumberFormat="1" applyFont="1" applyFill="1" applyBorder="1" applyAlignment="1" applyProtection="1">
      <alignment horizontal="center" vertical="center" wrapText="1"/>
      <protection locked="0"/>
    </xf>
    <xf numFmtId="20" fontId="12" fillId="0" borderId="1" xfId="0" applyNumberFormat="1" applyFont="1" applyFill="1" applyBorder="1" applyAlignment="1" applyProtection="1">
      <alignment horizontal="center" vertical="center" wrapText="1"/>
      <protection locked="0"/>
    </xf>
    <xf numFmtId="20" fontId="12" fillId="0" borderId="54" xfId="0" applyNumberFormat="1" applyFont="1" applyFill="1" applyBorder="1" applyAlignment="1" applyProtection="1">
      <alignment horizontal="center" vertical="center" wrapText="1"/>
      <protection locked="0"/>
    </xf>
    <xf numFmtId="9" fontId="12" fillId="0" borderId="24" xfId="0" applyNumberFormat="1" applyFont="1" applyFill="1" applyBorder="1" applyAlignment="1" applyProtection="1">
      <alignment horizontal="center" vertical="center"/>
      <protection locked="0"/>
    </xf>
    <xf numFmtId="9" fontId="12" fillId="0" borderId="1" xfId="0" applyNumberFormat="1" applyFont="1" applyFill="1" applyBorder="1" applyAlignment="1" applyProtection="1">
      <alignment horizontal="center" vertical="center"/>
      <protection locked="0"/>
    </xf>
    <xf numFmtId="9" fontId="12" fillId="0" borderId="54" xfId="0" applyNumberFormat="1" applyFont="1" applyFill="1" applyBorder="1" applyAlignment="1" applyProtection="1">
      <alignment horizontal="center" vertical="center"/>
      <protection locked="0"/>
    </xf>
    <xf numFmtId="0" fontId="12" fillId="0" borderId="24" xfId="0" applyFont="1" applyFill="1" applyBorder="1" applyAlignment="1" applyProtection="1">
      <alignment horizontal="center" vertical="center"/>
      <protection locked="0"/>
    </xf>
    <xf numFmtId="0" fontId="12" fillId="0" borderId="1" xfId="0" applyFont="1" applyFill="1" applyBorder="1" applyAlignment="1" applyProtection="1">
      <alignment horizontal="center" vertical="center"/>
      <protection locked="0"/>
    </xf>
    <xf numFmtId="0" fontId="12" fillId="0" borderId="54" xfId="0" applyFont="1" applyFill="1" applyBorder="1" applyAlignment="1" applyProtection="1">
      <alignment horizontal="center" vertical="center"/>
      <protection locked="0"/>
    </xf>
    <xf numFmtId="20" fontId="16" fillId="0" borderId="32" xfId="0" applyNumberFormat="1" applyFont="1" applyFill="1" applyBorder="1" applyAlignment="1" applyProtection="1">
      <alignment horizontal="center" vertical="center" wrapText="1"/>
      <protection locked="0"/>
    </xf>
    <xf numFmtId="0" fontId="12" fillId="0" borderId="35" xfId="0" applyFont="1" applyFill="1" applyBorder="1" applyAlignment="1" applyProtection="1">
      <alignment horizontal="center" vertical="center"/>
      <protection locked="0"/>
    </xf>
    <xf numFmtId="0" fontId="12" fillId="0" borderId="36" xfId="0" applyFont="1" applyFill="1" applyBorder="1" applyAlignment="1" applyProtection="1">
      <alignment horizontal="center" vertical="center"/>
      <protection locked="0"/>
    </xf>
    <xf numFmtId="0" fontId="12" fillId="0" borderId="48" xfId="0" applyFont="1" applyFill="1" applyBorder="1" applyAlignment="1" applyProtection="1">
      <alignment horizontal="center" vertical="center"/>
      <protection locked="0"/>
    </xf>
    <xf numFmtId="0" fontId="12" fillId="0" borderId="35" xfId="0" applyFont="1" applyFill="1" applyBorder="1" applyAlignment="1" applyProtection="1">
      <alignment horizontal="center" vertical="center" wrapText="1"/>
      <protection locked="0"/>
    </xf>
    <xf numFmtId="0" fontId="12" fillId="0" borderId="36" xfId="0" applyFont="1" applyFill="1" applyBorder="1" applyAlignment="1" applyProtection="1">
      <alignment horizontal="center" vertical="center" wrapText="1"/>
      <protection locked="0"/>
    </xf>
    <xf numFmtId="0" fontId="12" fillId="0" borderId="48" xfId="0" applyFont="1" applyFill="1" applyBorder="1" applyAlignment="1" applyProtection="1">
      <alignment horizontal="center" vertical="center" wrapText="1"/>
      <protection locked="0"/>
    </xf>
    <xf numFmtId="9" fontId="12" fillId="0" borderId="36" xfId="0" applyNumberFormat="1" applyFont="1" applyFill="1" applyBorder="1" applyAlignment="1" applyProtection="1">
      <alignment horizontal="center" vertical="center"/>
      <protection locked="0"/>
    </xf>
    <xf numFmtId="9" fontId="12" fillId="0" borderId="48" xfId="0" applyNumberFormat="1" applyFont="1" applyFill="1" applyBorder="1" applyAlignment="1" applyProtection="1">
      <alignment horizontal="center" vertical="center"/>
      <protection locked="0"/>
    </xf>
    <xf numFmtId="0" fontId="12" fillId="0" borderId="22"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53" xfId="0" applyFont="1" applyFill="1" applyBorder="1" applyAlignment="1" applyProtection="1">
      <alignment horizontal="center" vertical="center"/>
      <protection locked="0"/>
    </xf>
    <xf numFmtId="0" fontId="12" fillId="0" borderId="32" xfId="0" applyFont="1" applyFill="1" applyBorder="1" applyAlignment="1" applyProtection="1">
      <alignment horizontal="center" vertical="center"/>
      <protection locked="0"/>
    </xf>
    <xf numFmtId="0" fontId="12" fillId="0" borderId="32" xfId="0" applyFont="1" applyFill="1" applyBorder="1" applyAlignment="1" applyProtection="1">
      <alignment horizontal="center" vertical="center" wrapText="1"/>
      <protection locked="0"/>
    </xf>
    <xf numFmtId="0" fontId="12" fillId="0" borderId="32" xfId="0" applyFont="1" applyBorder="1" applyAlignment="1" applyProtection="1">
      <alignment horizontal="center" vertical="center" wrapText="1"/>
      <protection locked="0"/>
    </xf>
    <xf numFmtId="9" fontId="12" fillId="0" borderId="22" xfId="0" applyNumberFormat="1" applyFont="1" applyFill="1" applyBorder="1" applyAlignment="1" applyProtection="1">
      <alignment horizontal="center" vertical="center"/>
      <protection locked="0"/>
    </xf>
    <xf numFmtId="9" fontId="12" fillId="0" borderId="41" xfId="0" applyNumberFormat="1" applyFont="1" applyFill="1" applyBorder="1" applyAlignment="1" applyProtection="1">
      <alignment horizontal="center" vertical="center"/>
      <protection locked="0"/>
    </xf>
    <xf numFmtId="9" fontId="12" fillId="0" borderId="53" xfId="0" applyNumberFormat="1" applyFont="1" applyFill="1" applyBorder="1" applyAlignment="1" applyProtection="1">
      <alignment horizontal="center" vertical="center"/>
      <protection locked="0"/>
    </xf>
    <xf numFmtId="0" fontId="12" fillId="5" borderId="36" xfId="0" applyFont="1" applyFill="1" applyBorder="1" applyAlignment="1" applyProtection="1">
      <alignment horizontal="center" vertical="center" wrapText="1"/>
      <protection locked="0"/>
    </xf>
    <xf numFmtId="0" fontId="12" fillId="5" borderId="48" xfId="0" applyFont="1" applyFill="1" applyBorder="1" applyAlignment="1" applyProtection="1">
      <alignment horizontal="center" vertical="center" wrapText="1"/>
      <protection locked="0"/>
    </xf>
    <xf numFmtId="20" fontId="80" fillId="0" borderId="32" xfId="0" applyNumberFormat="1" applyFont="1" applyFill="1" applyBorder="1" applyAlignment="1" applyProtection="1">
      <alignment horizontal="center" vertical="center" wrapText="1"/>
      <protection locked="0"/>
    </xf>
    <xf numFmtId="0" fontId="12" fillId="13" borderId="32" xfId="0" applyFont="1" applyFill="1" applyBorder="1" applyAlignment="1" applyProtection="1">
      <alignment horizontal="center" vertical="center"/>
      <protection locked="0"/>
    </xf>
    <xf numFmtId="0" fontId="12" fillId="13" borderId="35" xfId="0" applyFont="1" applyFill="1" applyBorder="1" applyAlignment="1" applyProtection="1">
      <alignment horizontal="center" vertical="center"/>
      <protection locked="0"/>
    </xf>
    <xf numFmtId="0" fontId="12" fillId="13" borderId="36" xfId="0" applyFont="1" applyFill="1" applyBorder="1" applyAlignment="1" applyProtection="1">
      <alignment horizontal="center" vertical="center"/>
      <protection locked="0"/>
    </xf>
    <xf numFmtId="0" fontId="12" fillId="13" borderId="48" xfId="0" applyFont="1" applyFill="1" applyBorder="1" applyAlignment="1" applyProtection="1">
      <alignment horizontal="center" vertical="center"/>
      <protection locked="0"/>
    </xf>
    <xf numFmtId="20" fontId="12" fillId="0" borderId="22" xfId="0" applyNumberFormat="1" applyFont="1" applyFill="1" applyBorder="1" applyAlignment="1" applyProtection="1">
      <alignment horizontal="center" vertical="center" wrapText="1"/>
      <protection locked="0"/>
    </xf>
    <xf numFmtId="20" fontId="12" fillId="0" borderId="41" xfId="0" applyNumberFormat="1" applyFont="1" applyFill="1" applyBorder="1" applyAlignment="1" applyProtection="1">
      <alignment horizontal="center" vertical="center" wrapText="1"/>
      <protection locked="0"/>
    </xf>
    <xf numFmtId="20" fontId="12" fillId="0" borderId="53" xfId="0" applyNumberFormat="1" applyFont="1" applyFill="1" applyBorder="1" applyAlignment="1" applyProtection="1">
      <alignment horizontal="center" vertical="center" wrapText="1"/>
      <protection locked="0"/>
    </xf>
    <xf numFmtId="9" fontId="12" fillId="0" borderId="35" xfId="0" applyNumberFormat="1" applyFont="1" applyFill="1" applyBorder="1" applyAlignment="1" applyProtection="1">
      <alignment horizontal="center" vertical="center"/>
      <protection locked="0"/>
    </xf>
    <xf numFmtId="9" fontId="2" fillId="10" borderId="32" xfId="0" quotePrefix="1" applyNumberFormat="1" applyFont="1" applyFill="1" applyBorder="1" applyAlignment="1" applyProtection="1">
      <alignment horizontal="center" vertical="center" shrinkToFit="1"/>
    </xf>
    <xf numFmtId="9" fontId="2" fillId="10" borderId="34" xfId="0" quotePrefix="1" applyNumberFormat="1" applyFont="1" applyFill="1" applyBorder="1" applyAlignment="1" applyProtection="1">
      <alignment horizontal="center" vertical="center" shrinkToFit="1"/>
    </xf>
    <xf numFmtId="9" fontId="2" fillId="21" borderId="27" xfId="0" quotePrefix="1" applyNumberFormat="1" applyFont="1" applyFill="1" applyBorder="1" applyAlignment="1" applyProtection="1">
      <alignment horizontal="center" vertical="center"/>
    </xf>
    <xf numFmtId="9" fontId="2" fillId="10" borderId="32" xfId="0" quotePrefix="1" applyNumberFormat="1" applyFont="1" applyFill="1" applyBorder="1" applyAlignment="1" applyProtection="1">
      <alignment horizontal="center" vertical="center"/>
    </xf>
    <xf numFmtId="0" fontId="11" fillId="21" borderId="27" xfId="0" applyFont="1" applyFill="1" applyBorder="1" applyAlignment="1" applyProtection="1">
      <alignment horizontal="center" vertical="center" wrapText="1"/>
      <protection locked="0"/>
    </xf>
    <xf numFmtId="0" fontId="18" fillId="24" borderId="0" xfId="0" applyFont="1" applyFill="1" applyAlignment="1" applyProtection="1">
      <alignment horizontal="left" vertical="center"/>
    </xf>
    <xf numFmtId="0" fontId="0" fillId="21" borderId="29" xfId="0" applyFill="1" applyBorder="1" applyAlignment="1" applyProtection="1">
      <alignment horizontal="center" vertical="center" wrapText="1"/>
      <protection locked="0"/>
    </xf>
    <xf numFmtId="0" fontId="0" fillId="21" borderId="30" xfId="0" applyFill="1" applyBorder="1" applyAlignment="1" applyProtection="1">
      <alignment horizontal="center" vertical="center" wrapText="1"/>
      <protection locked="0"/>
    </xf>
    <xf numFmtId="0" fontId="0" fillId="21" borderId="21" xfId="0" applyFill="1" applyBorder="1" applyAlignment="1" applyProtection="1">
      <alignment horizontal="center" vertical="center" wrapText="1"/>
      <protection locked="0"/>
    </xf>
    <xf numFmtId="0" fontId="0" fillId="21" borderId="32" xfId="0" applyFill="1" applyBorder="1" applyAlignment="1" applyProtection="1">
      <alignment horizontal="center" vertical="center" wrapText="1"/>
      <protection locked="0"/>
    </xf>
    <xf numFmtId="0" fontId="0" fillId="21" borderId="26" xfId="0" applyFill="1" applyBorder="1" applyAlignment="1" applyProtection="1">
      <alignment horizontal="center" vertical="center" wrapText="1"/>
      <protection locked="0"/>
    </xf>
    <xf numFmtId="0" fontId="0" fillId="21" borderId="27" xfId="0" applyFill="1" applyBorder="1" applyAlignment="1" applyProtection="1">
      <alignment horizontal="center" vertical="center" wrapText="1"/>
      <protection locked="0"/>
    </xf>
    <xf numFmtId="1" fontId="2" fillId="21" borderId="30" xfId="0" quotePrefix="1" applyNumberFormat="1" applyFont="1" applyFill="1" applyBorder="1" applyAlignment="1" applyProtection="1">
      <alignment horizontal="center" vertical="center"/>
    </xf>
    <xf numFmtId="9" fontId="2" fillId="21" borderId="32" xfId="0" quotePrefix="1" applyNumberFormat="1" applyFont="1" applyFill="1" applyBorder="1" applyAlignment="1" applyProtection="1">
      <alignment horizontal="center" vertical="center"/>
    </xf>
    <xf numFmtId="0" fontId="11" fillId="21" borderId="32" xfId="0" applyFont="1" applyFill="1" applyBorder="1" applyAlignment="1" applyProtection="1">
      <alignment horizontal="center" vertical="center" wrapText="1"/>
      <protection locked="0"/>
    </xf>
    <xf numFmtId="0" fontId="11" fillId="10" borderId="27" xfId="0" applyFont="1" applyFill="1" applyBorder="1" applyAlignment="1" applyProtection="1">
      <alignment horizontal="center" vertical="center" wrapText="1"/>
      <protection locked="0"/>
    </xf>
    <xf numFmtId="9" fontId="2" fillId="10" borderId="27" xfId="0" quotePrefix="1" applyNumberFormat="1" applyFont="1" applyFill="1" applyBorder="1" applyAlignment="1" applyProtection="1">
      <alignment horizontal="center" vertical="center"/>
    </xf>
    <xf numFmtId="0" fontId="11" fillId="10" borderId="32" xfId="0" applyFont="1" applyFill="1" applyBorder="1" applyAlignment="1" applyProtection="1">
      <alignment horizontal="center" vertical="center" wrapText="1"/>
      <protection locked="0"/>
    </xf>
    <xf numFmtId="0" fontId="14" fillId="5" borderId="22" xfId="0" applyFont="1" applyFill="1" applyBorder="1" applyAlignment="1" applyProtection="1">
      <alignment horizontal="center" vertical="center" wrapText="1"/>
      <protection locked="0"/>
    </xf>
    <xf numFmtId="0" fontId="29" fillId="5" borderId="41" xfId="0" applyFont="1" applyFill="1" applyBorder="1" applyAlignment="1" applyProtection="1">
      <alignment horizontal="center" vertical="center" wrapText="1"/>
      <protection locked="0"/>
    </xf>
    <xf numFmtId="0" fontId="29" fillId="5" borderId="53" xfId="0" applyFont="1" applyFill="1" applyBorder="1" applyAlignment="1" applyProtection="1">
      <alignment horizontal="center" vertical="center" wrapText="1"/>
      <protection locked="0"/>
    </xf>
    <xf numFmtId="1" fontId="2" fillId="10" borderId="30" xfId="0" quotePrefix="1" applyNumberFormat="1" applyFont="1" applyFill="1" applyBorder="1" applyAlignment="1" applyProtection="1">
      <alignment horizontal="center" vertical="center" shrinkToFit="1"/>
    </xf>
    <xf numFmtId="1" fontId="2" fillId="10" borderId="31" xfId="0" quotePrefix="1" applyNumberFormat="1" applyFont="1" applyFill="1" applyBorder="1" applyAlignment="1" applyProtection="1">
      <alignment horizontal="center" vertical="center" shrinkToFit="1"/>
    </xf>
    <xf numFmtId="0" fontId="0" fillId="10" borderId="29" xfId="0" applyFill="1" applyBorder="1" applyAlignment="1" applyProtection="1">
      <alignment horizontal="center" vertical="center" wrapText="1"/>
      <protection locked="0"/>
    </xf>
    <xf numFmtId="0" fontId="0" fillId="10" borderId="30" xfId="0" applyFill="1" applyBorder="1" applyAlignment="1" applyProtection="1">
      <alignment horizontal="center" vertical="center" wrapText="1"/>
      <protection locked="0"/>
    </xf>
    <xf numFmtId="0" fontId="0" fillId="10" borderId="21" xfId="0" applyFill="1" applyBorder="1" applyAlignment="1" applyProtection="1">
      <alignment horizontal="center" vertical="center" wrapText="1"/>
      <protection locked="0"/>
    </xf>
    <xf numFmtId="0" fontId="0" fillId="10" borderId="32" xfId="0" applyFill="1" applyBorder="1" applyAlignment="1" applyProtection="1">
      <alignment horizontal="center" vertical="center" wrapText="1"/>
      <protection locked="0"/>
    </xf>
    <xf numFmtId="0" fontId="0" fillId="10" borderId="26" xfId="0" applyFill="1" applyBorder="1" applyAlignment="1" applyProtection="1">
      <alignment horizontal="center" vertical="center" wrapText="1"/>
      <protection locked="0"/>
    </xf>
    <xf numFmtId="0" fontId="0" fillId="10" borderId="27" xfId="0" applyFill="1" applyBorder="1" applyAlignment="1" applyProtection="1">
      <alignment horizontal="center" vertical="center" wrapText="1"/>
      <protection locked="0"/>
    </xf>
    <xf numFmtId="0" fontId="67" fillId="0" borderId="0" xfId="0" applyFont="1" applyFill="1" applyBorder="1" applyAlignment="1" applyProtection="1">
      <alignment horizontal="left" wrapText="1"/>
      <protection locked="0"/>
    </xf>
    <xf numFmtId="0" fontId="61" fillId="0" borderId="35" xfId="0" applyFont="1" applyFill="1" applyBorder="1" applyAlignment="1" applyProtection="1">
      <alignment horizontal="center" vertical="center"/>
    </xf>
    <xf numFmtId="0" fontId="61" fillId="0" borderId="36" xfId="0" applyFont="1" applyFill="1" applyBorder="1" applyAlignment="1" applyProtection="1">
      <alignment horizontal="center" vertical="center"/>
    </xf>
    <xf numFmtId="0" fontId="61" fillId="0" borderId="48" xfId="0" applyFont="1" applyFill="1" applyBorder="1" applyAlignment="1" applyProtection="1">
      <alignment horizontal="center" vertical="center"/>
    </xf>
    <xf numFmtId="0" fontId="61" fillId="0" borderId="32" xfId="0" applyFont="1" applyFill="1" applyBorder="1" applyAlignment="1" applyProtection="1">
      <alignment horizontal="center" vertical="center"/>
    </xf>
    <xf numFmtId="0" fontId="11" fillId="2" borderId="22" xfId="0" applyFont="1" applyFill="1" applyBorder="1" applyAlignment="1" applyProtection="1">
      <alignment horizontal="center" vertical="center"/>
      <protection locked="0"/>
    </xf>
    <xf numFmtId="0" fontId="11" fillId="2" borderId="41" xfId="0" applyFont="1" applyFill="1" applyBorder="1" applyAlignment="1" applyProtection="1">
      <alignment horizontal="center" vertical="center"/>
      <protection locked="0"/>
    </xf>
    <xf numFmtId="0" fontId="11" fillId="2" borderId="53" xfId="0" applyFont="1" applyFill="1" applyBorder="1" applyAlignment="1" applyProtection="1">
      <alignment horizontal="center" vertical="center"/>
      <protection locked="0"/>
    </xf>
    <xf numFmtId="0" fontId="11" fillId="2" borderId="24" xfId="0" applyFont="1" applyFill="1" applyBorder="1" applyAlignment="1" applyProtection="1">
      <alignment horizontal="center" vertical="center"/>
      <protection locked="0"/>
    </xf>
    <xf numFmtId="0" fontId="11" fillId="2" borderId="1" xfId="0" applyFont="1" applyFill="1" applyBorder="1" applyAlignment="1" applyProtection="1">
      <alignment horizontal="center" vertical="center"/>
      <protection locked="0"/>
    </xf>
    <xf numFmtId="0" fontId="11" fillId="2" borderId="54" xfId="0" applyFont="1" applyFill="1" applyBorder="1" applyAlignment="1" applyProtection="1">
      <alignment horizontal="center" vertical="center"/>
      <protection locked="0"/>
    </xf>
    <xf numFmtId="0" fontId="0" fillId="2" borderId="35" xfId="0" applyFill="1" applyBorder="1" applyAlignment="1" applyProtection="1">
      <alignment horizontal="center" vertical="center"/>
      <protection locked="0"/>
    </xf>
    <xf numFmtId="0" fontId="0" fillId="2" borderId="36" xfId="0" applyFill="1" applyBorder="1" applyAlignment="1" applyProtection="1">
      <alignment horizontal="center" vertical="center"/>
      <protection locked="0"/>
    </xf>
    <xf numFmtId="0" fontId="0" fillId="2" borderId="48" xfId="0" applyFill="1" applyBorder="1" applyAlignment="1" applyProtection="1">
      <alignment horizontal="center" vertical="center"/>
      <protection locked="0"/>
    </xf>
    <xf numFmtId="0" fontId="11" fillId="2" borderId="32" xfId="0" applyFont="1" applyFill="1" applyBorder="1" applyAlignment="1" applyProtection="1">
      <alignment horizontal="center" vertical="center"/>
      <protection locked="0"/>
    </xf>
    <xf numFmtId="0" fontId="12" fillId="2" borderId="48" xfId="0" applyFont="1" applyFill="1" applyBorder="1" applyAlignment="1" applyProtection="1">
      <alignment horizontal="center" vertical="center"/>
      <protection locked="0"/>
    </xf>
    <xf numFmtId="0" fontId="12" fillId="2" borderId="32" xfId="0" applyFont="1" applyFill="1" applyBorder="1" applyAlignment="1" applyProtection="1">
      <alignment horizontal="center" vertical="center"/>
      <protection locked="0"/>
    </xf>
    <xf numFmtId="0" fontId="66" fillId="2" borderId="35" xfId="0" applyFont="1" applyFill="1" applyBorder="1" applyAlignment="1" applyProtection="1">
      <alignment horizontal="center" vertical="center"/>
      <protection locked="0"/>
    </xf>
    <xf numFmtId="0" fontId="66" fillId="2" borderId="36" xfId="0" applyFont="1" applyFill="1" applyBorder="1" applyAlignment="1" applyProtection="1">
      <alignment horizontal="center" vertical="center"/>
      <protection locked="0"/>
    </xf>
    <xf numFmtId="0" fontId="66" fillId="2" borderId="48" xfId="0" applyFont="1" applyFill="1" applyBorder="1" applyAlignment="1" applyProtection="1">
      <alignment horizontal="center" vertical="center"/>
      <protection locked="0"/>
    </xf>
    <xf numFmtId="0" fontId="11" fillId="2" borderId="32" xfId="0" applyFont="1" applyFill="1" applyBorder="1" applyAlignment="1" applyProtection="1">
      <alignment horizontal="left" vertical="center"/>
      <protection locked="0"/>
    </xf>
    <xf numFmtId="0" fontId="61" fillId="0" borderId="32" xfId="0" applyFont="1" applyBorder="1" applyAlignment="1" applyProtection="1">
      <alignment horizontal="center" vertical="center"/>
    </xf>
    <xf numFmtId="0" fontId="5" fillId="0" borderId="0" xfId="0" applyFont="1" applyFill="1" applyBorder="1" applyAlignment="1" applyProtection="1">
      <alignment horizontal="center"/>
    </xf>
    <xf numFmtId="0" fontId="61" fillId="0" borderId="35" xfId="0" applyFont="1" applyBorder="1" applyAlignment="1" applyProtection="1">
      <alignment horizontal="center" vertical="center"/>
    </xf>
    <xf numFmtId="0" fontId="61" fillId="0" borderId="36" xfId="0" applyFont="1" applyBorder="1" applyAlignment="1" applyProtection="1">
      <alignment horizontal="center" vertical="center"/>
    </xf>
    <xf numFmtId="0" fontId="61" fillId="0" borderId="48" xfId="0" applyFont="1" applyBorder="1" applyAlignment="1" applyProtection="1">
      <alignment horizontal="center" vertical="center"/>
    </xf>
    <xf numFmtId="0" fontId="61" fillId="0" borderId="35" xfId="0" quotePrefix="1" applyFont="1" applyFill="1" applyBorder="1" applyAlignment="1" applyProtection="1">
      <alignment horizontal="center" vertical="center"/>
    </xf>
    <xf numFmtId="0" fontId="61" fillId="0" borderId="36" xfId="0" quotePrefix="1" applyFont="1" applyFill="1" applyBorder="1" applyAlignment="1" applyProtection="1">
      <alignment horizontal="center" vertical="center"/>
    </xf>
    <xf numFmtId="0" fontId="61" fillId="0" borderId="48" xfId="0" quotePrefix="1" applyFont="1" applyFill="1" applyBorder="1" applyAlignment="1" applyProtection="1">
      <alignment horizontal="center" vertical="center"/>
    </xf>
    <xf numFmtId="0" fontId="11" fillId="2" borderId="35" xfId="0" applyFont="1" applyFill="1" applyBorder="1" applyAlignment="1" applyProtection="1">
      <alignment horizontal="left" vertical="center"/>
      <protection locked="0"/>
    </xf>
    <xf numFmtId="0" fontId="11" fillId="2" borderId="36" xfId="0" applyFont="1" applyFill="1" applyBorder="1" applyAlignment="1" applyProtection="1">
      <alignment horizontal="left" vertical="center"/>
      <protection locked="0"/>
    </xf>
    <xf numFmtId="0" fontId="11" fillId="2" borderId="48" xfId="0" applyFont="1" applyFill="1" applyBorder="1" applyAlignment="1" applyProtection="1">
      <alignment horizontal="left" vertical="center"/>
      <protection locked="0"/>
    </xf>
    <xf numFmtId="0" fontId="2" fillId="0" borderId="0" xfId="0" applyFont="1" applyBorder="1" applyAlignment="1" applyProtection="1">
      <alignment horizontal="left" vertical="center" wrapText="1"/>
      <protection locked="0"/>
    </xf>
    <xf numFmtId="0" fontId="66" fillId="13" borderId="32" xfId="0" applyFont="1" applyFill="1" applyBorder="1" applyAlignment="1" applyProtection="1">
      <alignment horizontal="center" vertical="center"/>
      <protection locked="0"/>
    </xf>
    <xf numFmtId="0" fontId="18" fillId="0" borderId="0" xfId="0" applyFont="1" applyAlignment="1" applyProtection="1">
      <alignment horizontal="left" vertical="center"/>
    </xf>
    <xf numFmtId="0" fontId="12" fillId="13" borderId="22" xfId="0" applyFont="1" applyFill="1" applyBorder="1" applyAlignment="1" applyProtection="1">
      <alignment horizontal="center" vertical="center"/>
      <protection locked="0"/>
    </xf>
    <xf numFmtId="0" fontId="12" fillId="13" borderId="41" xfId="0" applyFont="1" applyFill="1" applyBorder="1" applyAlignment="1" applyProtection="1">
      <alignment horizontal="center" vertical="center"/>
      <protection locked="0"/>
    </xf>
    <xf numFmtId="0" fontId="12" fillId="13" borderId="53" xfId="0" applyFont="1" applyFill="1" applyBorder="1" applyAlignment="1" applyProtection="1">
      <alignment horizontal="center" vertical="center"/>
      <protection locked="0"/>
    </xf>
    <xf numFmtId="0" fontId="12" fillId="13" borderId="24" xfId="0" applyFont="1" applyFill="1" applyBorder="1" applyAlignment="1" applyProtection="1">
      <alignment horizontal="center" vertical="center"/>
      <protection locked="0"/>
    </xf>
    <xf numFmtId="0" fontId="12" fillId="13" borderId="1" xfId="0" applyFont="1" applyFill="1" applyBorder="1" applyAlignment="1" applyProtection="1">
      <alignment horizontal="center" vertical="center"/>
      <protection locked="0"/>
    </xf>
    <xf numFmtId="0" fontId="12" fillId="13" borderId="54" xfId="0" applyFont="1" applyFill="1" applyBorder="1" applyAlignment="1" applyProtection="1">
      <alignment horizontal="center" vertical="center"/>
      <protection locked="0"/>
    </xf>
    <xf numFmtId="0" fontId="12" fillId="13" borderId="45"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3" borderId="58" xfId="0" applyFont="1" applyFill="1" applyBorder="1" applyAlignment="1" applyProtection="1">
      <alignment horizontal="center" vertical="center"/>
      <protection locked="0"/>
    </xf>
    <xf numFmtId="0" fontId="45" fillId="20" borderId="13" xfId="0" applyFont="1" applyFill="1" applyBorder="1" applyAlignment="1" applyProtection="1">
      <alignment horizontal="center" vertical="center"/>
      <protection locked="0"/>
    </xf>
    <xf numFmtId="0" fontId="45" fillId="20" borderId="52" xfId="0" applyFont="1" applyFill="1" applyBorder="1" applyAlignment="1" applyProtection="1">
      <alignment horizontal="center" vertical="center"/>
      <protection locked="0"/>
    </xf>
    <xf numFmtId="0" fontId="45" fillId="20" borderId="73" xfId="0" applyFont="1" applyFill="1" applyBorder="1" applyAlignment="1" applyProtection="1">
      <alignment horizontal="center" vertical="center"/>
      <protection locked="0"/>
    </xf>
    <xf numFmtId="0" fontId="13" fillId="0" borderId="0" xfId="0" applyFont="1" applyBorder="1" applyAlignment="1" applyProtection="1">
      <alignment horizontal="left" vertical="center" wrapText="1"/>
      <protection locked="0"/>
    </xf>
    <xf numFmtId="0" fontId="0" fillId="0" borderId="35" xfId="0" applyBorder="1" applyAlignment="1" applyProtection="1">
      <alignment horizontal="center" vertical="center"/>
      <protection locked="0"/>
    </xf>
    <xf numFmtId="0" fontId="0" fillId="0" borderId="36"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0" borderId="0" xfId="0" applyBorder="1" applyAlignment="1" applyProtection="1">
      <alignment horizontal="center"/>
      <protection locked="0"/>
    </xf>
    <xf numFmtId="0" fontId="11" fillId="21" borderId="30" xfId="0" applyFont="1" applyFill="1" applyBorder="1" applyAlignment="1" applyProtection="1">
      <alignment horizontal="center" vertical="center" wrapText="1"/>
      <protection locked="0"/>
    </xf>
    <xf numFmtId="0" fontId="45" fillId="20" borderId="10" xfId="0" applyFont="1" applyFill="1" applyBorder="1" applyAlignment="1" applyProtection="1">
      <alignment horizontal="center" vertical="center"/>
      <protection locked="0"/>
    </xf>
    <xf numFmtId="0" fontId="45" fillId="20" borderId="11" xfId="0" applyFont="1" applyFill="1" applyBorder="1" applyAlignment="1" applyProtection="1">
      <alignment horizontal="center" vertical="center"/>
      <protection locked="0"/>
    </xf>
    <xf numFmtId="0" fontId="0" fillId="14" borderId="35" xfId="0" applyFill="1" applyBorder="1" applyAlignment="1" applyProtection="1">
      <alignment horizontal="center" vertical="center"/>
      <protection locked="0"/>
    </xf>
    <xf numFmtId="0" fontId="0" fillId="14" borderId="36" xfId="0" applyFill="1" applyBorder="1" applyAlignment="1" applyProtection="1">
      <alignment horizontal="center" vertical="center"/>
      <protection locked="0"/>
    </xf>
    <xf numFmtId="0" fontId="0" fillId="14" borderId="48" xfId="0" applyFill="1" applyBorder="1" applyAlignment="1" applyProtection="1">
      <alignment horizontal="center" vertical="center"/>
      <protection locked="0"/>
    </xf>
    <xf numFmtId="9" fontId="2" fillId="21" borderId="32" xfId="0" quotePrefix="1" applyNumberFormat="1" applyFont="1" applyFill="1" applyBorder="1" applyAlignment="1" applyProtection="1">
      <alignment horizontal="center" vertical="center" shrinkToFit="1"/>
    </xf>
    <xf numFmtId="9" fontId="2" fillId="21" borderId="34" xfId="0" quotePrefix="1" applyNumberFormat="1" applyFont="1" applyFill="1" applyBorder="1" applyAlignment="1" applyProtection="1">
      <alignment horizontal="center" vertical="center" shrinkToFit="1"/>
    </xf>
    <xf numFmtId="0" fontId="45" fillId="20" borderId="13" xfId="0" applyFont="1" applyFill="1" applyBorder="1" applyAlignment="1" applyProtection="1">
      <alignment horizontal="center" vertical="center" shrinkToFit="1"/>
      <protection locked="0"/>
    </xf>
    <xf numFmtId="0" fontId="45" fillId="20" borderId="52" xfId="0" applyFont="1" applyFill="1" applyBorder="1" applyAlignment="1" applyProtection="1">
      <alignment horizontal="center" vertical="center" shrinkToFit="1"/>
      <protection locked="0"/>
    </xf>
    <xf numFmtId="0" fontId="45" fillId="20" borderId="50" xfId="0" applyFont="1" applyFill="1" applyBorder="1" applyAlignment="1" applyProtection="1">
      <alignment horizontal="center" vertical="center" shrinkToFit="1"/>
      <protection locked="0"/>
    </xf>
    <xf numFmtId="0" fontId="0" fillId="15" borderId="35" xfId="0" applyFill="1" applyBorder="1" applyAlignment="1" applyProtection="1">
      <alignment horizontal="center" vertical="center"/>
      <protection locked="0"/>
    </xf>
    <xf numFmtId="0" fontId="0" fillId="15" borderId="36" xfId="0" applyFill="1" applyBorder="1" applyAlignment="1" applyProtection="1">
      <alignment horizontal="center" vertical="center"/>
      <protection locked="0"/>
    </xf>
    <xf numFmtId="0" fontId="0" fillId="15" borderId="48" xfId="0" applyFill="1" applyBorder="1" applyAlignment="1" applyProtection="1">
      <alignment horizontal="center" vertical="center"/>
      <protection locked="0"/>
    </xf>
    <xf numFmtId="0" fontId="42" fillId="0" borderId="30" xfId="0" applyFont="1" applyBorder="1" applyAlignment="1" applyProtection="1">
      <alignment horizontal="center" vertical="center"/>
      <protection locked="0"/>
    </xf>
    <xf numFmtId="0" fontId="42" fillId="0" borderId="31" xfId="0" applyFont="1" applyBorder="1" applyAlignment="1" applyProtection="1">
      <alignment horizontal="center" vertical="center"/>
      <protection locked="0"/>
    </xf>
    <xf numFmtId="0" fontId="42" fillId="0" borderId="32" xfId="0" applyFont="1" applyBorder="1" applyAlignment="1" applyProtection="1">
      <alignment horizontal="center" vertical="center"/>
      <protection locked="0"/>
    </xf>
    <xf numFmtId="0" fontId="42" fillId="0" borderId="34" xfId="0" applyFont="1" applyBorder="1" applyAlignment="1" applyProtection="1">
      <alignment horizontal="center" vertical="center"/>
      <protection locked="0"/>
    </xf>
    <xf numFmtId="0" fontId="42" fillId="0" borderId="16" xfId="0" applyFont="1" applyBorder="1" applyAlignment="1" applyProtection="1">
      <alignment horizontal="center" vertical="center"/>
      <protection locked="0"/>
    </xf>
    <xf numFmtId="0" fontId="42" fillId="0" borderId="17" xfId="0" applyFont="1" applyBorder="1" applyAlignment="1" applyProtection="1">
      <alignment horizontal="center" vertical="center"/>
      <protection locked="0"/>
    </xf>
    <xf numFmtId="0" fontId="42" fillId="0" borderId="27" xfId="0" applyFont="1" applyBorder="1" applyAlignment="1" applyProtection="1">
      <alignment horizontal="center" vertical="center"/>
      <protection locked="0"/>
    </xf>
    <xf numFmtId="0" fontId="42" fillId="0" borderId="28" xfId="0" applyFont="1" applyBorder="1" applyAlignment="1" applyProtection="1">
      <alignment horizontal="center" vertical="center"/>
      <protection locked="0"/>
    </xf>
    <xf numFmtId="0" fontId="42" fillId="0" borderId="22" xfId="0" applyFont="1" applyFill="1" applyBorder="1" applyAlignment="1" applyProtection="1">
      <alignment horizontal="center" vertical="center"/>
      <protection locked="0"/>
    </xf>
    <xf numFmtId="0" fontId="42" fillId="0" borderId="41" xfId="0" applyFont="1" applyFill="1" applyBorder="1" applyAlignment="1" applyProtection="1">
      <alignment horizontal="center" vertical="center"/>
      <protection locked="0"/>
    </xf>
    <xf numFmtId="0" fontId="42" fillId="0" borderId="23" xfId="0" applyFont="1" applyFill="1" applyBorder="1" applyAlignment="1" applyProtection="1">
      <alignment horizontal="center" vertical="center"/>
      <protection locked="0"/>
    </xf>
    <xf numFmtId="0" fontId="42" fillId="0" borderId="68" xfId="0" applyFont="1" applyFill="1" applyBorder="1" applyAlignment="1" applyProtection="1">
      <alignment horizontal="center" vertical="center"/>
      <protection locked="0"/>
    </xf>
    <xf numFmtId="0" fontId="42" fillId="0" borderId="8" xfId="0" applyFont="1" applyFill="1" applyBorder="1" applyAlignment="1" applyProtection="1">
      <alignment horizontal="center" vertical="center"/>
      <protection locked="0"/>
    </xf>
    <xf numFmtId="0" fontId="42" fillId="0" borderId="9" xfId="0" applyFont="1" applyFill="1" applyBorder="1" applyAlignment="1" applyProtection="1">
      <alignment horizontal="center" vertical="center"/>
      <protection locked="0"/>
    </xf>
    <xf numFmtId="0" fontId="44" fillId="0" borderId="32" xfId="0" applyFont="1" applyBorder="1" applyAlignment="1" applyProtection="1">
      <alignment horizontal="center" vertical="center"/>
      <protection locked="0"/>
    </xf>
    <xf numFmtId="0" fontId="44" fillId="0" borderId="27" xfId="0" applyFont="1" applyBorder="1" applyAlignment="1" applyProtection="1">
      <alignment horizontal="center" vertical="center"/>
      <protection locked="0"/>
    </xf>
    <xf numFmtId="0" fontId="42" fillId="0" borderId="62" xfId="0" applyFont="1" applyBorder="1" applyAlignment="1" applyProtection="1">
      <alignment horizontal="center" vertical="center"/>
      <protection locked="0"/>
    </xf>
    <xf numFmtId="0" fontId="42" fillId="0" borderId="63" xfId="0" applyFont="1" applyBorder="1" applyAlignment="1" applyProtection="1">
      <alignment horizontal="center" vertical="center"/>
      <protection locked="0"/>
    </xf>
    <xf numFmtId="0" fontId="42" fillId="0" borderId="64" xfId="0" applyFont="1" applyBorder="1" applyAlignment="1" applyProtection="1">
      <alignment horizontal="center" vertical="center"/>
      <protection locked="0"/>
    </xf>
    <xf numFmtId="0" fontId="42" fillId="0" borderId="25" xfId="0" applyFont="1" applyBorder="1" applyAlignment="1" applyProtection="1">
      <alignment horizontal="center" vertical="center"/>
      <protection locked="0"/>
    </xf>
    <xf numFmtId="0" fontId="42" fillId="0" borderId="55" xfId="0" applyFont="1" applyBorder="1" applyAlignment="1" applyProtection="1">
      <alignment horizontal="center" vertical="center"/>
      <protection locked="0"/>
    </xf>
    <xf numFmtId="0" fontId="42" fillId="0" borderId="56" xfId="0" applyFont="1" applyBorder="1" applyAlignment="1" applyProtection="1">
      <alignment horizontal="center" vertical="center"/>
      <protection locked="0"/>
    </xf>
    <xf numFmtId="0" fontId="42" fillId="0" borderId="57" xfId="0" applyFont="1" applyBorder="1" applyAlignment="1" applyProtection="1">
      <alignment horizontal="center" vertical="center"/>
      <protection locked="0"/>
    </xf>
    <xf numFmtId="0" fontId="42" fillId="0" borderId="30" xfId="0" applyFont="1" applyBorder="1" applyAlignment="1" applyProtection="1">
      <alignment horizontal="center" vertical="center" wrapText="1"/>
      <protection locked="0"/>
    </xf>
    <xf numFmtId="0" fontId="42" fillId="0" borderId="65" xfId="0" applyFont="1" applyBorder="1" applyAlignment="1" applyProtection="1">
      <alignment horizontal="center" vertical="center"/>
      <protection locked="0"/>
    </xf>
    <xf numFmtId="0" fontId="42" fillId="0" borderId="66" xfId="0" applyFont="1" applyBorder="1" applyAlignment="1" applyProtection="1">
      <alignment horizontal="center" vertical="center"/>
      <protection locked="0"/>
    </xf>
    <xf numFmtId="0" fontId="42" fillId="0" borderId="67" xfId="0" applyFont="1" applyBorder="1" applyAlignment="1" applyProtection="1">
      <alignment horizontal="center" vertical="center"/>
      <protection locked="0"/>
    </xf>
    <xf numFmtId="0" fontId="42" fillId="0" borderId="45" xfId="0" applyFont="1" applyBorder="1" applyAlignment="1" applyProtection="1">
      <alignment horizontal="center" vertical="center"/>
      <protection locked="0"/>
    </xf>
    <xf numFmtId="0" fontId="42" fillId="0" borderId="0" xfId="0" applyFont="1" applyBorder="1" applyAlignment="1" applyProtection="1">
      <alignment horizontal="center" vertical="center"/>
      <protection locked="0"/>
    </xf>
    <xf numFmtId="0" fontId="42" fillId="0" borderId="58" xfId="0" applyFont="1" applyBorder="1" applyAlignment="1" applyProtection="1">
      <alignment horizontal="center" vertical="center"/>
      <protection locked="0"/>
    </xf>
    <xf numFmtId="0" fontId="42" fillId="0" borderId="59" xfId="0" applyFont="1" applyBorder="1" applyAlignment="1" applyProtection="1">
      <alignment horizontal="center" vertical="center"/>
      <protection locked="0"/>
    </xf>
    <xf numFmtId="0" fontId="42" fillId="0" borderId="60" xfId="0" applyFont="1" applyBorder="1" applyAlignment="1" applyProtection="1">
      <alignment horizontal="center" vertical="center"/>
      <protection locked="0"/>
    </xf>
    <xf numFmtId="0" fontId="42" fillId="0" borderId="61" xfId="0" applyFont="1" applyBorder="1" applyAlignment="1" applyProtection="1">
      <alignment horizontal="center" vertical="center"/>
      <protection locked="0"/>
    </xf>
    <xf numFmtId="0" fontId="42" fillId="0" borderId="29" xfId="0" applyFont="1" applyBorder="1" applyAlignment="1" applyProtection="1">
      <alignment horizontal="center" vertical="center"/>
      <protection locked="0"/>
    </xf>
    <xf numFmtId="0" fontId="42" fillId="0" borderId="21" xfId="0" applyFont="1" applyBorder="1" applyAlignment="1" applyProtection="1">
      <alignment horizontal="center" vertical="center"/>
      <protection locked="0"/>
    </xf>
    <xf numFmtId="0" fontId="42" fillId="0" borderId="26" xfId="0" applyFont="1" applyBorder="1" applyAlignment="1" applyProtection="1">
      <alignment horizontal="center" vertical="center"/>
      <protection locked="0"/>
    </xf>
    <xf numFmtId="0" fontId="44" fillId="0" borderId="30" xfId="0" applyFont="1" applyBorder="1" applyAlignment="1" applyProtection="1">
      <alignment horizontal="center" vertical="center"/>
      <protection locked="0"/>
    </xf>
    <xf numFmtId="0" fontId="42" fillId="0" borderId="24" xfId="0" applyFont="1" applyBorder="1" applyAlignment="1" applyProtection="1">
      <alignment horizontal="center" vertical="center"/>
      <protection locked="0"/>
    </xf>
    <xf numFmtId="0" fontId="42" fillId="0" borderId="1" xfId="0" applyFont="1" applyBorder="1" applyAlignment="1" applyProtection="1">
      <alignment horizontal="center" vertical="center"/>
      <protection locked="0"/>
    </xf>
    <xf numFmtId="0" fontId="42" fillId="0" borderId="54" xfId="0" applyFont="1" applyBorder="1" applyAlignment="1" applyProtection="1">
      <alignment horizontal="center" vertical="center"/>
      <protection locked="0"/>
    </xf>
    <xf numFmtId="0" fontId="15" fillId="2" borderId="32" xfId="0" applyFont="1" applyFill="1" applyBorder="1" applyAlignment="1" applyProtection="1">
      <alignment horizontal="center" vertical="center"/>
    </xf>
    <xf numFmtId="0" fontId="33" fillId="0" borderId="32" xfId="0" applyFont="1" applyFill="1" applyBorder="1" applyAlignment="1" applyProtection="1">
      <alignment horizontal="center"/>
      <protection locked="0"/>
    </xf>
    <xf numFmtId="0" fontId="42" fillId="0" borderId="35" xfId="0" applyFont="1" applyFill="1" applyBorder="1" applyAlignment="1" applyProtection="1">
      <alignment horizontal="center" vertical="center"/>
      <protection locked="0"/>
    </xf>
    <xf numFmtId="0" fontId="42" fillId="0" borderId="36" xfId="0" applyFont="1" applyFill="1" applyBorder="1" applyAlignment="1" applyProtection="1">
      <alignment horizontal="center" vertical="center"/>
      <protection locked="0"/>
    </xf>
    <xf numFmtId="0" fontId="42" fillId="0" borderId="37" xfId="0" applyFont="1" applyFill="1" applyBorder="1" applyAlignment="1" applyProtection="1">
      <alignment horizontal="center" vertical="center"/>
      <protection locked="0"/>
    </xf>
    <xf numFmtId="0" fontId="33" fillId="0" borderId="0" xfId="0" applyFont="1" applyFill="1" applyAlignment="1" applyProtection="1">
      <alignment horizontal="left" vertical="center" wrapText="1"/>
      <protection locked="0"/>
    </xf>
    <xf numFmtId="0" fontId="33" fillId="0" borderId="0" xfId="0" applyFont="1" applyFill="1" applyAlignment="1" applyProtection="1">
      <alignment horizontal="left" vertical="center"/>
      <protection locked="0"/>
    </xf>
    <xf numFmtId="0" fontId="49" fillId="0" borderId="21" xfId="0" applyFont="1" applyFill="1" applyBorder="1" applyAlignment="1" applyProtection="1">
      <alignment horizontal="center" vertical="center"/>
      <protection locked="0"/>
    </xf>
    <xf numFmtId="0" fontId="49" fillId="0" borderId="32" xfId="0" applyFont="1" applyFill="1" applyBorder="1" applyAlignment="1" applyProtection="1">
      <alignment horizontal="center" vertical="center"/>
      <protection locked="0"/>
    </xf>
    <xf numFmtId="0" fontId="42" fillId="0" borderId="5" xfId="0" applyFont="1" applyBorder="1" applyAlignment="1" applyProtection="1">
      <alignment horizontal="center" vertical="center"/>
      <protection locked="0"/>
    </xf>
    <xf numFmtId="0" fontId="42" fillId="0" borderId="0" xfId="0" applyFont="1" applyFill="1" applyBorder="1" applyAlignment="1" applyProtection="1">
      <alignment horizontal="center" vertical="center"/>
      <protection locked="0"/>
    </xf>
    <xf numFmtId="0" fontId="44" fillId="0" borderId="35" xfId="0" applyFont="1" applyBorder="1" applyAlignment="1" applyProtection="1">
      <alignment horizontal="center" vertical="center"/>
      <protection locked="0"/>
    </xf>
    <xf numFmtId="0" fontId="44" fillId="0" borderId="36" xfId="0" applyFont="1" applyBorder="1" applyAlignment="1" applyProtection="1">
      <alignment horizontal="center" vertical="center"/>
      <protection locked="0"/>
    </xf>
    <xf numFmtId="0" fontId="44" fillId="0" borderId="48" xfId="0" applyFont="1" applyBorder="1" applyAlignment="1" applyProtection="1">
      <alignment horizontal="center" vertical="center"/>
      <protection locked="0"/>
    </xf>
    <xf numFmtId="0" fontId="44" fillId="0" borderId="40" xfId="0" applyFont="1" applyBorder="1" applyAlignment="1" applyProtection="1">
      <alignment horizontal="center" vertical="center"/>
      <protection locked="0"/>
    </xf>
    <xf numFmtId="0" fontId="44" fillId="0" borderId="38" xfId="0" applyFont="1" applyBorder="1" applyAlignment="1" applyProtection="1">
      <alignment horizontal="center" vertical="center"/>
      <protection locked="0"/>
    </xf>
    <xf numFmtId="0" fontId="44" fillId="0" borderId="47" xfId="0" applyFont="1" applyBorder="1" applyAlignment="1" applyProtection="1">
      <alignment horizontal="center" vertical="center"/>
      <protection locked="0"/>
    </xf>
    <xf numFmtId="0" fontId="44" fillId="0" borderId="35" xfId="0" applyFont="1" applyFill="1" applyBorder="1" applyAlignment="1" applyProtection="1">
      <alignment horizontal="center" vertical="center"/>
      <protection locked="0"/>
    </xf>
    <xf numFmtId="0" fontId="44" fillId="0" borderId="36" xfId="0" applyFont="1" applyFill="1" applyBorder="1" applyAlignment="1" applyProtection="1">
      <alignment horizontal="center" vertical="center"/>
      <protection locked="0"/>
    </xf>
    <xf numFmtId="0" fontId="44" fillId="0" borderId="4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wrapText="1"/>
      <protection locked="0"/>
    </xf>
    <xf numFmtId="0" fontId="33" fillId="0" borderId="3" xfId="0" applyFont="1" applyFill="1" applyBorder="1" applyAlignment="1" applyProtection="1">
      <alignment horizontal="center" vertical="center" wrapText="1"/>
      <protection locked="0"/>
    </xf>
    <xf numFmtId="0" fontId="33" fillId="0" borderId="69" xfId="0" applyFont="1" applyFill="1" applyBorder="1" applyAlignment="1" applyProtection="1">
      <alignment horizontal="center" vertical="center" wrapText="1"/>
      <protection locked="0"/>
    </xf>
    <xf numFmtId="0" fontId="33" fillId="0" borderId="45" xfId="0" applyFont="1" applyFill="1" applyBorder="1" applyAlignment="1" applyProtection="1">
      <alignment horizontal="center" vertical="center" wrapText="1"/>
      <protection locked="0"/>
    </xf>
    <xf numFmtId="0" fontId="33" fillId="0" borderId="0" xfId="0" applyFont="1" applyFill="1" applyBorder="1" applyAlignment="1" applyProtection="1">
      <alignment horizontal="center" vertical="center" wrapText="1"/>
      <protection locked="0"/>
    </xf>
    <xf numFmtId="0" fontId="33" fillId="0" borderId="58" xfId="0" applyFont="1" applyFill="1" applyBorder="1" applyAlignment="1" applyProtection="1">
      <alignment horizontal="center" vertical="center" wrapText="1"/>
      <protection locked="0"/>
    </xf>
    <xf numFmtId="0" fontId="33" fillId="0" borderId="68" xfId="0" applyFont="1" applyFill="1" applyBorder="1" applyAlignment="1" applyProtection="1">
      <alignment horizontal="center" vertical="center" wrapText="1"/>
      <protection locked="0"/>
    </xf>
    <xf numFmtId="0" fontId="33" fillId="0" borderId="8" xfId="0" applyFont="1" applyFill="1" applyBorder="1" applyAlignment="1" applyProtection="1">
      <alignment horizontal="center" vertical="center" wrapText="1"/>
      <protection locked="0"/>
    </xf>
    <xf numFmtId="0" fontId="33" fillId="0" borderId="72" xfId="0" applyFont="1" applyFill="1" applyBorder="1" applyAlignment="1" applyProtection="1">
      <alignment horizontal="center" vertical="center" wrapText="1"/>
      <protection locked="0"/>
    </xf>
    <xf numFmtId="0" fontId="42" fillId="0" borderId="32" xfId="0" applyFont="1" applyFill="1" applyBorder="1" applyAlignment="1" applyProtection="1">
      <alignment horizontal="center" vertical="center"/>
      <protection locked="0"/>
    </xf>
    <xf numFmtId="0" fontId="42" fillId="0" borderId="16" xfId="0" applyFont="1" applyFill="1" applyBorder="1" applyAlignment="1" applyProtection="1">
      <alignment horizontal="center" vertical="center"/>
      <protection locked="0"/>
    </xf>
    <xf numFmtId="0" fontId="42" fillId="0" borderId="48" xfId="0" applyFont="1" applyFill="1" applyBorder="1" applyAlignment="1" applyProtection="1">
      <alignment horizontal="center" vertical="center"/>
      <protection locked="0"/>
    </xf>
    <xf numFmtId="20" fontId="15" fillId="0" borderId="0" xfId="0" applyNumberFormat="1" applyFont="1" applyFill="1" applyAlignment="1" applyProtection="1">
      <alignment horizontal="center"/>
      <protection locked="0"/>
    </xf>
    <xf numFmtId="0" fontId="15" fillId="0" borderId="0" xfId="0" applyFont="1" applyFill="1" applyAlignment="1" applyProtection="1">
      <alignment horizontal="center"/>
      <protection locked="0"/>
    </xf>
    <xf numFmtId="0" fontId="12" fillId="24" borderId="3" xfId="0" applyFont="1" applyFill="1" applyBorder="1" applyAlignment="1" applyProtection="1">
      <alignment horizontal="left" vertical="center" wrapText="1"/>
      <protection locked="0"/>
    </xf>
    <xf numFmtId="0" fontId="42" fillId="0" borderId="45" xfId="0" applyFont="1" applyFill="1" applyBorder="1" applyAlignment="1" applyProtection="1">
      <alignment horizontal="center" vertical="center"/>
      <protection locked="0"/>
    </xf>
    <xf numFmtId="0" fontId="42" fillId="0" borderId="6" xfId="0" applyFont="1" applyFill="1" applyBorder="1" applyAlignment="1" applyProtection="1">
      <alignment horizontal="center" vertical="center"/>
      <protection locked="0"/>
    </xf>
    <xf numFmtId="0" fontId="33" fillId="0" borderId="25" xfId="0" applyFont="1" applyFill="1" applyBorder="1" applyAlignment="1" applyProtection="1">
      <alignment horizontal="center" vertical="center"/>
      <protection locked="0"/>
    </xf>
    <xf numFmtId="0" fontId="49" fillId="0" borderId="46" xfId="0" applyFont="1" applyFill="1" applyBorder="1" applyAlignment="1" applyProtection="1">
      <alignment horizontal="center" vertical="center"/>
      <protection locked="0"/>
    </xf>
    <xf numFmtId="0" fontId="49" fillId="0" borderId="43" xfId="0" applyFont="1" applyFill="1" applyBorder="1" applyAlignment="1" applyProtection="1">
      <alignment horizontal="center" vertical="center"/>
      <protection locked="0"/>
    </xf>
    <xf numFmtId="0" fontId="49" fillId="0" borderId="49" xfId="0" applyFont="1" applyFill="1" applyBorder="1" applyAlignment="1" applyProtection="1">
      <alignment horizontal="center" vertical="center"/>
      <protection locked="0"/>
    </xf>
    <xf numFmtId="0" fontId="44" fillId="0" borderId="21" xfId="0" applyFont="1" applyBorder="1" applyAlignment="1" applyProtection="1">
      <alignment horizontal="center" vertical="center"/>
      <protection locked="0"/>
    </xf>
    <xf numFmtId="0" fontId="44" fillId="0" borderId="26" xfId="0" applyFont="1" applyBorder="1" applyAlignment="1" applyProtection="1">
      <alignment horizontal="center" vertical="center"/>
      <protection locked="0"/>
    </xf>
    <xf numFmtId="20" fontId="42" fillId="0" borderId="32" xfId="0" applyNumberFormat="1" applyFont="1" applyBorder="1" applyAlignment="1" applyProtection="1">
      <alignment horizontal="center" vertical="center"/>
      <protection locked="0"/>
    </xf>
    <xf numFmtId="0" fontId="82" fillId="4" borderId="27" xfId="0" applyFont="1" applyFill="1" applyBorder="1" applyAlignment="1" applyProtection="1">
      <alignment horizontal="center" vertical="center"/>
      <protection locked="0"/>
    </xf>
    <xf numFmtId="0" fontId="82" fillId="4" borderId="46" xfId="0" applyFont="1" applyFill="1" applyBorder="1" applyAlignment="1" applyProtection="1">
      <alignment horizontal="center" vertical="center"/>
      <protection locked="0"/>
    </xf>
    <xf numFmtId="0" fontId="42" fillId="0" borderId="42" xfId="0" applyFont="1" applyFill="1" applyBorder="1" applyAlignment="1" applyProtection="1">
      <alignment horizontal="center"/>
      <protection locked="0"/>
    </xf>
    <xf numFmtId="0" fontId="42" fillId="0" borderId="43" xfId="0" applyFont="1" applyFill="1" applyBorder="1" applyAlignment="1" applyProtection="1">
      <alignment horizontal="center"/>
      <protection locked="0"/>
    </xf>
    <xf numFmtId="0" fontId="44" fillId="0" borderId="21" xfId="0" applyFont="1" applyFill="1" applyBorder="1" applyAlignment="1" applyProtection="1">
      <alignment horizontal="center" vertical="center"/>
      <protection locked="0"/>
    </xf>
    <xf numFmtId="0" fontId="44" fillId="0" borderId="32" xfId="0" applyFont="1" applyFill="1" applyBorder="1" applyAlignment="1" applyProtection="1">
      <alignment horizontal="center" vertical="center"/>
      <protection locked="0"/>
    </xf>
    <xf numFmtId="20" fontId="42" fillId="0" borderId="0" xfId="0" applyNumberFormat="1" applyFont="1" applyBorder="1" applyAlignment="1" applyProtection="1">
      <alignment horizontal="center" vertical="center"/>
      <protection locked="0"/>
    </xf>
    <xf numFmtId="0" fontId="44" fillId="0" borderId="22" xfId="0" applyFont="1" applyBorder="1" applyAlignment="1" applyProtection="1">
      <alignment horizontal="center" vertical="center"/>
      <protection locked="0"/>
    </xf>
    <xf numFmtId="0" fontId="44" fillId="0" borderId="41" xfId="0" applyFont="1" applyBorder="1" applyAlignment="1" applyProtection="1">
      <alignment horizontal="center" vertical="center"/>
      <protection locked="0"/>
    </xf>
    <xf numFmtId="0" fontId="44" fillId="0" borderId="53" xfId="0" applyFont="1" applyBorder="1" applyAlignment="1" applyProtection="1">
      <alignment horizontal="center" vertical="center"/>
      <protection locked="0"/>
    </xf>
    <xf numFmtId="0" fontId="44" fillId="0" borderId="24" xfId="0" applyFont="1" applyBorder="1" applyAlignment="1" applyProtection="1">
      <alignment horizontal="center" vertical="center"/>
      <protection locked="0"/>
    </xf>
    <xf numFmtId="0" fontId="44" fillId="0" borderId="1" xfId="0" applyFont="1" applyBorder="1" applyAlignment="1" applyProtection="1">
      <alignment horizontal="center" vertical="center"/>
      <protection locked="0"/>
    </xf>
    <xf numFmtId="0" fontId="44" fillId="0" borderId="54" xfId="0" applyFont="1" applyBorder="1" applyAlignment="1" applyProtection="1">
      <alignment horizontal="center" vertical="center"/>
      <protection locked="0"/>
    </xf>
    <xf numFmtId="0" fontId="54" fillId="0" borderId="5" xfId="0" applyFont="1" applyBorder="1" applyAlignment="1" applyProtection="1">
      <alignment horizontal="left" vertical="center" wrapText="1"/>
    </xf>
    <xf numFmtId="0" fontId="54" fillId="0" borderId="0" xfId="0" applyFont="1" applyBorder="1" applyAlignment="1" applyProtection="1">
      <alignment horizontal="left" vertical="center" wrapText="1"/>
    </xf>
    <xf numFmtId="0" fontId="54" fillId="0" borderId="6" xfId="0" applyFont="1" applyBorder="1" applyAlignment="1" applyProtection="1">
      <alignment horizontal="left" vertical="center" wrapText="1"/>
    </xf>
    <xf numFmtId="0" fontId="41" fillId="0" borderId="0" xfId="0" applyFont="1" applyAlignment="1" applyProtection="1">
      <alignment horizontal="left" vertical="center"/>
      <protection locked="0"/>
    </xf>
    <xf numFmtId="0" fontId="26" fillId="0" borderId="0" xfId="0" applyFont="1" applyAlignment="1" applyProtection="1">
      <alignment horizontal="lef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43" fillId="0" borderId="29" xfId="0" applyFont="1" applyBorder="1" applyAlignment="1" applyProtection="1">
      <alignment horizontal="center" vertical="center"/>
      <protection locked="0"/>
    </xf>
    <xf numFmtId="0" fontId="43" fillId="0" borderId="30" xfId="0" applyFont="1" applyBorder="1" applyAlignment="1" applyProtection="1">
      <alignment horizontal="center" vertical="center"/>
      <protection locked="0"/>
    </xf>
    <xf numFmtId="0" fontId="43" fillId="0" borderId="31" xfId="0" applyFont="1" applyBorder="1" applyAlignment="1" applyProtection="1">
      <alignment horizontal="center" vertical="center"/>
      <protection locked="0"/>
    </xf>
    <xf numFmtId="0" fontId="43" fillId="0" borderId="21" xfId="0" applyFont="1" applyBorder="1" applyAlignment="1" applyProtection="1">
      <alignment horizontal="center" vertical="center"/>
      <protection locked="0"/>
    </xf>
    <xf numFmtId="0" fontId="43" fillId="0" borderId="32" xfId="0" applyFont="1" applyBorder="1" applyAlignment="1" applyProtection="1">
      <alignment horizontal="center" vertical="center"/>
      <protection locked="0"/>
    </xf>
    <xf numFmtId="0" fontId="43" fillId="0" borderId="34" xfId="0" applyFont="1" applyBorder="1" applyAlignment="1" applyProtection="1">
      <alignment horizontal="center" vertical="center"/>
      <protection locked="0"/>
    </xf>
    <xf numFmtId="0" fontId="47" fillId="0" borderId="0" xfId="0" applyFont="1" applyAlignment="1" applyProtection="1">
      <alignment horizontal="left" vertical="center"/>
    </xf>
    <xf numFmtId="0" fontId="89" fillId="0" borderId="5" xfId="0" applyFont="1" applyFill="1" applyBorder="1" applyAlignment="1" applyProtection="1">
      <alignment horizontal="justify" vertical="center" wrapText="1"/>
    </xf>
    <xf numFmtId="0" fontId="82" fillId="0" borderId="0" xfId="0" applyFont="1" applyFill="1" applyAlignment="1">
      <alignment horizontal="justify"/>
    </xf>
    <xf numFmtId="0" fontId="82" fillId="0" borderId="6" xfId="0" applyFont="1" applyFill="1" applyBorder="1" applyAlignment="1">
      <alignment horizontal="justify"/>
    </xf>
    <xf numFmtId="0" fontId="82" fillId="0" borderId="7" xfId="0" applyFont="1" applyFill="1" applyBorder="1" applyAlignment="1">
      <alignment horizontal="justify"/>
    </xf>
    <xf numFmtId="0" fontId="82" fillId="0" borderId="8" xfId="0" applyFont="1" applyFill="1" applyBorder="1" applyAlignment="1">
      <alignment horizontal="justify"/>
    </xf>
    <xf numFmtId="0" fontId="82" fillId="0" borderId="9" xfId="0" applyFont="1" applyFill="1" applyBorder="1" applyAlignment="1">
      <alignment horizontal="justify"/>
    </xf>
    <xf numFmtId="0" fontId="5" fillId="0" borderId="0" xfId="0" applyFont="1" applyAlignment="1" applyProtection="1">
      <alignment horizontal="left" vertical="center"/>
    </xf>
    <xf numFmtId="0" fontId="15" fillId="0" borderId="51" xfId="0" applyFont="1" applyBorder="1" applyAlignment="1" applyProtection="1">
      <alignment horizontal="center" vertical="center"/>
      <protection locked="0"/>
    </xf>
    <xf numFmtId="0" fontId="15" fillId="0" borderId="52" xfId="0" applyFont="1" applyBorder="1" applyAlignment="1" applyProtection="1">
      <alignment horizontal="center" vertical="center"/>
      <protection locked="0"/>
    </xf>
    <xf numFmtId="0" fontId="15" fillId="0" borderId="50" xfId="0" applyFont="1" applyBorder="1" applyAlignment="1" applyProtection="1">
      <alignment horizontal="center" vertical="center"/>
      <protection locked="0"/>
    </xf>
    <xf numFmtId="0" fontId="42" fillId="0" borderId="0" xfId="0" applyFont="1" applyAlignment="1" applyProtection="1">
      <alignment horizontal="left" vertical="center"/>
      <protection locked="0"/>
    </xf>
    <xf numFmtId="0" fontId="6" fillId="0" borderId="10" xfId="0" applyFont="1" applyFill="1" applyBorder="1" applyAlignment="1" applyProtection="1">
      <alignment horizontal="center" vertical="center" wrapText="1"/>
    </xf>
    <xf numFmtId="0" fontId="6" fillId="0" borderId="11" xfId="0" applyFont="1" applyFill="1" applyBorder="1" applyAlignment="1" applyProtection="1">
      <alignment horizontal="center" vertical="center" wrapText="1"/>
    </xf>
    <xf numFmtId="0" fontId="6" fillId="0" borderId="13" xfId="0" applyFont="1" applyFill="1" applyBorder="1" applyAlignment="1" applyProtection="1">
      <alignment horizontal="center" vertical="center" wrapText="1"/>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4" fillId="0" borderId="3" xfId="0" applyFont="1" applyBorder="1" applyAlignment="1" applyProtection="1">
      <alignment horizontal="center" vertical="center" wrapText="1"/>
      <protection locked="0"/>
    </xf>
    <xf numFmtId="0" fontId="4" fillId="0" borderId="4" xfId="0" applyFont="1" applyBorder="1" applyAlignment="1" applyProtection="1">
      <alignment horizontal="center" vertical="center" wrapText="1"/>
      <protection locked="0"/>
    </xf>
    <xf numFmtId="0" fontId="4" fillId="0" borderId="0" xfId="0" applyFont="1" applyBorder="1" applyAlignment="1" applyProtection="1">
      <alignment horizontal="center" vertical="center" wrapText="1"/>
      <protection locked="0"/>
    </xf>
    <xf numFmtId="0" fontId="4" fillId="0" borderId="6" xfId="0" applyFont="1" applyBorder="1" applyAlignment="1" applyProtection="1">
      <alignment horizontal="center" vertical="center" wrapText="1"/>
      <protection locked="0"/>
    </xf>
    <xf numFmtId="0" fontId="8" fillId="0" borderId="5" xfId="0" applyFont="1" applyBorder="1" applyAlignment="1" applyProtection="1">
      <alignment horizontal="center" vertical="center" wrapText="1"/>
      <protection locked="0"/>
    </xf>
    <xf numFmtId="0" fontId="8" fillId="0" borderId="0"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164" fontId="4" fillId="0" borderId="0" xfId="0" applyNumberFormat="1" applyFont="1" applyBorder="1" applyAlignment="1" applyProtection="1">
      <alignment horizontal="center" vertical="center" wrapText="1"/>
    </xf>
    <xf numFmtId="164" fontId="4" fillId="0" borderId="6" xfId="0" applyNumberFormat="1" applyFont="1" applyBorder="1" applyAlignment="1" applyProtection="1">
      <alignment horizontal="center" vertical="center" wrapText="1"/>
    </xf>
    <xf numFmtId="0" fontId="0" fillId="0" borderId="8" xfId="0" applyBorder="1" applyAlignment="1" applyProtection="1">
      <alignment horizontal="center"/>
      <protection locked="0"/>
    </xf>
    <xf numFmtId="0" fontId="0" fillId="0" borderId="9" xfId="0" applyBorder="1" applyAlignment="1" applyProtection="1">
      <alignment horizontal="center"/>
      <protection locked="0"/>
    </xf>
    <xf numFmtId="0" fontId="10" fillId="0" borderId="2" xfId="0" applyFont="1" applyBorder="1" applyAlignment="1" applyProtection="1">
      <alignment horizontal="left" vertical="center" wrapText="1"/>
      <protection locked="0"/>
    </xf>
    <xf numFmtId="0" fontId="10" fillId="0" borderId="3" xfId="0" applyFont="1" applyBorder="1" applyAlignment="1" applyProtection="1">
      <alignment horizontal="left" vertical="center" wrapText="1"/>
      <protection locked="0"/>
    </xf>
    <xf numFmtId="0" fontId="30" fillId="0" borderId="5" xfId="0" applyFont="1" applyBorder="1" applyAlignment="1" applyProtection="1">
      <alignment horizontal="center"/>
      <protection locked="0"/>
    </xf>
    <xf numFmtId="0" fontId="30" fillId="0" borderId="0" xfId="0" applyFont="1" applyBorder="1" applyAlignment="1" applyProtection="1">
      <alignment horizontal="center"/>
      <protection locked="0"/>
    </xf>
    <xf numFmtId="0" fontId="30" fillId="0" borderId="7" xfId="0" applyFont="1" applyBorder="1" applyAlignment="1" applyProtection="1">
      <alignment horizontal="center"/>
      <protection locked="0"/>
    </xf>
    <xf numFmtId="0" fontId="30" fillId="0" borderId="8" xfId="0" applyFont="1" applyBorder="1" applyAlignment="1" applyProtection="1">
      <alignment horizontal="center"/>
      <protection locked="0"/>
    </xf>
    <xf numFmtId="0" fontId="0" fillId="0" borderId="6" xfId="0" applyBorder="1" applyAlignment="1" applyProtection="1">
      <alignment horizontal="center"/>
      <protection locked="0"/>
    </xf>
    <xf numFmtId="0" fontId="42" fillId="0" borderId="0" xfId="0" applyFont="1" applyAlignment="1" applyProtection="1">
      <alignment horizontal="left" vertical="center" wrapText="1"/>
      <protection locked="0"/>
    </xf>
    <xf numFmtId="0" fontId="15" fillId="0" borderId="14" xfId="0" applyFont="1" applyFill="1" applyBorder="1" applyAlignment="1" applyProtection="1">
      <alignment horizontal="center" vertical="center"/>
      <protection locked="0"/>
    </xf>
    <xf numFmtId="0" fontId="15" fillId="0" borderId="16" xfId="0" applyFont="1" applyFill="1" applyBorder="1" applyAlignment="1" applyProtection="1">
      <alignment horizontal="center" vertical="center"/>
      <protection locked="0"/>
    </xf>
    <xf numFmtId="0" fontId="15" fillId="0" borderId="24" xfId="0" applyFont="1" applyFill="1" applyBorder="1" applyAlignment="1" applyProtection="1">
      <alignment horizontal="center" vertical="center"/>
      <protection locked="0"/>
    </xf>
    <xf numFmtId="0" fontId="33" fillId="0" borderId="16" xfId="0" applyFont="1" applyFill="1" applyBorder="1" applyAlignment="1" applyProtection="1">
      <alignment horizontal="center" vertical="center"/>
      <protection locked="0"/>
    </xf>
    <xf numFmtId="0" fontId="37" fillId="0" borderId="29" xfId="0" applyFont="1" applyFill="1" applyBorder="1" applyAlignment="1" applyProtection="1">
      <alignment horizontal="center" vertical="center"/>
      <protection locked="0"/>
    </xf>
    <xf numFmtId="0" fontId="37" fillId="0" borderId="30" xfId="0" applyFont="1" applyFill="1" applyBorder="1" applyAlignment="1" applyProtection="1">
      <alignment horizontal="center" vertical="center"/>
      <protection locked="0"/>
    </xf>
    <xf numFmtId="0" fontId="37" fillId="0" borderId="40" xfId="0" applyFont="1" applyFill="1" applyBorder="1" applyAlignment="1" applyProtection="1">
      <alignment horizontal="center" vertical="center"/>
      <protection locked="0"/>
    </xf>
    <xf numFmtId="0" fontId="42" fillId="0" borderId="40" xfId="0" applyFont="1" applyBorder="1" applyAlignment="1" applyProtection="1">
      <alignment horizontal="center" vertical="center"/>
      <protection locked="0"/>
    </xf>
    <xf numFmtId="0" fontId="42" fillId="0" borderId="38" xfId="0" applyFont="1" applyBorder="1" applyAlignment="1" applyProtection="1">
      <alignment horizontal="center" vertical="center"/>
      <protection locked="0"/>
    </xf>
    <xf numFmtId="0" fontId="42" fillId="0" borderId="39" xfId="0" applyFont="1" applyBorder="1" applyAlignment="1" applyProtection="1">
      <alignment horizontal="center" vertical="center"/>
      <protection locked="0"/>
    </xf>
    <xf numFmtId="0" fontId="42" fillId="0" borderId="12" xfId="0" applyFont="1" applyBorder="1" applyAlignment="1" applyProtection="1">
      <alignment horizontal="center" vertical="center"/>
      <protection locked="0"/>
    </xf>
    <xf numFmtId="0" fontId="42" fillId="0" borderId="3" xfId="0" applyFont="1" applyBorder="1" applyAlignment="1" applyProtection="1">
      <alignment horizontal="center" vertical="center"/>
      <protection locked="0"/>
    </xf>
    <xf numFmtId="0" fontId="42" fillId="0" borderId="69" xfId="0" applyFont="1" applyBorder="1" applyAlignment="1" applyProtection="1">
      <alignment horizontal="center" vertical="center"/>
      <protection locked="0"/>
    </xf>
    <xf numFmtId="0" fontId="42" fillId="0" borderId="36" xfId="0" applyFont="1" applyBorder="1" applyAlignment="1" applyProtection="1">
      <alignment horizontal="center" vertical="center"/>
      <protection locked="0"/>
    </xf>
    <xf numFmtId="0" fontId="42" fillId="0" borderId="37" xfId="0" applyFont="1" applyBorder="1" applyAlignment="1" applyProtection="1">
      <alignment horizontal="center" vertical="center"/>
      <protection locked="0"/>
    </xf>
    <xf numFmtId="0" fontId="33" fillId="0" borderId="24" xfId="0" applyFont="1" applyFill="1" applyBorder="1" applyAlignment="1" applyProtection="1">
      <alignment horizontal="center" vertical="center"/>
      <protection locked="0"/>
    </xf>
    <xf numFmtId="0" fontId="33" fillId="0" borderId="1" xfId="0" applyFont="1" applyFill="1" applyBorder="1" applyAlignment="1" applyProtection="1">
      <alignment horizontal="center" vertical="center"/>
      <protection locked="0"/>
    </xf>
    <xf numFmtId="0" fontId="33" fillId="0" borderId="15" xfId="0" applyFont="1" applyFill="1" applyBorder="1" applyAlignment="1" applyProtection="1">
      <alignment horizontal="center" vertical="center"/>
      <protection locked="0"/>
    </xf>
    <xf numFmtId="0" fontId="43" fillId="0" borderId="5" xfId="0" applyFont="1" applyBorder="1" applyAlignment="1" applyProtection="1">
      <alignment horizontal="center" vertical="center"/>
      <protection locked="0"/>
    </xf>
    <xf numFmtId="0" fontId="43" fillId="0" borderId="0" xfId="0" applyFont="1" applyBorder="1" applyAlignment="1" applyProtection="1">
      <alignment horizontal="center" vertical="center"/>
      <protection locked="0"/>
    </xf>
    <xf numFmtId="0" fontId="44" fillId="0" borderId="40" xfId="0" applyFont="1" applyFill="1" applyBorder="1" applyAlignment="1" applyProtection="1">
      <alignment horizontal="center" vertical="center"/>
      <protection locked="0"/>
    </xf>
    <xf numFmtId="0" fontId="44" fillId="0" borderId="38" xfId="0" applyFont="1" applyFill="1" applyBorder="1" applyAlignment="1" applyProtection="1">
      <alignment horizontal="center" vertical="center"/>
      <protection locked="0"/>
    </xf>
    <xf numFmtId="0" fontId="44" fillId="0" borderId="47" xfId="0" applyFont="1" applyFill="1" applyBorder="1" applyAlignment="1" applyProtection="1">
      <alignment horizontal="center" vertical="center"/>
      <protection locked="0"/>
    </xf>
    <xf numFmtId="0" fontId="42" fillId="0" borderId="70" xfId="0" applyFont="1" applyBorder="1" applyAlignment="1" applyProtection="1">
      <alignment horizontal="center" vertical="center"/>
      <protection locked="0"/>
    </xf>
    <xf numFmtId="0" fontId="42" fillId="0" borderId="71" xfId="0" applyFont="1" applyBorder="1" applyAlignment="1" applyProtection="1">
      <alignment horizontal="center" vertical="center"/>
      <protection locked="0"/>
    </xf>
    <xf numFmtId="0" fontId="42" fillId="0" borderId="33" xfId="0" applyFont="1" applyBorder="1" applyAlignment="1" applyProtection="1">
      <alignment horizontal="center" vertical="center"/>
      <protection locked="0"/>
    </xf>
    <xf numFmtId="0" fontId="42" fillId="0" borderId="19" xfId="0" applyFont="1" applyBorder="1" applyAlignment="1" applyProtection="1">
      <alignment horizontal="center" vertical="center"/>
      <protection locked="0"/>
    </xf>
    <xf numFmtId="0" fontId="42" fillId="0" borderId="47" xfId="0" applyFont="1" applyBorder="1" applyAlignment="1" applyProtection="1">
      <alignment horizontal="center" vertical="center"/>
      <protection locked="0"/>
    </xf>
    <xf numFmtId="0" fontId="43" fillId="0" borderId="29" xfId="0" applyFont="1" applyFill="1" applyBorder="1" applyAlignment="1" applyProtection="1">
      <alignment horizontal="center" vertical="center"/>
      <protection locked="0"/>
    </xf>
    <xf numFmtId="0" fontId="43" fillId="0" borderId="30" xfId="0" applyFont="1" applyFill="1" applyBorder="1" applyAlignment="1" applyProtection="1">
      <alignment horizontal="center" vertical="center"/>
      <protection locked="0"/>
    </xf>
    <xf numFmtId="0" fontId="43" fillId="0" borderId="40" xfId="0" applyFont="1" applyFill="1" applyBorder="1" applyAlignment="1" applyProtection="1">
      <alignment horizontal="center" vertical="center"/>
      <protection locked="0"/>
    </xf>
    <xf numFmtId="0" fontId="42" fillId="0" borderId="18" xfId="0" applyFont="1" applyBorder="1" applyAlignment="1" applyProtection="1">
      <alignment horizontal="center" vertical="center"/>
      <protection locked="0"/>
    </xf>
    <xf numFmtId="0" fontId="13" fillId="0" borderId="21" xfId="0" applyFont="1" applyFill="1" applyBorder="1" applyAlignment="1" applyProtection="1">
      <alignment horizontal="center" vertical="center"/>
      <protection locked="0"/>
    </xf>
    <xf numFmtId="0" fontId="13" fillId="0" borderId="32" xfId="0" applyFont="1" applyFill="1" applyBorder="1" applyAlignment="1" applyProtection="1">
      <alignment horizontal="center" vertical="center"/>
      <protection locked="0"/>
    </xf>
    <xf numFmtId="0" fontId="33" fillId="0" borderId="2" xfId="0" applyFont="1" applyFill="1" applyBorder="1" applyAlignment="1" applyProtection="1">
      <alignment horizontal="center" vertical="center"/>
      <protection locked="0"/>
    </xf>
    <xf numFmtId="0" fontId="33" fillId="0" borderId="3" xfId="0" applyFont="1" applyFill="1" applyBorder="1" applyAlignment="1" applyProtection="1">
      <alignment horizontal="center" vertical="center"/>
      <protection locked="0"/>
    </xf>
    <xf numFmtId="0" fontId="33" fillId="0" borderId="69" xfId="0" applyFont="1" applyFill="1" applyBorder="1" applyAlignment="1" applyProtection="1">
      <alignment horizontal="center" vertical="center"/>
      <protection locked="0"/>
    </xf>
    <xf numFmtId="0" fontId="33" fillId="0" borderId="5" xfId="0" applyFont="1" applyFill="1" applyBorder="1" applyAlignment="1" applyProtection="1">
      <alignment horizontal="center" vertical="center"/>
      <protection locked="0"/>
    </xf>
    <xf numFmtId="0" fontId="33" fillId="0" borderId="0" xfId="0" applyFont="1" applyFill="1" applyBorder="1" applyAlignment="1" applyProtection="1">
      <alignment horizontal="center" vertical="center"/>
      <protection locked="0"/>
    </xf>
    <xf numFmtId="0" fontId="33" fillId="0" borderId="58" xfId="0" applyFont="1" applyFill="1" applyBorder="1" applyAlignment="1" applyProtection="1">
      <alignment horizontal="center" vertical="center"/>
      <protection locked="0"/>
    </xf>
    <xf numFmtId="0" fontId="33" fillId="0" borderId="7" xfId="0" applyFont="1" applyFill="1" applyBorder="1" applyAlignment="1" applyProtection="1">
      <alignment horizontal="center" vertical="center"/>
      <protection locked="0"/>
    </xf>
    <xf numFmtId="0" fontId="33" fillId="0" borderId="8" xfId="0" applyFont="1" applyFill="1" applyBorder="1" applyAlignment="1" applyProtection="1">
      <alignment horizontal="center" vertical="center"/>
      <protection locked="0"/>
    </xf>
    <xf numFmtId="0" fontId="33" fillId="0" borderId="72" xfId="0" applyFont="1" applyFill="1" applyBorder="1" applyAlignment="1" applyProtection="1">
      <alignment horizontal="center" vertical="center"/>
      <protection locked="0"/>
    </xf>
    <xf numFmtId="0" fontId="33" fillId="0" borderId="68" xfId="0" applyFont="1" applyFill="1" applyBorder="1" applyAlignment="1" applyProtection="1">
      <alignment horizontal="center" vertical="center"/>
      <protection locked="0"/>
    </xf>
    <xf numFmtId="0" fontId="33" fillId="0" borderId="9" xfId="0" applyFont="1" applyFill="1" applyBorder="1" applyAlignment="1" applyProtection="1">
      <alignment horizontal="center" vertical="center"/>
      <protection locked="0"/>
    </xf>
    <xf numFmtId="20" fontId="33" fillId="0" borderId="32" xfId="0" applyNumberFormat="1" applyFont="1" applyFill="1" applyBorder="1" applyAlignment="1" applyProtection="1">
      <alignment horizontal="center" vertical="center"/>
      <protection locked="0"/>
    </xf>
    <xf numFmtId="20" fontId="33" fillId="0" borderId="35" xfId="0" applyNumberFormat="1" applyFont="1" applyFill="1" applyBorder="1" applyAlignment="1" applyProtection="1">
      <alignment horizontal="center" vertical="center"/>
      <protection locked="0"/>
    </xf>
    <xf numFmtId="49" fontId="33" fillId="0" borderId="32" xfId="0" applyNumberFormat="1" applyFont="1" applyFill="1" applyBorder="1" applyAlignment="1" applyProtection="1">
      <alignment horizontal="center" vertical="center"/>
      <protection locked="0"/>
    </xf>
    <xf numFmtId="0" fontId="42" fillId="0" borderId="58" xfId="0" applyFont="1" applyFill="1" applyBorder="1" applyAlignment="1" applyProtection="1">
      <alignment horizontal="center" vertical="center"/>
      <protection locked="0"/>
    </xf>
    <xf numFmtId="0" fontId="42" fillId="0" borderId="40" xfId="0" applyFont="1" applyFill="1" applyBorder="1" applyAlignment="1" applyProtection="1">
      <alignment horizontal="center" vertical="center"/>
      <protection locked="0"/>
    </xf>
    <xf numFmtId="0" fontId="42" fillId="0" borderId="38" xfId="0" applyFont="1" applyFill="1" applyBorder="1" applyAlignment="1" applyProtection="1">
      <alignment horizontal="center" vertical="center"/>
      <protection locked="0"/>
    </xf>
    <xf numFmtId="0" fontId="42" fillId="0" borderId="39" xfId="0" applyFont="1" applyFill="1" applyBorder="1" applyAlignment="1" applyProtection="1">
      <alignment horizontal="center" vertical="center"/>
      <protection locked="0"/>
    </xf>
    <xf numFmtId="0" fontId="42" fillId="0" borderId="30" xfId="0" applyFont="1" applyFill="1" applyBorder="1" applyAlignment="1" applyProtection="1">
      <alignment horizontal="center" vertical="center"/>
      <protection locked="0"/>
    </xf>
    <xf numFmtId="0" fontId="49" fillId="0" borderId="0" xfId="0" applyFont="1" applyFill="1" applyBorder="1" applyAlignment="1" applyProtection="1">
      <alignment horizontal="left" wrapText="1"/>
      <protection locked="0"/>
    </xf>
    <xf numFmtId="0" fontId="49" fillId="0" borderId="0" xfId="0" applyFont="1" applyFill="1" applyBorder="1" applyAlignment="1" applyProtection="1">
      <alignment horizontal="left"/>
      <protection locked="0"/>
    </xf>
    <xf numFmtId="9" fontId="9" fillId="0" borderId="35" xfId="0" applyNumberFormat="1" applyFont="1" applyFill="1" applyBorder="1" applyAlignment="1" applyProtection="1">
      <alignment horizontal="center" vertical="center"/>
      <protection locked="0"/>
    </xf>
    <xf numFmtId="9" fontId="9" fillId="0" borderId="36" xfId="0" applyNumberFormat="1" applyFont="1" applyFill="1" applyBorder="1" applyAlignment="1" applyProtection="1">
      <alignment horizontal="center" vertical="center"/>
      <protection locked="0"/>
    </xf>
    <xf numFmtId="9" fontId="9" fillId="0" borderId="48" xfId="0" applyNumberFormat="1" applyFont="1" applyFill="1" applyBorder="1" applyAlignment="1" applyProtection="1">
      <alignment horizontal="center" vertical="center"/>
      <protection locked="0"/>
    </xf>
    <xf numFmtId="0" fontId="0" fillId="2" borderId="19" xfId="0" applyFill="1"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0" xfId="0" applyFill="1" applyAlignment="1" applyProtection="1">
      <alignment horizontal="left"/>
      <protection locked="0"/>
    </xf>
    <xf numFmtId="0" fontId="15" fillId="2" borderId="22" xfId="0" applyFont="1" applyFill="1" applyBorder="1" applyAlignment="1" applyProtection="1">
      <alignment horizontal="center" vertical="center"/>
      <protection locked="0"/>
    </xf>
    <xf numFmtId="0" fontId="15" fillId="2" borderId="41" xfId="0" applyFont="1" applyFill="1" applyBorder="1" applyAlignment="1" applyProtection="1">
      <alignment horizontal="center" vertical="center"/>
      <protection locked="0"/>
    </xf>
    <xf numFmtId="0" fontId="15" fillId="2" borderId="53" xfId="0" applyFont="1" applyFill="1" applyBorder="1" applyAlignment="1" applyProtection="1">
      <alignment horizontal="center" vertical="center"/>
      <protection locked="0"/>
    </xf>
    <xf numFmtId="0" fontId="15" fillId="2" borderId="45" xfId="0" applyFont="1" applyFill="1" applyBorder="1" applyAlignment="1" applyProtection="1">
      <alignment horizontal="center" vertical="center"/>
      <protection locked="0"/>
    </xf>
    <xf numFmtId="0" fontId="15" fillId="2" borderId="0" xfId="0" applyFont="1" applyFill="1" applyBorder="1" applyAlignment="1" applyProtection="1">
      <alignment horizontal="center" vertical="center"/>
      <protection locked="0"/>
    </xf>
    <xf numFmtId="0" fontId="15" fillId="2" borderId="58" xfId="0" applyFont="1" applyFill="1" applyBorder="1" applyAlignment="1" applyProtection="1">
      <alignment horizontal="center" vertical="center"/>
      <protection locked="0"/>
    </xf>
    <xf numFmtId="169" fontId="0" fillId="2" borderId="29" xfId="0" applyNumberFormat="1" applyFill="1" applyBorder="1" applyAlignment="1" applyProtection="1">
      <alignment horizontal="center" vertical="center"/>
      <protection locked="0"/>
    </xf>
    <xf numFmtId="169" fontId="0" fillId="2" borderId="30" xfId="0" applyNumberFormat="1" applyFill="1" applyBorder="1" applyAlignment="1" applyProtection="1">
      <alignment horizontal="center" vertical="center"/>
      <protection locked="0"/>
    </xf>
    <xf numFmtId="169" fontId="0" fillId="2" borderId="31"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15" fillId="2" borderId="32" xfId="0" applyFont="1" applyFill="1" applyBorder="1" applyAlignment="1" applyProtection="1">
      <alignment horizontal="center" vertical="center"/>
      <protection locked="0"/>
    </xf>
    <xf numFmtId="0" fontId="15" fillId="2" borderId="35" xfId="0" applyFont="1" applyFill="1" applyBorder="1" applyAlignment="1" applyProtection="1">
      <alignment horizontal="center" vertical="center"/>
    </xf>
    <xf numFmtId="0" fontId="15" fillId="2" borderId="36" xfId="0" applyFont="1" applyFill="1" applyBorder="1" applyAlignment="1" applyProtection="1">
      <alignment horizontal="center" vertical="center"/>
    </xf>
    <xf numFmtId="0" fontId="15" fillId="2" borderId="48" xfId="0" applyFont="1" applyFill="1" applyBorder="1" applyAlignment="1" applyProtection="1">
      <alignment horizontal="center" vertical="center"/>
    </xf>
    <xf numFmtId="0" fontId="15" fillId="2" borderId="24" xfId="0" applyFont="1" applyFill="1" applyBorder="1" applyAlignment="1" applyProtection="1">
      <alignment horizontal="center" vertical="center"/>
      <protection locked="0"/>
    </xf>
    <xf numFmtId="0" fontId="15" fillId="2" borderId="1" xfId="0" applyFont="1" applyFill="1" applyBorder="1" applyAlignment="1" applyProtection="1">
      <alignment horizontal="center" vertical="center"/>
      <protection locked="0"/>
    </xf>
    <xf numFmtId="0" fontId="15" fillId="2" borderId="54" xfId="0" applyFont="1" applyFill="1" applyBorder="1" applyAlignment="1" applyProtection="1">
      <alignment horizontal="center" vertical="center"/>
      <protection locked="0"/>
    </xf>
    <xf numFmtId="0" fontId="0" fillId="2" borderId="29" xfId="0" applyFill="1" applyBorder="1" applyAlignment="1" applyProtection="1">
      <alignment horizontal="center" vertical="center"/>
      <protection locked="0"/>
    </xf>
    <xf numFmtId="0" fontId="0" fillId="2" borderId="30" xfId="0" applyFill="1" applyBorder="1" applyAlignment="1" applyProtection="1">
      <alignment horizontal="center" vertical="center"/>
      <protection locked="0"/>
    </xf>
    <xf numFmtId="0" fontId="0" fillId="2" borderId="31"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27" xfId="0" applyFill="1" applyBorder="1" applyAlignment="1" applyProtection="1">
      <alignment horizontal="center" vertical="center"/>
      <protection locked="0"/>
    </xf>
    <xf numFmtId="0" fontId="0" fillId="2" borderId="28" xfId="0" applyFill="1" applyBorder="1" applyAlignment="1" applyProtection="1">
      <alignment horizontal="center" vertical="center"/>
      <protection locked="0"/>
    </xf>
    <xf numFmtId="0" fontId="0" fillId="2" borderId="35" xfId="0" applyFill="1" applyBorder="1" applyAlignment="1" applyProtection="1">
      <alignment horizontal="center"/>
      <protection locked="0"/>
    </xf>
    <xf numFmtId="0" fontId="0" fillId="2" borderId="36"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7" xfId="0" applyFill="1" applyBorder="1" applyAlignment="1" applyProtection="1">
      <alignment horizontal="center" vertical="center"/>
      <protection locked="0"/>
    </xf>
    <xf numFmtId="0" fontId="0" fillId="2" borderId="49" xfId="0" applyFill="1" applyBorder="1" applyAlignment="1" applyProtection="1">
      <alignment horizontal="center" vertical="center"/>
      <protection locked="0"/>
    </xf>
    <xf numFmtId="0" fontId="0" fillId="2" borderId="18" xfId="0" applyFill="1" applyBorder="1" applyAlignment="1" applyProtection="1">
      <alignment horizontal="center" vertical="center"/>
      <protection locked="0"/>
    </xf>
    <xf numFmtId="20" fontId="0" fillId="2" borderId="29" xfId="0" applyNumberFormat="1" applyFill="1" applyBorder="1" applyAlignment="1" applyProtection="1">
      <alignment horizontal="center" vertical="center"/>
      <protection locked="0"/>
    </xf>
    <xf numFmtId="20" fontId="42" fillId="0" borderId="32" xfId="0" applyNumberFormat="1" applyFont="1" applyFill="1" applyBorder="1" applyAlignment="1" applyProtection="1">
      <alignment horizontal="center" vertical="center"/>
      <protection locked="0"/>
    </xf>
    <xf numFmtId="20" fontId="42" fillId="0" borderId="35" xfId="0" applyNumberFormat="1" applyFont="1" applyFill="1" applyBorder="1" applyAlignment="1" applyProtection="1">
      <alignment horizontal="center" vertical="center"/>
      <protection locked="0"/>
    </xf>
    <xf numFmtId="0" fontId="42" fillId="0" borderId="35" xfId="0" applyFont="1" applyBorder="1" applyAlignment="1" applyProtection="1">
      <alignment horizontal="center" vertical="center"/>
      <protection locked="0"/>
    </xf>
    <xf numFmtId="0" fontId="42" fillId="0" borderId="47" xfId="0" applyFont="1" applyFill="1" applyBorder="1" applyAlignment="1" applyProtection="1">
      <alignment horizontal="center" vertical="center"/>
      <protection locked="0"/>
    </xf>
    <xf numFmtId="0" fontId="42" fillId="0" borderId="20" xfId="0" applyFont="1" applyBorder="1" applyAlignment="1" applyProtection="1">
      <alignment horizontal="center" vertical="center"/>
      <protection locked="0"/>
    </xf>
    <xf numFmtId="0" fontId="42" fillId="0" borderId="48" xfId="0" applyFont="1" applyBorder="1" applyAlignment="1" applyProtection="1">
      <alignment horizontal="center" vertical="center"/>
      <protection locked="0"/>
    </xf>
    <xf numFmtId="0" fontId="42" fillId="0" borderId="44" xfId="0" applyFont="1" applyBorder="1" applyAlignment="1" applyProtection="1">
      <alignment horizontal="center" vertical="center"/>
      <protection locked="0"/>
    </xf>
    <xf numFmtId="0" fontId="42" fillId="0" borderId="6" xfId="0" applyFont="1" applyBorder="1" applyAlignment="1" applyProtection="1">
      <alignment horizontal="center" vertical="center"/>
      <protection locked="0"/>
    </xf>
    <xf numFmtId="0" fontId="26" fillId="0" borderId="0" xfId="0" applyFont="1" applyFill="1" applyAlignment="1" applyProtection="1">
      <alignment horizontal="center" vertical="center" textRotation="90"/>
      <protection locked="0"/>
    </xf>
    <xf numFmtId="0" fontId="33" fillId="0" borderId="35" xfId="0" applyFont="1" applyFill="1" applyBorder="1" applyAlignment="1" applyProtection="1">
      <alignment horizontal="center" vertical="center"/>
      <protection locked="0"/>
    </xf>
    <xf numFmtId="0" fontId="33" fillId="0" borderId="36" xfId="0" applyFont="1" applyFill="1" applyBorder="1" applyAlignment="1" applyProtection="1">
      <alignment horizontal="center" vertical="center"/>
      <protection locked="0"/>
    </xf>
    <xf numFmtId="0" fontId="33" fillId="0" borderId="37" xfId="0" applyFont="1" applyFill="1" applyBorder="1" applyAlignment="1" applyProtection="1">
      <alignment horizontal="center" vertical="center"/>
      <protection locked="0"/>
    </xf>
    <xf numFmtId="0" fontId="33" fillId="0" borderId="32" xfId="0" applyFont="1" applyFill="1" applyBorder="1" applyAlignment="1" applyProtection="1">
      <alignment horizontal="center" vertical="center"/>
      <protection locked="0"/>
    </xf>
    <xf numFmtId="0" fontId="43" fillId="0" borderId="0" xfId="0" applyFont="1" applyFill="1" applyAlignment="1" applyProtection="1">
      <alignment horizontal="center" vertical="center" wrapText="1"/>
    </xf>
    <xf numFmtId="0" fontId="43" fillId="0" borderId="0" xfId="0" applyFont="1" applyFill="1" applyAlignment="1" applyProtection="1">
      <alignment horizontal="center" vertical="center"/>
    </xf>
    <xf numFmtId="0" fontId="33" fillId="0" borderId="48" xfId="0" applyFont="1" applyFill="1" applyBorder="1" applyAlignment="1" applyProtection="1">
      <alignment horizontal="center" vertical="center"/>
      <protection locked="0"/>
    </xf>
    <xf numFmtId="0" fontId="28" fillId="0" borderId="0" xfId="0" applyFont="1" applyFill="1" applyAlignment="1" applyProtection="1">
      <alignment horizontal="left" vertical="center" wrapText="1"/>
      <protection locked="0"/>
    </xf>
    <xf numFmtId="0" fontId="0" fillId="0" borderId="0" xfId="0" applyFill="1" applyAlignment="1" applyProtection="1">
      <alignment horizontal="left" vertical="center" wrapText="1"/>
      <protection locked="0"/>
    </xf>
    <xf numFmtId="0" fontId="13" fillId="0" borderId="26" xfId="0" applyFont="1" applyFill="1" applyBorder="1" applyAlignment="1" applyProtection="1">
      <alignment horizontal="center" vertical="center"/>
      <protection locked="0"/>
    </xf>
    <xf numFmtId="0" fontId="13" fillId="0" borderId="27" xfId="0" applyFont="1" applyFill="1" applyBorder="1" applyAlignment="1" applyProtection="1">
      <alignment horizontal="center" vertical="center"/>
      <protection locked="0"/>
    </xf>
    <xf numFmtId="0" fontId="49" fillId="0" borderId="35" xfId="0" applyFont="1" applyFill="1" applyBorder="1" applyAlignment="1" applyProtection="1">
      <alignment horizontal="center" vertical="center"/>
      <protection locked="0"/>
    </xf>
    <xf numFmtId="0" fontId="49" fillId="0" borderId="36" xfId="0" applyFont="1" applyFill="1" applyBorder="1" applyAlignment="1" applyProtection="1">
      <alignment horizontal="center" vertical="center"/>
      <protection locked="0"/>
    </xf>
    <xf numFmtId="0" fontId="49" fillId="0" borderId="48" xfId="0" applyFont="1" applyFill="1" applyBorder="1" applyAlignment="1" applyProtection="1">
      <alignment horizontal="center" vertical="center"/>
      <protection locked="0"/>
    </xf>
    <xf numFmtId="0" fontId="26" fillId="0" borderId="0" xfId="0" applyFont="1" applyAlignment="1" applyProtection="1">
      <alignment horizontal="center" vertical="center" textRotation="90"/>
      <protection locked="0"/>
    </xf>
    <xf numFmtId="0" fontId="13" fillId="0" borderId="0" xfId="0" applyFont="1" applyFill="1" applyBorder="1" applyAlignment="1" applyProtection="1">
      <alignment horizontal="center"/>
      <protection locked="0"/>
    </xf>
    <xf numFmtId="0" fontId="13" fillId="0" borderId="0" xfId="0" applyFont="1" applyFill="1" applyBorder="1" applyAlignment="1" applyProtection="1">
      <alignment horizontal="center"/>
    </xf>
    <xf numFmtId="0" fontId="16" fillId="0" borderId="0" xfId="0" applyFont="1" applyFill="1" applyBorder="1" applyAlignment="1" applyProtection="1">
      <alignment horizontal="left"/>
    </xf>
    <xf numFmtId="0" fontId="0" fillId="0" borderId="0" xfId="0" applyFill="1" applyBorder="1" applyAlignment="1" applyProtection="1">
      <alignment horizontal="center"/>
      <protection locked="0"/>
    </xf>
    <xf numFmtId="1" fontId="16" fillId="0" borderId="32" xfId="0" quotePrefix="1" applyNumberFormat="1" applyFont="1" applyFill="1" applyBorder="1" applyAlignment="1" applyProtection="1">
      <alignment vertical="center"/>
    </xf>
    <xf numFmtId="1" fontId="16" fillId="0" borderId="34" xfId="0" quotePrefix="1" applyNumberFormat="1" applyFont="1" applyFill="1" applyBorder="1" applyAlignment="1" applyProtection="1">
      <alignment vertical="center"/>
    </xf>
    <xf numFmtId="1" fontId="16" fillId="0" borderId="35" xfId="0" quotePrefix="1" applyNumberFormat="1" applyFont="1" applyFill="1" applyBorder="1" applyAlignment="1" applyProtection="1">
      <alignment vertical="center"/>
    </xf>
    <xf numFmtId="1" fontId="16" fillId="0" borderId="30" xfId="0" quotePrefix="1" applyNumberFormat="1" applyFont="1" applyFill="1" applyBorder="1" applyAlignment="1" applyProtection="1">
      <alignment vertical="center"/>
    </xf>
    <xf numFmtId="1" fontId="16" fillId="0" borderId="31" xfId="0" quotePrefix="1" applyNumberFormat="1" applyFont="1" applyFill="1" applyBorder="1" applyAlignment="1" applyProtection="1">
      <alignment vertical="center"/>
    </xf>
    <xf numFmtId="1" fontId="16" fillId="3" borderId="29" xfId="0" quotePrefix="1" applyNumberFormat="1" applyFont="1" applyFill="1" applyBorder="1" applyAlignment="1" applyProtection="1">
      <alignment vertical="center"/>
    </xf>
    <xf numFmtId="1" fontId="16" fillId="3" borderId="30" xfId="0" quotePrefix="1" applyNumberFormat="1" applyFont="1" applyFill="1" applyBorder="1" applyAlignment="1" applyProtection="1">
      <alignment vertical="center"/>
    </xf>
    <xf numFmtId="1" fontId="16" fillId="0" borderId="21" xfId="0" quotePrefix="1" applyNumberFormat="1" applyFont="1" applyFill="1" applyBorder="1" applyAlignment="1" applyProtection="1">
      <alignment vertical="center"/>
    </xf>
    <xf numFmtId="1" fontId="16" fillId="3" borderId="21" xfId="0" quotePrefix="1" applyNumberFormat="1" applyFont="1" applyFill="1" applyBorder="1" applyAlignment="1" applyProtection="1">
      <alignment vertical="center"/>
    </xf>
    <xf numFmtId="1" fontId="16" fillId="3" borderId="32" xfId="0" quotePrefix="1" applyNumberFormat="1" applyFont="1" applyFill="1" applyBorder="1" applyAlignment="1" applyProtection="1">
      <alignment vertical="center"/>
    </xf>
    <xf numFmtId="1" fontId="16" fillId="0" borderId="40" xfId="0" quotePrefix="1" applyNumberFormat="1" applyFont="1" applyFill="1" applyBorder="1" applyAlignment="1" applyProtection="1">
      <alignment vertical="center"/>
    </xf>
    <xf numFmtId="1" fontId="16" fillId="0" borderId="27" xfId="0" quotePrefix="1" applyNumberFormat="1" applyFont="1" applyFill="1" applyBorder="1" applyAlignment="1" applyProtection="1">
      <alignment vertical="center"/>
    </xf>
    <xf numFmtId="1" fontId="16" fillId="0" borderId="28" xfId="0" quotePrefix="1" applyNumberFormat="1" applyFont="1" applyFill="1" applyBorder="1" applyAlignment="1" applyProtection="1">
      <alignment vertical="center"/>
    </xf>
    <xf numFmtId="1" fontId="16" fillId="0" borderId="26" xfId="0" quotePrefix="1" applyNumberFormat="1" applyFont="1" applyFill="1" applyBorder="1" applyAlignment="1" applyProtection="1">
      <alignment vertical="center"/>
    </xf>
    <xf numFmtId="1" fontId="16" fillId="0" borderId="46" xfId="0" quotePrefix="1" applyNumberFormat="1" applyFont="1" applyFill="1" applyBorder="1" applyAlignment="1" applyProtection="1">
      <alignment vertical="center"/>
    </xf>
    <xf numFmtId="1" fontId="16" fillId="3" borderId="26" xfId="0" quotePrefix="1" applyNumberFormat="1" applyFont="1" applyFill="1" applyBorder="1" applyAlignment="1" applyProtection="1">
      <alignment vertical="center"/>
    </xf>
    <xf numFmtId="1" fontId="16" fillId="3" borderId="27" xfId="0" quotePrefix="1" applyNumberFormat="1" applyFont="1" applyFill="1" applyBorder="1" applyAlignment="1" applyProtection="1">
      <alignment vertical="center"/>
    </xf>
    <xf numFmtId="0" fontId="15" fillId="2" borderId="2" xfId="0" applyFont="1" applyFill="1" applyBorder="1" applyAlignment="1" applyProtection="1">
      <alignment horizontal="center" vertical="center"/>
      <protection locked="0"/>
    </xf>
    <xf numFmtId="0" fontId="15" fillId="2" borderId="3" xfId="0" applyFont="1" applyFill="1" applyBorder="1" applyAlignment="1" applyProtection="1">
      <alignment horizontal="center" vertical="center"/>
      <protection locked="0"/>
    </xf>
    <xf numFmtId="0" fontId="15" fillId="2" borderId="5" xfId="0" applyFont="1" applyFill="1" applyBorder="1" applyAlignment="1" applyProtection="1">
      <alignment horizontal="center" vertical="center"/>
      <protection locked="0"/>
    </xf>
    <xf numFmtId="0" fontId="15" fillId="2" borderId="7" xfId="0" applyFont="1" applyFill="1" applyBorder="1" applyAlignment="1" applyProtection="1">
      <alignment horizontal="center" vertical="center"/>
      <protection locked="0"/>
    </xf>
    <xf numFmtId="0" fontId="15" fillId="2" borderId="8" xfId="0" applyFont="1" applyFill="1" applyBorder="1" applyAlignment="1" applyProtection="1">
      <alignment horizontal="center" vertical="center"/>
      <protection locked="0"/>
    </xf>
    <xf numFmtId="1" fontId="16" fillId="0" borderId="19" xfId="0" quotePrefix="1" applyNumberFormat="1" applyFont="1" applyFill="1" applyBorder="1" applyAlignment="1" applyProtection="1">
      <alignment vertical="center"/>
    </xf>
    <xf numFmtId="1" fontId="16" fillId="0" borderId="20" xfId="0" quotePrefix="1" applyNumberFormat="1" applyFont="1" applyFill="1" applyBorder="1" applyAlignment="1" applyProtection="1">
      <alignment vertical="center"/>
    </xf>
    <xf numFmtId="1" fontId="16" fillId="3" borderId="18" xfId="0" quotePrefix="1" applyNumberFormat="1" applyFont="1" applyFill="1" applyBorder="1" applyAlignment="1" applyProtection="1">
      <alignment vertical="center"/>
    </xf>
    <xf numFmtId="1" fontId="16" fillId="3" borderId="19" xfId="0" quotePrefix="1" applyNumberFormat="1" applyFont="1" applyFill="1" applyBorder="1" applyAlignment="1" applyProtection="1">
      <alignment vertical="center"/>
    </xf>
    <xf numFmtId="1" fontId="16" fillId="0" borderId="29" xfId="0" quotePrefix="1" applyNumberFormat="1" applyFont="1" applyFill="1" applyBorder="1" applyAlignment="1" applyProtection="1">
      <alignment vertical="center"/>
    </xf>
    <xf numFmtId="0" fontId="16" fillId="3" borderId="46" xfId="0" applyFont="1" applyFill="1" applyBorder="1" applyAlignment="1" applyProtection="1">
      <alignment horizontal="center" vertical="center"/>
    </xf>
    <xf numFmtId="0" fontId="16" fillId="3" borderId="43" xfId="0" applyFont="1" applyFill="1" applyBorder="1" applyAlignment="1" applyProtection="1">
      <alignment horizontal="center" vertical="center"/>
    </xf>
    <xf numFmtId="0" fontId="0" fillId="2" borderId="2" xfId="0" applyFill="1" applyBorder="1" applyAlignment="1" applyProtection="1">
      <alignment horizontal="center" vertical="center"/>
      <protection locked="0"/>
    </xf>
    <xf numFmtId="0" fontId="0" fillId="2" borderId="69" xfId="0" applyFill="1" applyBorder="1" applyAlignment="1" applyProtection="1">
      <alignment horizontal="center" vertical="center"/>
      <protection locked="0"/>
    </xf>
    <xf numFmtId="0" fontId="0" fillId="2" borderId="5" xfId="0" applyFill="1" applyBorder="1" applyAlignment="1" applyProtection="1">
      <alignment horizontal="center" vertical="center"/>
      <protection locked="0"/>
    </xf>
    <xf numFmtId="0" fontId="0" fillId="2" borderId="0" xfId="0" applyFill="1" applyBorder="1" applyAlignment="1" applyProtection="1">
      <alignment horizontal="center" vertical="center"/>
      <protection locked="0"/>
    </xf>
    <xf numFmtId="0" fontId="0" fillId="2" borderId="58" xfId="0" applyFill="1" applyBorder="1" applyAlignment="1" applyProtection="1">
      <alignment horizontal="center" vertical="center"/>
      <protection locked="0"/>
    </xf>
    <xf numFmtId="0" fontId="16" fillId="3" borderId="35" xfId="0" applyFont="1" applyFill="1" applyBorder="1" applyAlignment="1" applyProtection="1">
      <alignment horizontal="center" vertical="center"/>
    </xf>
    <xf numFmtId="0" fontId="16" fillId="3" borderId="36" xfId="0" applyFont="1" applyFill="1" applyBorder="1" applyAlignment="1" applyProtection="1">
      <alignment horizontal="center" vertical="center"/>
    </xf>
    <xf numFmtId="0" fontId="16" fillId="3" borderId="40" xfId="0" applyFont="1" applyFill="1" applyBorder="1" applyAlignment="1" applyProtection="1">
      <alignment horizontal="center" vertical="center"/>
    </xf>
    <xf numFmtId="0" fontId="16" fillId="3" borderId="38" xfId="0" applyFont="1" applyFill="1" applyBorder="1" applyAlignment="1" applyProtection="1">
      <alignment horizontal="center" vertical="center"/>
    </xf>
    <xf numFmtId="1" fontId="16" fillId="0" borderId="18" xfId="0" quotePrefix="1" applyNumberFormat="1" applyFont="1" applyFill="1" applyBorder="1" applyAlignment="1" applyProtection="1">
      <alignment vertical="center"/>
    </xf>
    <xf numFmtId="1" fontId="16" fillId="0" borderId="22" xfId="0" quotePrefix="1" applyNumberFormat="1" applyFont="1" applyFill="1" applyBorder="1" applyAlignment="1" applyProtection="1">
      <alignment vertical="center"/>
    </xf>
    <xf numFmtId="0" fontId="0" fillId="2" borderId="7" xfId="0" applyFill="1" applyBorder="1" applyAlignment="1" applyProtection="1">
      <alignment horizontal="center" vertical="center"/>
      <protection locked="0"/>
    </xf>
    <xf numFmtId="0" fontId="0" fillId="2" borderId="72" xfId="0" applyFill="1" applyBorder="1" applyAlignment="1" applyProtection="1">
      <alignment horizontal="center" vertical="center"/>
      <protection locked="0"/>
    </xf>
    <xf numFmtId="0" fontId="11" fillId="10" borderId="30" xfId="0" applyFont="1" applyFill="1" applyBorder="1" applyAlignment="1" applyProtection="1">
      <alignment horizontal="center" vertical="center" wrapText="1"/>
      <protection locked="0"/>
    </xf>
    <xf numFmtId="9" fontId="2" fillId="10" borderId="27" xfId="0" quotePrefix="1" applyNumberFormat="1" applyFont="1" applyFill="1" applyBorder="1" applyAlignment="1" applyProtection="1">
      <alignment horizontal="center" vertical="center" shrinkToFit="1"/>
    </xf>
    <xf numFmtId="9" fontId="2" fillId="10" borderId="28" xfId="0" quotePrefix="1" applyNumberFormat="1" applyFont="1" applyFill="1" applyBorder="1" applyAlignment="1" applyProtection="1">
      <alignment horizontal="center" vertical="center" shrinkToFit="1"/>
    </xf>
    <xf numFmtId="9" fontId="2" fillId="21" borderId="27" xfId="0" quotePrefix="1" applyNumberFormat="1" applyFont="1" applyFill="1" applyBorder="1" applyAlignment="1" applyProtection="1">
      <alignment horizontal="center" vertical="center" shrinkToFit="1"/>
    </xf>
    <xf numFmtId="9" fontId="2" fillId="21" borderId="28" xfId="0" quotePrefix="1" applyNumberFormat="1" applyFont="1" applyFill="1" applyBorder="1" applyAlignment="1" applyProtection="1">
      <alignment horizontal="center" vertical="center" shrinkToFit="1"/>
    </xf>
    <xf numFmtId="1" fontId="2" fillId="10" borderId="30" xfId="0" quotePrefix="1" applyNumberFormat="1" applyFont="1" applyFill="1" applyBorder="1" applyAlignment="1" applyProtection="1">
      <alignment horizontal="center" vertical="center"/>
    </xf>
    <xf numFmtId="1" fontId="2" fillId="21" borderId="30" xfId="0" quotePrefix="1" applyNumberFormat="1" applyFont="1" applyFill="1" applyBorder="1" applyAlignment="1" applyProtection="1">
      <alignment horizontal="center" vertical="center" shrinkToFit="1"/>
    </xf>
    <xf numFmtId="1" fontId="2" fillId="21" borderId="31" xfId="0" quotePrefix="1" applyNumberFormat="1" applyFont="1" applyFill="1" applyBorder="1" applyAlignment="1" applyProtection="1">
      <alignment horizontal="center" vertical="center" shrinkToFit="1"/>
    </xf>
    <xf numFmtId="20" fontId="80" fillId="0" borderId="48" xfId="0" applyNumberFormat="1" applyFont="1" applyFill="1" applyBorder="1" applyAlignment="1" applyProtection="1">
      <alignment horizontal="center" vertical="center" wrapText="1"/>
      <protection locked="0"/>
    </xf>
    <xf numFmtId="20" fontId="80" fillId="0" borderId="35" xfId="0" applyNumberFormat="1" applyFont="1" applyFill="1" applyBorder="1" applyAlignment="1" applyProtection="1">
      <alignment horizontal="center" vertical="center" wrapText="1"/>
      <protection locked="0"/>
    </xf>
    <xf numFmtId="20" fontId="80" fillId="0" borderId="53" xfId="0" applyNumberFormat="1" applyFont="1" applyFill="1" applyBorder="1" applyAlignment="1" applyProtection="1">
      <alignment horizontal="center" vertical="center" wrapText="1"/>
      <protection locked="0"/>
    </xf>
    <xf numFmtId="20" fontId="80" fillId="0" borderId="19" xfId="0" applyNumberFormat="1" applyFont="1" applyFill="1" applyBorder="1" applyAlignment="1" applyProtection="1">
      <alignment horizontal="center" vertical="center" wrapText="1"/>
      <protection locked="0"/>
    </xf>
    <xf numFmtId="0" fontId="0" fillId="0" borderId="0" xfId="0" applyBorder="1" applyAlignment="1" applyProtection="1">
      <alignment horizontal="left" wrapText="1"/>
      <protection locked="0"/>
    </xf>
    <xf numFmtId="0" fontId="18" fillId="0" borderId="0" xfId="0" applyFont="1" applyAlignment="1" applyProtection="1">
      <alignment horizontal="left" vertical="center"/>
      <protection locked="0"/>
    </xf>
    <xf numFmtId="20" fontId="17" fillId="0" borderId="51" xfId="0" applyNumberFormat="1" applyFont="1" applyFill="1" applyBorder="1" applyAlignment="1">
      <alignment horizontal="center" vertical="center" wrapText="1"/>
    </xf>
    <xf numFmtId="20" fontId="0" fillId="0" borderId="52" xfId="0" applyNumberFormat="1" applyFill="1" applyBorder="1" applyAlignment="1">
      <alignment horizontal="center" vertical="center"/>
    </xf>
    <xf numFmtId="20" fontId="0" fillId="0" borderId="50" xfId="0" applyNumberFormat="1" applyFill="1" applyBorder="1" applyAlignment="1">
      <alignment horizontal="center" vertical="center"/>
    </xf>
    <xf numFmtId="20" fontId="17" fillId="0" borderId="52" xfId="0" applyNumberFormat="1" applyFont="1" applyFill="1" applyBorder="1" applyAlignment="1">
      <alignment horizontal="center" vertical="center" wrapText="1"/>
    </xf>
    <xf numFmtId="20" fontId="17" fillId="0" borderId="50" xfId="0" applyNumberFormat="1" applyFont="1" applyFill="1" applyBorder="1" applyAlignment="1">
      <alignment horizontal="center" vertical="center" wrapText="1"/>
    </xf>
    <xf numFmtId="0" fontId="0" fillId="0" borderId="1" xfId="0" applyBorder="1" applyAlignment="1">
      <alignment horizontal="center" vertical="center"/>
    </xf>
    <xf numFmtId="0" fontId="0" fillId="0" borderId="54" xfId="0" applyBorder="1" applyAlignment="1">
      <alignment horizontal="center" vertical="center"/>
    </xf>
    <xf numFmtId="0" fontId="13" fillId="0" borderId="19" xfId="0" applyFont="1" applyBorder="1" applyAlignment="1">
      <alignment horizontal="left" vertical="center"/>
    </xf>
    <xf numFmtId="0" fontId="13" fillId="0" borderId="16" xfId="0" applyFont="1" applyBorder="1" applyAlignment="1">
      <alignment horizontal="left" vertical="center"/>
    </xf>
    <xf numFmtId="20" fontId="17" fillId="0" borderId="10" xfId="0" applyNumberFormat="1" applyFont="1" applyFill="1" applyBorder="1" applyAlignment="1">
      <alignment horizontal="center" vertical="center" wrapText="1"/>
    </xf>
    <xf numFmtId="20" fontId="17" fillId="0" borderId="11" xfId="0" applyNumberFormat="1" applyFont="1" applyFill="1" applyBorder="1" applyAlignment="1">
      <alignment horizontal="center" vertical="center" wrapText="1"/>
    </xf>
    <xf numFmtId="20" fontId="17" fillId="0" borderId="74" xfId="0" applyNumberFormat="1" applyFont="1" applyFill="1" applyBorder="1" applyAlignment="1">
      <alignment horizontal="center" vertical="center" wrapText="1"/>
    </xf>
    <xf numFmtId="20" fontId="64" fillId="0" borderId="10" xfId="0" applyNumberFormat="1" applyFont="1" applyFill="1" applyBorder="1" applyAlignment="1">
      <alignment horizontal="center" vertical="center" wrapText="1"/>
    </xf>
    <xf numFmtId="20" fontId="64" fillId="0" borderId="11" xfId="0" applyNumberFormat="1" applyFont="1" applyFill="1" applyBorder="1" applyAlignment="1">
      <alignment horizontal="center" vertical="center" wrapText="1"/>
    </xf>
    <xf numFmtId="20" fontId="64" fillId="0" borderId="74" xfId="0" applyNumberFormat="1" applyFont="1" applyFill="1" applyBorder="1" applyAlignment="1">
      <alignment horizontal="center" vertical="center" wrapText="1"/>
    </xf>
    <xf numFmtId="0" fontId="14" fillId="5" borderId="36" xfId="0" applyFont="1" applyFill="1" applyBorder="1" applyAlignment="1" applyProtection="1">
      <alignment horizontal="center" vertical="center" wrapText="1"/>
      <protection locked="0"/>
    </xf>
    <xf numFmtId="0" fontId="14" fillId="5" borderId="48" xfId="0" applyFont="1" applyFill="1" applyBorder="1" applyAlignment="1" applyProtection="1">
      <alignment horizontal="center" vertical="center" wrapText="1"/>
      <protection locked="0"/>
    </xf>
    <xf numFmtId="0" fontId="12" fillId="0" borderId="22" xfId="0" applyFont="1" applyBorder="1" applyAlignment="1" applyProtection="1">
      <alignment horizontal="center" vertical="center" wrapText="1"/>
      <protection locked="0"/>
    </xf>
    <xf numFmtId="0" fontId="12" fillId="0" borderId="41" xfId="0" applyFont="1" applyBorder="1" applyAlignment="1" applyProtection="1">
      <alignment horizontal="center" vertical="center" wrapText="1"/>
      <protection locked="0"/>
    </xf>
    <xf numFmtId="0" fontId="12" fillId="0" borderId="45" xfId="0" applyFont="1" applyBorder="1" applyAlignment="1" applyProtection="1">
      <alignment horizontal="center" vertical="center" wrapText="1"/>
      <protection locked="0"/>
    </xf>
    <xf numFmtId="0" fontId="12" fillId="0" borderId="0" xfId="0" applyFont="1" applyBorder="1" applyAlignment="1" applyProtection="1">
      <alignment horizontal="center" vertical="center" wrapText="1"/>
      <protection locked="0"/>
    </xf>
    <xf numFmtId="0" fontId="12" fillId="0" borderId="24"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54" xfId="0" applyFont="1" applyBorder="1" applyAlignment="1" applyProtection="1">
      <alignment horizontal="center" vertical="center" wrapText="1"/>
      <protection locked="0"/>
    </xf>
    <xf numFmtId="0" fontId="12" fillId="0" borderId="53" xfId="0" applyFont="1" applyBorder="1" applyAlignment="1" applyProtection="1">
      <alignment horizontal="center" vertical="center" wrapText="1"/>
      <protection locked="0"/>
    </xf>
    <xf numFmtId="0" fontId="12" fillId="0" borderId="35" xfId="0" applyFont="1" applyFill="1" applyBorder="1" applyAlignment="1" applyProtection="1">
      <alignment horizontal="center" vertical="center" shrinkToFit="1"/>
      <protection locked="0"/>
    </xf>
    <xf numFmtId="0" fontId="12" fillId="0" borderId="36" xfId="0" applyFont="1" applyFill="1" applyBorder="1" applyAlignment="1" applyProtection="1">
      <alignment horizontal="center" vertical="center" shrinkToFit="1"/>
      <protection locked="0"/>
    </xf>
    <xf numFmtId="0" fontId="12" fillId="0" borderId="48" xfId="0" applyFont="1" applyFill="1" applyBorder="1" applyAlignment="1" applyProtection="1">
      <alignment horizontal="center" vertical="center" shrinkToFit="1"/>
      <protection locked="0"/>
    </xf>
    <xf numFmtId="20" fontId="12" fillId="0" borderId="32" xfId="0" applyNumberFormat="1" applyFont="1" applyFill="1" applyBorder="1" applyAlignment="1" applyProtection="1">
      <alignment horizontal="center" vertical="center" wrapText="1"/>
      <protection locked="0"/>
    </xf>
    <xf numFmtId="0" fontId="12" fillId="5" borderId="35" xfId="0" applyFont="1" applyFill="1" applyBorder="1" applyAlignment="1" applyProtection="1">
      <alignment horizontal="center" vertical="center" wrapText="1"/>
      <protection locked="0"/>
    </xf>
    <xf numFmtId="20" fontId="12" fillId="0" borderId="32" xfId="0" applyNumberFormat="1" applyFont="1" applyBorder="1" applyAlignment="1" applyProtection="1">
      <alignment horizontal="center" vertical="center" wrapText="1"/>
      <protection locked="0"/>
    </xf>
    <xf numFmtId="0" fontId="29" fillId="5" borderId="35" xfId="0" applyFont="1" applyFill="1" applyBorder="1" applyAlignment="1" applyProtection="1">
      <alignment horizontal="center" vertical="center" wrapText="1"/>
      <protection locked="0"/>
    </xf>
    <xf numFmtId="0" fontId="14" fillId="0" borderId="32" xfId="0" applyFont="1" applyBorder="1" applyAlignment="1" applyProtection="1">
      <alignment horizontal="center" vertical="center" wrapText="1"/>
      <protection locked="0"/>
    </xf>
    <xf numFmtId="0" fontId="81" fillId="0" borderId="22" xfId="0" applyFont="1" applyFill="1" applyBorder="1" applyAlignment="1" applyProtection="1">
      <alignment horizontal="center" vertical="center"/>
      <protection locked="0"/>
    </xf>
    <xf numFmtId="0" fontId="81" fillId="0" borderId="41" xfId="0" applyFont="1" applyFill="1" applyBorder="1" applyAlignment="1" applyProtection="1">
      <alignment horizontal="center" vertical="center"/>
      <protection locked="0"/>
    </xf>
    <xf numFmtId="0" fontId="81" fillId="0" borderId="53" xfId="0" applyFont="1" applyFill="1" applyBorder="1" applyAlignment="1" applyProtection="1">
      <alignment horizontal="center" vertical="center"/>
      <protection locked="0"/>
    </xf>
    <xf numFmtId="9" fontId="12" fillId="0" borderId="32" xfId="0" applyNumberFormat="1" applyFont="1" applyFill="1" applyBorder="1" applyAlignment="1" applyProtection="1">
      <alignment horizontal="center" vertical="center"/>
      <protection locked="0"/>
    </xf>
    <xf numFmtId="0" fontId="14" fillId="0" borderId="35" xfId="0" applyFont="1" applyBorder="1" applyAlignment="1" applyProtection="1">
      <alignment horizontal="center" vertical="center" wrapText="1"/>
      <protection locked="0"/>
    </xf>
    <xf numFmtId="20" fontId="14" fillId="0" borderId="22" xfId="0" applyNumberFormat="1" applyFont="1" applyFill="1" applyBorder="1" applyAlignment="1" applyProtection="1">
      <alignment horizontal="center" vertical="center" wrapText="1"/>
      <protection locked="0"/>
    </xf>
    <xf numFmtId="20" fontId="14" fillId="0" borderId="41" xfId="0" applyNumberFormat="1" applyFont="1" applyFill="1" applyBorder="1" applyAlignment="1" applyProtection="1">
      <alignment horizontal="center" vertical="center" wrapText="1"/>
      <protection locked="0"/>
    </xf>
    <xf numFmtId="20" fontId="14" fillId="0" borderId="53" xfId="0" applyNumberFormat="1" applyFont="1" applyFill="1" applyBorder="1" applyAlignment="1" applyProtection="1">
      <alignment horizontal="center" vertical="center" wrapText="1"/>
      <protection locked="0"/>
    </xf>
    <xf numFmtId="20" fontId="14" fillId="0" borderId="24" xfId="0" applyNumberFormat="1" applyFont="1" applyFill="1" applyBorder="1" applyAlignment="1" applyProtection="1">
      <alignment horizontal="center" vertical="center" wrapText="1"/>
      <protection locked="0"/>
    </xf>
    <xf numFmtId="20" fontId="14" fillId="0" borderId="1" xfId="0" applyNumberFormat="1" applyFont="1" applyFill="1" applyBorder="1" applyAlignment="1" applyProtection="1">
      <alignment horizontal="center" vertical="center" wrapText="1"/>
      <protection locked="0"/>
    </xf>
    <xf numFmtId="20" fontId="14" fillId="0" borderId="54" xfId="0" applyNumberFormat="1" applyFont="1" applyFill="1" applyBorder="1" applyAlignment="1" applyProtection="1">
      <alignment horizontal="center" vertical="center" wrapText="1"/>
      <protection locked="0"/>
    </xf>
    <xf numFmtId="0" fontId="12" fillId="0" borderId="19" xfId="0" applyFont="1" applyBorder="1" applyAlignment="1" applyProtection="1">
      <alignment horizontal="center" vertical="center" wrapText="1"/>
      <protection locked="0"/>
    </xf>
    <xf numFmtId="0" fontId="12" fillId="24" borderId="22" xfId="0" applyFont="1" applyFill="1" applyBorder="1" applyAlignment="1" applyProtection="1">
      <alignment horizontal="center" vertical="center"/>
      <protection locked="0"/>
    </xf>
    <xf numFmtId="0" fontId="12" fillId="24" borderId="41" xfId="0" applyFont="1" applyFill="1" applyBorder="1" applyAlignment="1" applyProtection="1">
      <alignment horizontal="center" vertical="center"/>
      <protection locked="0"/>
    </xf>
    <xf numFmtId="0" fontId="12" fillId="24" borderId="53" xfId="0" applyFont="1" applyFill="1" applyBorder="1" applyAlignment="1" applyProtection="1">
      <alignment horizontal="center" vertical="center"/>
      <protection locked="0"/>
    </xf>
    <xf numFmtId="0" fontId="12" fillId="0" borderId="35" xfId="0" applyFont="1" applyBorder="1" applyAlignment="1" applyProtection="1">
      <alignment horizontal="center" vertical="center"/>
      <protection locked="0"/>
    </xf>
    <xf numFmtId="0" fontId="12" fillId="0" borderId="36" xfId="0" applyFont="1" applyBorder="1" applyAlignment="1" applyProtection="1">
      <alignment horizontal="center" vertical="center"/>
      <protection locked="0"/>
    </xf>
    <xf numFmtId="0" fontId="12" fillId="0" borderId="48" xfId="0" applyFont="1" applyBorder="1" applyAlignment="1" applyProtection="1">
      <alignment horizontal="center" vertical="center"/>
      <protection locked="0"/>
    </xf>
    <xf numFmtId="0" fontId="0" fillId="0" borderId="41" xfId="0" applyBorder="1"/>
    <xf numFmtId="0" fontId="0" fillId="0" borderId="53" xfId="0" applyBorder="1"/>
    <xf numFmtId="0" fontId="0" fillId="0" borderId="24" xfId="0" applyBorder="1"/>
    <xf numFmtId="0" fontId="0" fillId="0" borderId="1" xfId="0" applyBorder="1"/>
    <xf numFmtId="0" fontId="0" fillId="0" borderId="54" xfId="0" applyBorder="1"/>
    <xf numFmtId="0" fontId="75" fillId="25" borderId="0" xfId="0" applyFont="1" applyFill="1" applyAlignment="1" applyProtection="1">
      <alignment horizontal="left"/>
      <protection locked="0"/>
    </xf>
    <xf numFmtId="0" fontId="12" fillId="5" borderId="22" xfId="0" applyFont="1" applyFill="1" applyBorder="1" applyAlignment="1" applyProtection="1">
      <alignment horizontal="center" vertical="center" wrapText="1"/>
      <protection locked="0"/>
    </xf>
    <xf numFmtId="0" fontId="12" fillId="5" borderId="41" xfId="0" applyFont="1" applyFill="1" applyBorder="1" applyAlignment="1" applyProtection="1">
      <alignment horizontal="center" vertical="center" wrapText="1"/>
      <protection locked="0"/>
    </xf>
    <xf numFmtId="0" fontId="12" fillId="0" borderId="58" xfId="0" applyFont="1" applyBorder="1" applyAlignment="1" applyProtection="1">
      <alignment horizontal="center" vertical="center" wrapText="1"/>
      <protection locked="0"/>
    </xf>
    <xf numFmtId="0" fontId="12" fillId="0" borderId="41" xfId="0" applyFont="1" applyFill="1" applyBorder="1" applyAlignment="1" applyProtection="1">
      <alignment horizontal="center" vertical="center" wrapText="1"/>
      <protection locked="0"/>
    </xf>
    <xf numFmtId="0" fontId="12" fillId="0" borderId="1" xfId="0" applyFont="1" applyFill="1" applyBorder="1" applyAlignment="1" applyProtection="1">
      <alignment horizontal="center" vertical="center" wrapText="1"/>
      <protection locked="0"/>
    </xf>
    <xf numFmtId="0" fontId="12" fillId="0" borderId="22" xfId="0" applyFont="1" applyFill="1" applyBorder="1" applyAlignment="1" applyProtection="1">
      <alignment horizontal="center" vertical="center" wrapText="1"/>
      <protection locked="0"/>
    </xf>
    <xf numFmtId="0" fontId="12" fillId="0" borderId="53" xfId="0" applyFont="1" applyFill="1" applyBorder="1" applyAlignment="1" applyProtection="1">
      <alignment horizontal="center" vertical="center" wrapText="1"/>
      <protection locked="0"/>
    </xf>
    <xf numFmtId="0" fontId="12" fillId="0" borderId="24" xfId="0" applyFont="1" applyFill="1" applyBorder="1" applyAlignment="1" applyProtection="1">
      <alignment horizontal="center" vertical="center" wrapText="1"/>
      <protection locked="0"/>
    </xf>
    <xf numFmtId="0" fontId="12" fillId="0" borderId="54" xfId="0" applyFont="1" applyFill="1" applyBorder="1" applyAlignment="1" applyProtection="1">
      <alignment horizontal="center" vertical="center" wrapText="1"/>
      <protection locked="0"/>
    </xf>
    <xf numFmtId="20" fontId="12" fillId="0" borderId="22" xfId="0" applyNumberFormat="1" applyFont="1" applyBorder="1" applyAlignment="1" applyProtection="1">
      <alignment horizontal="center" vertical="center" wrapText="1"/>
      <protection locked="0"/>
    </xf>
    <xf numFmtId="20" fontId="12" fillId="0" borderId="41" xfId="0" applyNumberFormat="1" applyFont="1" applyBorder="1" applyAlignment="1" applyProtection="1">
      <alignment horizontal="center" vertical="center" wrapText="1"/>
      <protection locked="0"/>
    </xf>
    <xf numFmtId="20" fontId="12" fillId="0" borderId="53" xfId="0" applyNumberFormat="1" applyFont="1" applyBorder="1" applyAlignment="1" applyProtection="1">
      <alignment horizontal="center" vertical="center" wrapText="1"/>
      <protection locked="0"/>
    </xf>
    <xf numFmtId="20" fontId="12" fillId="0" borderId="45" xfId="0" applyNumberFormat="1" applyFont="1" applyBorder="1" applyAlignment="1" applyProtection="1">
      <alignment horizontal="center" vertical="center" wrapText="1"/>
      <protection locked="0"/>
    </xf>
    <xf numFmtId="20" fontId="12" fillId="0" borderId="0" xfId="0" applyNumberFormat="1" applyFont="1" applyBorder="1" applyAlignment="1" applyProtection="1">
      <alignment horizontal="center" vertical="center" wrapText="1"/>
      <protection locked="0"/>
    </xf>
    <xf numFmtId="20" fontId="12" fillId="0" borderId="58" xfId="0" applyNumberFormat="1" applyFont="1" applyBorder="1" applyAlignment="1" applyProtection="1">
      <alignment horizontal="center" vertical="center" wrapText="1"/>
      <protection locked="0"/>
    </xf>
    <xf numFmtId="20" fontId="12" fillId="0" borderId="24" xfId="0" applyNumberFormat="1" applyFont="1" applyBorder="1" applyAlignment="1" applyProtection="1">
      <alignment horizontal="center" vertical="center" wrapText="1"/>
      <protection locked="0"/>
    </xf>
    <xf numFmtId="20" fontId="12" fillId="0" borderId="1" xfId="0" applyNumberFormat="1" applyFont="1" applyBorder="1" applyAlignment="1" applyProtection="1">
      <alignment horizontal="center" vertical="center" wrapText="1"/>
      <protection locked="0"/>
    </xf>
    <xf numFmtId="20" fontId="12" fillId="0" borderId="54" xfId="0" applyNumberFormat="1" applyFont="1" applyBorder="1" applyAlignment="1" applyProtection="1">
      <alignment horizontal="center" vertical="center" wrapText="1"/>
      <protection locked="0"/>
    </xf>
    <xf numFmtId="0" fontId="14" fillId="0" borderId="35" xfId="0" applyFont="1" applyFill="1" applyBorder="1" applyAlignment="1" applyProtection="1">
      <alignment horizontal="center" vertical="center"/>
      <protection locked="0"/>
    </xf>
    <xf numFmtId="0" fontId="14" fillId="0" borderId="36" xfId="0" applyFont="1" applyFill="1" applyBorder="1" applyAlignment="1" applyProtection="1">
      <alignment horizontal="center" vertical="center"/>
      <protection locked="0"/>
    </xf>
    <xf numFmtId="0" fontId="14" fillId="0" borderId="48" xfId="0" applyFont="1" applyFill="1" applyBorder="1" applyAlignment="1" applyProtection="1">
      <alignment horizontal="center" vertical="center"/>
      <protection locked="0"/>
    </xf>
    <xf numFmtId="0" fontId="12" fillId="24" borderId="35" xfId="0" applyFont="1" applyFill="1" applyBorder="1" applyAlignment="1" applyProtection="1">
      <alignment horizontal="center" vertical="center"/>
      <protection locked="0"/>
    </xf>
    <xf numFmtId="0" fontId="12" fillId="24" borderId="36" xfId="0" applyFont="1" applyFill="1" applyBorder="1" applyAlignment="1" applyProtection="1">
      <alignment horizontal="center" vertical="center"/>
      <protection locked="0"/>
    </xf>
    <xf numFmtId="0" fontId="12" fillId="24" borderId="48" xfId="0" applyFont="1" applyFill="1" applyBorder="1" applyAlignment="1" applyProtection="1">
      <alignment horizontal="center" vertical="center"/>
      <protection locked="0"/>
    </xf>
    <xf numFmtId="0" fontId="69" fillId="0" borderId="22" xfId="0" applyFont="1" applyFill="1" applyBorder="1" applyAlignment="1" applyProtection="1">
      <alignment horizontal="center" vertical="center"/>
      <protection locked="0"/>
    </xf>
    <xf numFmtId="0" fontId="69" fillId="0" borderId="41" xfId="0" applyFont="1" applyFill="1" applyBorder="1" applyAlignment="1" applyProtection="1">
      <alignment horizontal="center" vertical="center"/>
      <protection locked="0"/>
    </xf>
    <xf numFmtId="0" fontId="69" fillId="0" borderId="53" xfId="0" applyFont="1" applyFill="1" applyBorder="1" applyAlignment="1" applyProtection="1">
      <alignment horizontal="center" vertical="center"/>
      <protection locked="0"/>
    </xf>
    <xf numFmtId="0" fontId="12" fillId="0" borderId="35" xfId="0" applyFont="1" applyBorder="1" applyAlignment="1">
      <alignment horizontal="center"/>
    </xf>
    <xf numFmtId="0" fontId="12" fillId="0" borderId="36" xfId="0" applyFont="1" applyBorder="1" applyAlignment="1">
      <alignment horizontal="center"/>
    </xf>
    <xf numFmtId="0" fontId="12" fillId="0" borderId="48" xfId="0" applyFont="1" applyBorder="1" applyAlignment="1">
      <alignment horizontal="center"/>
    </xf>
    <xf numFmtId="0" fontId="70" fillId="23" borderId="35" xfId="0" applyFont="1" applyFill="1" applyBorder="1" applyAlignment="1" applyProtection="1">
      <alignment horizontal="center" vertical="center" wrapText="1"/>
      <protection locked="0"/>
    </xf>
    <xf numFmtId="0" fontId="69" fillId="23" borderId="36" xfId="0" applyFont="1" applyFill="1" applyBorder="1" applyAlignment="1" applyProtection="1">
      <alignment horizontal="center" vertical="center" wrapText="1"/>
      <protection locked="0"/>
    </xf>
    <xf numFmtId="0" fontId="69" fillId="23" borderId="48" xfId="0" applyFont="1" applyFill="1" applyBorder="1" applyAlignment="1" applyProtection="1">
      <alignment horizontal="center" vertical="center" wrapText="1"/>
      <protection locked="0"/>
    </xf>
    <xf numFmtId="0" fontId="69" fillId="0" borderId="32" xfId="0" applyFont="1" applyBorder="1" applyAlignment="1" applyProtection="1">
      <alignment horizontal="center" vertical="center" wrapText="1"/>
      <protection locked="0"/>
    </xf>
    <xf numFmtId="0" fontId="69" fillId="0" borderId="32" xfId="0" applyFont="1" applyFill="1" applyBorder="1" applyAlignment="1" applyProtection="1">
      <alignment horizontal="center" vertical="center"/>
      <protection locked="0"/>
    </xf>
    <xf numFmtId="9" fontId="69" fillId="0" borderId="22" xfId="0" applyNumberFormat="1" applyFont="1" applyFill="1" applyBorder="1" applyAlignment="1" applyProtection="1">
      <alignment horizontal="center" vertical="center"/>
      <protection locked="0"/>
    </xf>
    <xf numFmtId="9" fontId="69" fillId="0" borderId="41" xfId="0" applyNumberFormat="1" applyFont="1" applyFill="1" applyBorder="1" applyAlignment="1" applyProtection="1">
      <alignment horizontal="center" vertical="center"/>
      <protection locked="0"/>
    </xf>
    <xf numFmtId="9" fontId="69" fillId="0" borderId="53" xfId="0" applyNumberFormat="1" applyFont="1" applyFill="1" applyBorder="1" applyAlignment="1" applyProtection="1">
      <alignment horizontal="center" vertical="center"/>
      <protection locked="0"/>
    </xf>
    <xf numFmtId="0" fontId="69" fillId="0" borderId="35" xfId="0" applyFont="1" applyFill="1" applyBorder="1" applyAlignment="1" applyProtection="1">
      <alignment horizontal="center" vertical="center"/>
      <protection locked="0"/>
    </xf>
    <xf numFmtId="0" fontId="69" fillId="0" borderId="36" xfId="0" applyFont="1" applyFill="1" applyBorder="1" applyAlignment="1" applyProtection="1">
      <alignment horizontal="center" vertical="center"/>
      <protection locked="0"/>
    </xf>
    <xf numFmtId="0" fontId="69" fillId="0" borderId="48" xfId="0" applyFont="1" applyFill="1" applyBorder="1" applyAlignment="1" applyProtection="1">
      <alignment horizontal="center" vertical="center"/>
      <protection locked="0"/>
    </xf>
    <xf numFmtId="0" fontId="14" fillId="5" borderId="36" xfId="0" applyFont="1" applyFill="1" applyBorder="1" applyAlignment="1" applyProtection="1">
      <alignment horizontal="center" vertical="center"/>
      <protection locked="0"/>
    </xf>
    <xf numFmtId="0" fontId="14" fillId="5" borderId="48" xfId="0" applyFont="1" applyFill="1" applyBorder="1" applyAlignment="1" applyProtection="1">
      <alignment horizontal="center" vertical="center"/>
      <protection locked="0"/>
    </xf>
    <xf numFmtId="0" fontId="69" fillId="23" borderId="35" xfId="0" applyFont="1" applyFill="1" applyBorder="1" applyAlignment="1" applyProtection="1">
      <alignment horizontal="center" vertical="center" wrapText="1"/>
      <protection locked="0"/>
    </xf>
    <xf numFmtId="0" fontId="12" fillId="0" borderId="45" xfId="0" applyFont="1" applyFill="1" applyBorder="1" applyAlignment="1" applyProtection="1">
      <alignment horizontal="center" vertical="center" wrapText="1"/>
      <protection locked="0"/>
    </xf>
    <xf numFmtId="0" fontId="12" fillId="0" borderId="0" xfId="0" applyFont="1" applyFill="1" applyBorder="1" applyAlignment="1" applyProtection="1">
      <alignment horizontal="center" vertical="center" wrapText="1"/>
      <protection locked="0"/>
    </xf>
    <xf numFmtId="0" fontId="12" fillId="0" borderId="58" xfId="0" applyFont="1" applyFill="1" applyBorder="1" applyAlignment="1" applyProtection="1">
      <alignment horizontal="center" vertical="center" wrapText="1"/>
      <protection locked="0"/>
    </xf>
    <xf numFmtId="0" fontId="66" fillId="0" borderId="0" xfId="0" applyFont="1" applyAlignment="1" applyProtection="1">
      <alignment horizontal="center" wrapText="1"/>
      <protection locked="0"/>
    </xf>
    <xf numFmtId="0" fontId="12" fillId="0" borderId="22" xfId="0" applyFont="1" applyBorder="1" applyAlignment="1" applyProtection="1">
      <alignment horizontal="center" vertical="center"/>
      <protection locked="0"/>
    </xf>
    <xf numFmtId="0" fontId="12" fillId="0" borderId="41" xfId="0" applyFont="1" applyBorder="1" applyAlignment="1" applyProtection="1">
      <alignment horizontal="center" vertical="center"/>
      <protection locked="0"/>
    </xf>
    <xf numFmtId="0" fontId="12" fillId="0" borderId="53" xfId="0" applyFont="1" applyBorder="1" applyAlignment="1" applyProtection="1">
      <alignment horizontal="center" vertical="center"/>
      <protection locked="0"/>
    </xf>
    <xf numFmtId="0" fontId="0" fillId="0" borderId="36" xfId="0" applyBorder="1"/>
    <xf numFmtId="0" fontId="0" fillId="0" borderId="48" xfId="0" applyBorder="1"/>
    <xf numFmtId="0" fontId="12" fillId="0" borderId="32" xfId="0" applyFont="1" applyBorder="1" applyAlignment="1" applyProtection="1">
      <alignment horizontal="center" vertical="center"/>
      <protection locked="0"/>
    </xf>
    <xf numFmtId="20" fontId="14" fillId="0" borderId="32" xfId="0" applyNumberFormat="1" applyFont="1" applyBorder="1" applyAlignment="1" applyProtection="1">
      <alignment horizontal="center" vertical="center" wrapText="1"/>
      <protection locked="0"/>
    </xf>
    <xf numFmtId="0" fontId="81" fillId="0" borderId="32" xfId="0" applyFont="1" applyFill="1" applyBorder="1" applyAlignment="1" applyProtection="1">
      <alignment horizontal="center" vertical="center"/>
      <protection locked="0"/>
    </xf>
    <xf numFmtId="0" fontId="14" fillId="0" borderId="22" xfId="0" applyFont="1" applyBorder="1" applyAlignment="1" applyProtection="1">
      <alignment horizontal="center" vertical="center" wrapText="1"/>
      <protection locked="0"/>
    </xf>
    <xf numFmtId="0" fontId="14" fillId="0" borderId="41" xfId="0" applyFont="1" applyBorder="1" applyAlignment="1" applyProtection="1">
      <alignment horizontal="center" vertical="center" wrapText="1"/>
      <protection locked="0"/>
    </xf>
    <xf numFmtId="0" fontId="14" fillId="0" borderId="53" xfId="0" applyFont="1" applyBorder="1" applyAlignment="1" applyProtection="1">
      <alignment horizontal="center" vertical="center" wrapText="1"/>
      <protection locked="0"/>
    </xf>
    <xf numFmtId="0" fontId="14" fillId="0" borderId="24" xfId="0" applyFont="1" applyBorder="1" applyAlignment="1" applyProtection="1">
      <alignment horizontal="center" vertical="center" wrapText="1"/>
      <protection locked="0"/>
    </xf>
    <xf numFmtId="0" fontId="14" fillId="0" borderId="1" xfId="0" applyFont="1" applyBorder="1" applyAlignment="1" applyProtection="1">
      <alignment horizontal="center" vertical="center" wrapText="1"/>
      <protection locked="0"/>
    </xf>
    <xf numFmtId="0" fontId="14" fillId="0" borderId="54" xfId="0" applyFont="1" applyBorder="1" applyAlignment="1" applyProtection="1">
      <alignment horizontal="center" vertical="center" wrapText="1"/>
      <protection locked="0"/>
    </xf>
    <xf numFmtId="0" fontId="12" fillId="5" borderId="32" xfId="0" applyFont="1" applyFill="1" applyBorder="1" applyAlignment="1" applyProtection="1">
      <alignment horizontal="center" vertical="center" wrapText="1"/>
      <protection locked="0"/>
    </xf>
    <xf numFmtId="0" fontId="89" fillId="0" borderId="0" xfId="0" applyFont="1" applyFill="1" applyBorder="1" applyAlignment="1" applyProtection="1">
      <alignment horizontal="justify" vertical="top" wrapText="1"/>
      <protection locked="0"/>
    </xf>
  </cellXfs>
  <cellStyles count="2">
    <cellStyle name="Hyperlink" xfId="1" builtinId="8"/>
    <cellStyle name="Normal" xfId="0" builtinId="0"/>
  </cellStyles>
  <dxfs count="1737">
    <dxf>
      <font>
        <color rgb="FF00B050"/>
      </font>
      <fill>
        <patternFill>
          <bgColor rgb="FF00B050"/>
        </patternFill>
      </fill>
    </dxf>
    <dxf>
      <font>
        <color theme="9"/>
      </font>
      <fill>
        <patternFill>
          <bgColor theme="9"/>
        </patternFill>
      </fill>
    </dxf>
    <dxf>
      <font>
        <color rgb="FFFF0000"/>
      </font>
      <fill>
        <patternFill>
          <bgColor rgb="FFFF0000"/>
        </patternFill>
      </fill>
    </dxf>
    <dxf>
      <font>
        <color theme="0"/>
      </font>
      <fill>
        <patternFill>
          <bgColor rgb="FF00B050"/>
        </patternFill>
      </fill>
    </dxf>
    <dxf>
      <font>
        <color theme="0"/>
      </font>
      <fill>
        <patternFill>
          <bgColor theme="9"/>
        </patternFill>
      </fill>
    </dxf>
    <dxf>
      <font>
        <color theme="0"/>
      </font>
      <fill>
        <patternFill>
          <bgColor rgb="FFFF0000"/>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color rgb="FFFF0000"/>
      </font>
    </dxf>
    <dxf>
      <font>
        <b/>
        <i val="0"/>
        <color rgb="FF00B050"/>
      </font>
    </dxf>
    <dxf>
      <fill>
        <patternFill>
          <bgColor rgb="FFFFC000"/>
        </patternFill>
      </fill>
    </dxf>
    <dxf>
      <fill>
        <patternFill>
          <bgColor rgb="FFFF0000"/>
        </patternFill>
      </fill>
    </dxf>
    <dxf>
      <fill>
        <patternFill>
          <bgColor theme="0"/>
        </patternFill>
      </fill>
    </dxf>
    <dxf>
      <fill>
        <patternFill>
          <bgColor rgb="FFFFC000"/>
        </patternFill>
      </fill>
    </dxf>
    <dxf>
      <fill>
        <patternFill>
          <bgColor rgb="FFFF0000"/>
        </patternFill>
      </fill>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font>
    </dxf>
    <dxf>
      <font>
        <b/>
        <i val="0"/>
      </font>
    </dxf>
    <dxf>
      <font>
        <b/>
        <i val="0"/>
      </font>
    </dxf>
    <dxf>
      <font>
        <b/>
        <i val="0"/>
      </font>
    </dxf>
    <dxf>
      <font>
        <b/>
        <i val="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ill>
        <patternFill>
          <bgColor rgb="FFFABA86"/>
        </patternFill>
      </fill>
      <border>
        <left style="thin">
          <color theme="0"/>
        </left>
        <right style="thin">
          <color theme="0"/>
        </right>
        <top style="thin">
          <color theme="0"/>
        </top>
        <bottom style="thin">
          <color theme="0"/>
        </bottom>
        <vertical style="thin">
          <color theme="0"/>
        </vertical>
        <horizontal style="thin">
          <color theme="0"/>
        </horizontal>
      </border>
    </dxf>
    <dxf>
      <fill>
        <patternFill>
          <bgColor theme="9"/>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Table Style 1" pivot="0" count="2">
      <tableStyleElement type="firstColumnStripe" dxfId="1736"/>
      <tableStyleElement type="secondColumnStripe" dxfId="1735"/>
    </tableStyle>
  </tableStyles>
  <colors>
    <mruColors>
      <color rgb="FF2FF154"/>
      <color rgb="FFCCC0DA"/>
      <color rgb="FFCC99FF"/>
      <color rgb="FFD73D13"/>
      <color rgb="FFBF7C6F"/>
      <color rgb="FFEFE0DD"/>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4207"/>
  <ax:ocxPr ax:name="_ExtentY" ax:value="3413"/>
  <ax:ocxPr ax:name="_StockProps" ax:value="1"/>
  <ax:ocxPr ax:name="BackColor" ax:value="4210752"/>
  <ax:ocxPr ax:name="Year" ax:value="2018"/>
  <ax:ocxPr ax:name="Month" ax:value="1"/>
  <ax:ocxPr ax:name="Day" ax:value="19"/>
  <ax:ocxPr ax:name="DayLength" ax:value="1"/>
  <ax:ocxPr ax:name="MonthLength" ax:value="0"/>
  <ax:ocxPr ax:name="DayFontColor" ax:value="16777215"/>
  <ax:ocxPr ax:name="FirstDay" ax:value="1"/>
  <ax:ocxPr ax:name="GridCellEffect" ax:value="1"/>
  <ax:ocxPr ax:name="GridFontColor" ax:value="16777215"/>
  <ax:ocxPr ax:name="GridLinesColor" ax:value="16777215"/>
  <ax:ocxPr ax:name="ShowDateSelectors" ax:value="-1"/>
  <ax:ocxPr ax:name="ShowDays" ax:value="0"/>
  <ax:ocxPr ax:name="ShowHorizontalGrid" ax:value="-1"/>
  <ax:ocxPr ax:name="ShowTitle" ax:value="0"/>
  <ax:ocxPr ax:name="ShowVerticalGrid" ax:value="-1"/>
  <ax:ocxPr ax:name="TitleFontColor" ax:value="10485760"/>
  <ax:ocxPr ax:name="ValueIsNull" ax:value="0"/>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1028700</xdr:colOff>
      <xdr:row>18</xdr:row>
      <xdr:rowOff>104775</xdr:rowOff>
    </xdr:from>
    <xdr:to>
      <xdr:col>3</xdr:col>
      <xdr:colOff>428625</xdr:colOff>
      <xdr:row>22</xdr:row>
      <xdr:rowOff>180975</xdr:rowOff>
    </xdr:to>
    <xdr:grpSp>
      <xdr:nvGrpSpPr>
        <xdr:cNvPr id="2" name="Group 1"/>
        <xdr:cNvGrpSpPr/>
      </xdr:nvGrpSpPr>
      <xdr:grpSpPr>
        <a:xfrm>
          <a:off x="2533650" y="4838700"/>
          <a:ext cx="838200" cy="838200"/>
          <a:chOff x="2419350" y="3333750"/>
          <a:chExt cx="838200" cy="838200"/>
        </a:xfrm>
      </xdr:grpSpPr>
      <xdr:pic macro="[0]!CommandButtonSave_Click">
        <xdr:nvPicPr>
          <xdr:cNvPr id="3" name="Picture 2" descr="Save2.png"/>
          <xdr:cNvPicPr>
            <a:picLocks noChangeAspect="1"/>
          </xdr:cNvPicPr>
        </xdr:nvPicPr>
        <xdr:blipFill>
          <a:blip xmlns:r="http://schemas.openxmlformats.org/officeDocument/2006/relationships" r:embed="rId1" cstate="print"/>
          <a:stretch>
            <a:fillRect/>
          </a:stretch>
        </xdr:blipFill>
        <xdr:spPr>
          <a:xfrm>
            <a:off x="2419350" y="3333750"/>
            <a:ext cx="838200" cy="838200"/>
          </a:xfrm>
          <a:prstGeom prst="rect">
            <a:avLst/>
          </a:prstGeom>
        </xdr:spPr>
      </xdr:pic>
      <xdr:sp macro="[0]!CommandButtonSave_Click" textlink="">
        <xdr:nvSpPr>
          <xdr:cNvPr id="4" name="TextBox 3"/>
          <xdr:cNvSpPr txBox="1"/>
        </xdr:nvSpPr>
        <xdr:spPr>
          <a:xfrm>
            <a:off x="2571750" y="3705225"/>
            <a:ext cx="533400" cy="352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00" b="1"/>
              <a:t>START</a:t>
            </a:r>
          </a:p>
        </xdr:txBody>
      </xdr:sp>
    </xdr:grpSp>
    <xdr:clientData/>
  </xdr:twoCellAnchor>
  <xdr:twoCellAnchor>
    <xdr:from>
      <xdr:col>2</xdr:col>
      <xdr:colOff>723900</xdr:colOff>
      <xdr:row>6</xdr:row>
      <xdr:rowOff>209550</xdr:rowOff>
    </xdr:from>
    <xdr:to>
      <xdr:col>2</xdr:col>
      <xdr:colOff>895350</xdr:colOff>
      <xdr:row>7</xdr:row>
      <xdr:rowOff>276225</xdr:rowOff>
    </xdr:to>
    <xdr:sp macro="" textlink="">
      <xdr:nvSpPr>
        <xdr:cNvPr id="5" name="Down Arrow 4"/>
        <xdr:cNvSpPr/>
      </xdr:nvSpPr>
      <xdr:spPr>
        <a:xfrm>
          <a:off x="2228850" y="1876425"/>
          <a:ext cx="171450" cy="361950"/>
        </a:xfrm>
        <a:prstGeom prst="downArrow">
          <a:avLst/>
        </a:prstGeom>
      </xdr:spPr>
      <xdr:style>
        <a:lnRef idx="2">
          <a:schemeClr val="accent2">
            <a:shade val="50000"/>
          </a:schemeClr>
        </a:lnRef>
        <a:fillRef idx="1">
          <a:schemeClr val="accent2"/>
        </a:fillRef>
        <a:effectRef idx="0">
          <a:schemeClr val="accent2"/>
        </a:effectRef>
        <a:fontRef idx="minor">
          <a:schemeClr val="lt1"/>
        </a:fontRef>
      </xdr:style>
      <xdr:txBody>
        <a:bodyPr rtlCol="0" anchor="ctr"/>
        <a:lstStyle/>
        <a:p>
          <a:pPr algn="ctr"/>
          <a:endParaRPr lang="en-GB" sz="1100"/>
        </a:p>
      </xdr:txBody>
    </xdr:sp>
    <xdr:clientData/>
  </xdr:twoCellAnchor>
  <xdr:twoCellAnchor>
    <xdr:from>
      <xdr:col>3</xdr:col>
      <xdr:colOff>133350</xdr:colOff>
      <xdr:row>2</xdr:row>
      <xdr:rowOff>133350</xdr:rowOff>
    </xdr:from>
    <xdr:to>
      <xdr:col>3</xdr:col>
      <xdr:colOff>1057275</xdr:colOff>
      <xdr:row>3</xdr:row>
      <xdr:rowOff>114300</xdr:rowOff>
    </xdr:to>
    <xdr:sp macro="" textlink="">
      <xdr:nvSpPr>
        <xdr:cNvPr id="6" name="TextBox 5"/>
        <xdr:cNvSpPr txBox="1"/>
      </xdr:nvSpPr>
      <xdr:spPr>
        <a:xfrm>
          <a:off x="3076575" y="619125"/>
          <a:ext cx="923925" cy="27622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GB" sz="1100">
              <a:solidFill>
                <a:schemeClr val="bg1"/>
              </a:solidFill>
            </a:rPr>
            <a:t>Today's date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219074</xdr:colOff>
      <xdr:row>4</xdr:row>
      <xdr:rowOff>163511</xdr:rowOff>
    </xdr:from>
    <xdr:to>
      <xdr:col>15</xdr:col>
      <xdr:colOff>314324</xdr:colOff>
      <xdr:row>8</xdr:row>
      <xdr:rowOff>28574</xdr:rowOff>
    </xdr:to>
    <xdr:pic>
      <xdr:nvPicPr>
        <xdr:cNvPr id="2" name="Picture 1" descr="warning.png"/>
        <xdr:cNvPicPr>
          <a:picLocks noChangeAspect="1"/>
        </xdr:cNvPicPr>
      </xdr:nvPicPr>
      <xdr:blipFill>
        <a:blip xmlns:r="http://schemas.openxmlformats.org/officeDocument/2006/relationships" r:embed="rId1" cstate="print"/>
        <a:stretch>
          <a:fillRect/>
        </a:stretch>
      </xdr:blipFill>
      <xdr:spPr>
        <a:xfrm>
          <a:off x="9963149" y="1020761"/>
          <a:ext cx="752475" cy="627063"/>
        </a:xfrm>
        <a:prstGeom prst="rect">
          <a:avLst/>
        </a:prstGeom>
      </xdr:spPr>
    </xdr:pic>
    <xdr:clientData/>
  </xdr:twoCellAnchor>
  <xdr:twoCellAnchor>
    <xdr:from>
      <xdr:col>13</xdr:col>
      <xdr:colOff>571499</xdr:colOff>
      <xdr:row>1</xdr:row>
      <xdr:rowOff>28576</xdr:rowOff>
    </xdr:from>
    <xdr:to>
      <xdr:col>16</xdr:col>
      <xdr:colOff>38100</xdr:colOff>
      <xdr:row>3</xdr:row>
      <xdr:rowOff>133351</xdr:rowOff>
    </xdr:to>
    <xdr:sp macro="" textlink="">
      <xdr:nvSpPr>
        <xdr:cNvPr id="3" name="TextBox 2"/>
        <xdr:cNvSpPr txBox="1"/>
      </xdr:nvSpPr>
      <xdr:spPr>
        <a:xfrm>
          <a:off x="9658349" y="228601"/>
          <a:ext cx="1438276"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800"/>
            <a:t>Don't care about the "inv" data ! There will be automatically replaced by "0".</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3</xdr:row>
      <xdr:rowOff>85725</xdr:rowOff>
    </xdr:from>
    <xdr:to>
      <xdr:col>0</xdr:col>
      <xdr:colOff>161925</xdr:colOff>
      <xdr:row>4</xdr:row>
      <xdr:rowOff>142875</xdr:rowOff>
    </xdr:to>
    <xdr:cxnSp macro="">
      <xdr:nvCxnSpPr>
        <xdr:cNvPr id="3" name="Straight Arrow Connector 2"/>
        <xdr:cNvCxnSpPr/>
      </xdr:nvCxnSpPr>
      <xdr:spPr>
        <a:xfrm>
          <a:off x="104775" y="733425"/>
          <a:ext cx="57150" cy="247650"/>
        </a:xfrm>
        <a:prstGeom prst="straightConnector1">
          <a:avLst/>
        </a:prstGeom>
        <a:ln>
          <a:solidFill>
            <a:srgbClr val="00B050"/>
          </a:solidFill>
          <a:tailEnd type="arrow"/>
        </a:ln>
      </xdr:spPr>
      <xdr:style>
        <a:lnRef idx="2">
          <a:schemeClr val="accent2"/>
        </a:lnRef>
        <a:fillRef idx="0">
          <a:schemeClr val="accent2"/>
        </a:fillRef>
        <a:effectRef idx="1">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RESO%20tree/06-Day%20ahead/DA%20reports/Templates/Day%20ahead%2020130607.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volutions"/>
      <sheetName val="Start"/>
      <sheetName val="Summary"/>
      <sheetName val="N State Flows Data"/>
      <sheetName val="N State Taps &amp; Flows"/>
      <sheetName val="Terna Sensitivity Data"/>
      <sheetName val="Free Constraints Table"/>
      <sheetName val="Outages table"/>
      <sheetName val="ELIA Loopflows"/>
      <sheetName val="Exchange Program Data"/>
      <sheetName val="RTE Flows"/>
      <sheetName val="50HzT"/>
      <sheetName val="Checking"/>
      <sheetName val="Config Lines"/>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3.xml"/><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1"/>
  <dimension ref="B2:H22"/>
  <sheetViews>
    <sheetView showGridLines="0" showRowColHeaders="0" workbookViewId="0">
      <selection activeCell="D9" sqref="D9"/>
    </sheetView>
  </sheetViews>
  <sheetFormatPr defaultColWidth="9.140625" defaultRowHeight="15"/>
  <cols>
    <col min="1" max="1" width="4.7109375" style="48" customWidth="1"/>
    <col min="2" max="2" width="17.85546875" style="48" customWidth="1"/>
    <col min="3" max="4" width="21.5703125" style="48" customWidth="1"/>
    <col min="5" max="6" width="9.140625" style="48"/>
    <col min="7" max="8" width="9.140625" style="48" customWidth="1"/>
    <col min="9" max="16384" width="9.140625" style="48"/>
  </cols>
  <sheetData>
    <row r="2" spans="2:6" ht="23.25">
      <c r="B2" s="47" t="s">
        <v>130</v>
      </c>
    </row>
    <row r="3" spans="2:6" ht="23.25">
      <c r="B3" s="47"/>
    </row>
    <row r="4" spans="2:6" ht="23.25">
      <c r="B4" s="47"/>
    </row>
    <row r="5" spans="2:6" ht="23.25">
      <c r="B5" s="47"/>
    </row>
    <row r="6" spans="2:6" ht="23.25">
      <c r="B6" s="47"/>
    </row>
    <row r="7" spans="2:6" ht="23.25">
      <c r="B7" s="47"/>
    </row>
    <row r="8" spans="2:6" ht="23.25">
      <c r="B8" s="47"/>
    </row>
    <row r="9" spans="2:6" ht="26.25">
      <c r="B9" s="49"/>
    </row>
    <row r="11" spans="2:6" ht="21.75" customHeight="1">
      <c r="B11" s="50"/>
      <c r="C11" s="51" t="s">
        <v>124</v>
      </c>
      <c r="D11" s="51" t="s">
        <v>125</v>
      </c>
    </row>
    <row r="12" spans="2:6" ht="21.75" customHeight="1">
      <c r="B12" s="52" t="s">
        <v>126</v>
      </c>
      <c r="C12" s="63">
        <v>43119</v>
      </c>
      <c r="D12" s="64">
        <f>IF(D13="","",D13-1)</f>
        <v>43118</v>
      </c>
      <c r="E12" s="53"/>
      <c r="F12" s="54"/>
    </row>
    <row r="13" spans="2:6" ht="21.75" customHeight="1">
      <c r="B13" s="55" t="s">
        <v>127</v>
      </c>
      <c r="C13" s="56">
        <f>C12+1</f>
        <v>43120</v>
      </c>
      <c r="D13" s="41">
        <v>43119</v>
      </c>
      <c r="E13" s="53"/>
      <c r="F13" s="53"/>
    </row>
    <row r="14" spans="2:6">
      <c r="B14" s="53"/>
      <c r="C14" s="53" t="str">
        <f ca="1">IF(NOW()-C12&lt;1,"OK","NOK")</f>
        <v>OK</v>
      </c>
      <c r="D14" s="53"/>
      <c r="E14" s="53"/>
      <c r="F14" s="53"/>
    </row>
    <row r="15" spans="2:6">
      <c r="B15" s="53"/>
      <c r="C15" s="57">
        <f>IF(D13="",C13,D13)</f>
        <v>43119</v>
      </c>
      <c r="D15" s="53"/>
      <c r="E15" s="53"/>
      <c r="F15" s="53"/>
    </row>
    <row r="16" spans="2:6" ht="21.75" customHeight="1">
      <c r="B16" s="58" t="s">
        <v>128</v>
      </c>
      <c r="C16" s="59" t="str">
        <f>"Day ahead " &amp; TEXT(C15,"yyyymmdd") &amp; "_South"</f>
        <v>Day ahead 20180119_South</v>
      </c>
      <c r="D16" s="60"/>
      <c r="E16" s="53"/>
      <c r="F16" s="53"/>
    </row>
    <row r="17" spans="2:8" ht="21.75" customHeight="1">
      <c r="B17" s="58" t="s">
        <v>129</v>
      </c>
      <c r="C17" s="42" t="s">
        <v>428</v>
      </c>
      <c r="D17" s="53"/>
      <c r="E17" s="53"/>
      <c r="F17" s="53"/>
    </row>
    <row r="19" spans="2:8">
      <c r="C19" s="61"/>
      <c r="D19" s="61"/>
      <c r="H19" s="53"/>
    </row>
    <row r="20" spans="2:8">
      <c r="C20" s="61"/>
    </row>
    <row r="22" spans="2:8">
      <c r="C22" s="62"/>
    </row>
  </sheetData>
  <sheetProtection sheet="1" objects="1" scenarios="1"/>
  <pageMargins left="0.7" right="0.7" top="0.75" bottom="0.75" header="0.3" footer="0.3"/>
  <pageSetup orientation="portrait" horizontalDpi="300" verticalDpi="300" r:id="rId1"/>
  <headerFooter>
    <oddFooter>&amp;L&amp;"Calibri,Bold"&amp;11Day-ahead report 19/01/2018</oddFooter>
  </headerFooter>
  <drawing r:id="rId2"/>
  <legacyDrawing r:id="rId3"/>
  <controls>
    <control shapeId="5121" r:id="rId4" name="ModifyDayAheadCheckbox"/>
    <control shapeId="5124" r:id="rId5" name="NewReportCheckBox"/>
    <control shapeId="5125" r:id="rId6" name="Calendar1"/>
  </controls>
</worksheet>
</file>

<file path=xl/worksheets/sheet2.xml><?xml version="1.0" encoding="utf-8"?>
<worksheet xmlns="http://schemas.openxmlformats.org/spreadsheetml/2006/main" xmlns:r="http://schemas.openxmlformats.org/officeDocument/2006/relationships">
  <sheetPr codeName="Sheet1">
    <tabColor theme="3" tint="0.39997558519241921"/>
  </sheetPr>
  <dimension ref="A1:BO201"/>
  <sheetViews>
    <sheetView showGridLines="0" tabSelected="1" showWhiteSpace="0" topLeftCell="A120" zoomScale="140" zoomScaleNormal="140" zoomScalePageLayoutView="160" workbookViewId="0">
      <selection activeCell="AH94" sqref="AH94"/>
    </sheetView>
  </sheetViews>
  <sheetFormatPr defaultColWidth="9.140625" defaultRowHeight="15"/>
  <cols>
    <col min="1" max="12" width="1.5703125" style="66" customWidth="1"/>
    <col min="13" max="13" width="2.7109375" style="66" customWidth="1"/>
    <col min="14" max="62" width="1.5703125" style="66" customWidth="1"/>
    <col min="63" max="63" width="1.5703125" style="161" customWidth="1"/>
    <col min="64" max="16384" width="9.140625" style="66"/>
  </cols>
  <sheetData>
    <row r="1" spans="5:59" ht="15.75" thickBot="1"/>
    <row r="2" spans="5:59">
      <c r="E2" s="486"/>
      <c r="F2" s="487"/>
      <c r="G2" s="487"/>
      <c r="H2" s="487"/>
      <c r="I2" s="487"/>
      <c r="J2" s="487"/>
      <c r="K2" s="487"/>
      <c r="L2" s="487"/>
      <c r="M2" s="487"/>
      <c r="N2" s="487"/>
      <c r="O2" s="487"/>
      <c r="P2" s="487"/>
      <c r="Q2" s="487"/>
      <c r="R2" s="487"/>
      <c r="S2" s="487"/>
      <c r="T2" s="487"/>
      <c r="U2" s="487"/>
      <c r="V2" s="488"/>
      <c r="W2" s="489" t="s">
        <v>187</v>
      </c>
      <c r="X2" s="489"/>
      <c r="Y2" s="489"/>
      <c r="Z2" s="489"/>
      <c r="AA2" s="489"/>
      <c r="AB2" s="489"/>
      <c r="AC2" s="489"/>
      <c r="AD2" s="489"/>
      <c r="AE2" s="489"/>
      <c r="AF2" s="489"/>
      <c r="AG2" s="489"/>
      <c r="AH2" s="489"/>
      <c r="AI2" s="489"/>
      <c r="AJ2" s="489"/>
      <c r="AK2" s="489"/>
      <c r="AL2" s="489"/>
      <c r="AM2" s="489"/>
      <c r="AN2" s="489"/>
      <c r="AO2" s="489"/>
      <c r="AP2" s="489"/>
      <c r="AQ2" s="489"/>
      <c r="AR2" s="489"/>
      <c r="AS2" s="489"/>
      <c r="AT2" s="489"/>
      <c r="AU2" s="489"/>
      <c r="AV2" s="489"/>
      <c r="AW2" s="489"/>
      <c r="AX2" s="489"/>
      <c r="AY2" s="489"/>
      <c r="AZ2" s="489"/>
      <c r="BA2" s="489"/>
      <c r="BB2" s="489"/>
      <c r="BC2" s="489"/>
      <c r="BD2" s="489"/>
      <c r="BE2" s="489"/>
      <c r="BF2" s="489"/>
      <c r="BG2" s="490"/>
    </row>
    <row r="3" spans="5:59" ht="15" customHeight="1">
      <c r="E3" s="493" t="s">
        <v>0</v>
      </c>
      <c r="F3" s="494"/>
      <c r="G3" s="494"/>
      <c r="H3" s="494"/>
      <c r="I3" s="494"/>
      <c r="J3" s="494"/>
      <c r="K3" s="494"/>
      <c r="L3" s="494"/>
      <c r="M3" s="494"/>
      <c r="N3" s="494"/>
      <c r="O3" s="494"/>
      <c r="P3" s="494"/>
      <c r="Q3" s="494"/>
      <c r="R3" s="494"/>
      <c r="S3" s="494"/>
      <c r="T3" s="494"/>
      <c r="U3" s="494"/>
      <c r="V3" s="495"/>
      <c r="W3" s="491"/>
      <c r="X3" s="491"/>
      <c r="Y3" s="491"/>
      <c r="Z3" s="491"/>
      <c r="AA3" s="491"/>
      <c r="AB3" s="491"/>
      <c r="AC3" s="491"/>
      <c r="AD3" s="491"/>
      <c r="AE3" s="491"/>
      <c r="AF3" s="491"/>
      <c r="AG3" s="491"/>
      <c r="AH3" s="491"/>
      <c r="AI3" s="491"/>
      <c r="AJ3" s="491"/>
      <c r="AK3" s="491"/>
      <c r="AL3" s="491"/>
      <c r="AM3" s="491"/>
      <c r="AN3" s="491"/>
      <c r="AO3" s="491"/>
      <c r="AP3" s="491"/>
      <c r="AQ3" s="491"/>
      <c r="AR3" s="491"/>
      <c r="AS3" s="491"/>
      <c r="AT3" s="491"/>
      <c r="AU3" s="491"/>
      <c r="AV3" s="491"/>
      <c r="AW3" s="491"/>
      <c r="AX3" s="491"/>
      <c r="AY3" s="491"/>
      <c r="AZ3" s="491"/>
      <c r="BA3" s="491"/>
      <c r="BB3" s="491"/>
      <c r="BC3" s="491"/>
      <c r="BD3" s="491"/>
      <c r="BE3" s="491"/>
      <c r="BF3" s="491"/>
      <c r="BG3" s="492"/>
    </row>
    <row r="4" spans="5:59">
      <c r="E4" s="502"/>
      <c r="F4" s="503"/>
      <c r="G4" s="503"/>
      <c r="H4" s="503"/>
      <c r="I4" s="503"/>
      <c r="J4" s="346"/>
      <c r="K4" s="346"/>
      <c r="L4" s="346"/>
      <c r="M4" s="346"/>
      <c r="N4" s="346"/>
      <c r="O4" s="346"/>
      <c r="P4" s="346"/>
      <c r="Q4" s="346"/>
      <c r="R4" s="346"/>
      <c r="S4" s="346"/>
      <c r="T4" s="346"/>
      <c r="U4" s="346"/>
      <c r="V4" s="506"/>
      <c r="W4" s="491"/>
      <c r="X4" s="491"/>
      <c r="Y4" s="491"/>
      <c r="Z4" s="491"/>
      <c r="AA4" s="491"/>
      <c r="AB4" s="491"/>
      <c r="AC4" s="491"/>
      <c r="AD4" s="491"/>
      <c r="AE4" s="491"/>
      <c r="AF4" s="491"/>
      <c r="AG4" s="491"/>
      <c r="AH4" s="491"/>
      <c r="AI4" s="491"/>
      <c r="AJ4" s="491"/>
      <c r="AK4" s="491"/>
      <c r="AL4" s="491"/>
      <c r="AM4" s="491"/>
      <c r="AN4" s="491"/>
      <c r="AO4" s="491"/>
      <c r="AP4" s="491"/>
      <c r="AQ4" s="491"/>
      <c r="AR4" s="491"/>
      <c r="AS4" s="491"/>
      <c r="AT4" s="491"/>
      <c r="AU4" s="491"/>
      <c r="AV4" s="491"/>
      <c r="AW4" s="491"/>
      <c r="AX4" s="491"/>
      <c r="AY4" s="491"/>
      <c r="AZ4" s="491"/>
      <c r="BA4" s="491"/>
      <c r="BB4" s="491"/>
      <c r="BC4" s="491"/>
      <c r="BD4" s="491"/>
      <c r="BE4" s="491"/>
      <c r="BF4" s="491"/>
      <c r="BG4" s="492"/>
    </row>
    <row r="5" spans="5:59" ht="15" customHeight="1">
      <c r="E5" s="502"/>
      <c r="F5" s="503"/>
      <c r="G5" s="503"/>
      <c r="H5" s="503"/>
      <c r="I5" s="503"/>
      <c r="J5" s="346"/>
      <c r="K5" s="346"/>
      <c r="L5" s="346"/>
      <c r="M5" s="346"/>
      <c r="N5" s="346"/>
      <c r="O5" s="346"/>
      <c r="P5" s="346"/>
      <c r="Q5" s="346"/>
      <c r="R5" s="346"/>
      <c r="S5" s="346"/>
      <c r="T5" s="346"/>
      <c r="U5" s="346"/>
      <c r="V5" s="506"/>
      <c r="W5" s="491"/>
      <c r="X5" s="491"/>
      <c r="Y5" s="491"/>
      <c r="Z5" s="491"/>
      <c r="AA5" s="491"/>
      <c r="AB5" s="491"/>
      <c r="AC5" s="491"/>
      <c r="AD5" s="491"/>
      <c r="AE5" s="491"/>
      <c r="AF5" s="491"/>
      <c r="AG5" s="491"/>
      <c r="AH5" s="491"/>
      <c r="AI5" s="491"/>
      <c r="AJ5" s="491"/>
      <c r="AK5" s="491"/>
      <c r="AL5" s="491"/>
      <c r="AM5" s="491"/>
      <c r="AN5" s="491"/>
      <c r="AO5" s="491"/>
      <c r="AP5" s="491"/>
      <c r="AQ5" s="491"/>
      <c r="AR5" s="491"/>
      <c r="AS5" s="491"/>
      <c r="AT5" s="491"/>
      <c r="AU5" s="491"/>
      <c r="AV5" s="491"/>
      <c r="AW5" s="491"/>
      <c r="AX5" s="491"/>
      <c r="AY5" s="491"/>
      <c r="AZ5" s="491"/>
      <c r="BA5" s="491"/>
      <c r="BB5" s="491"/>
      <c r="BC5" s="491"/>
      <c r="BD5" s="491"/>
      <c r="BE5" s="491"/>
      <c r="BF5" s="491"/>
      <c r="BG5" s="492"/>
    </row>
    <row r="6" spans="5:59" ht="15" customHeight="1">
      <c r="E6" s="502"/>
      <c r="F6" s="503"/>
      <c r="G6" s="503"/>
      <c r="H6" s="503"/>
      <c r="I6" s="503"/>
      <c r="J6" s="346"/>
      <c r="K6" s="346"/>
      <c r="L6" s="346"/>
      <c r="M6" s="346"/>
      <c r="N6" s="346"/>
      <c r="O6" s="346"/>
      <c r="P6" s="346"/>
      <c r="Q6" s="346"/>
      <c r="R6" s="346"/>
      <c r="S6" s="346"/>
      <c r="T6" s="346"/>
      <c r="U6" s="346"/>
      <c r="V6" s="506"/>
      <c r="W6" s="496">
        <f>Start!C15</f>
        <v>43119</v>
      </c>
      <c r="X6" s="496"/>
      <c r="Y6" s="496"/>
      <c r="Z6" s="496"/>
      <c r="AA6" s="496"/>
      <c r="AB6" s="496"/>
      <c r="AC6" s="496"/>
      <c r="AD6" s="496"/>
      <c r="AE6" s="496"/>
      <c r="AF6" s="496"/>
      <c r="AG6" s="496"/>
      <c r="AH6" s="496"/>
      <c r="AI6" s="496"/>
      <c r="AJ6" s="496"/>
      <c r="AK6" s="496"/>
      <c r="AL6" s="496"/>
      <c r="AM6" s="496"/>
      <c r="AN6" s="496"/>
      <c r="AO6" s="496"/>
      <c r="AP6" s="496"/>
      <c r="AQ6" s="496"/>
      <c r="AR6" s="496"/>
      <c r="AS6" s="496"/>
      <c r="AT6" s="496"/>
      <c r="AU6" s="496"/>
      <c r="AV6" s="496"/>
      <c r="AW6" s="496"/>
      <c r="AX6" s="496"/>
      <c r="AY6" s="496"/>
      <c r="AZ6" s="496"/>
      <c r="BA6" s="496"/>
      <c r="BB6" s="496"/>
      <c r="BC6" s="496"/>
      <c r="BD6" s="496"/>
      <c r="BE6" s="496"/>
      <c r="BF6" s="496"/>
      <c r="BG6" s="497"/>
    </row>
    <row r="7" spans="5:59" ht="15" customHeight="1">
      <c r="E7" s="502"/>
      <c r="F7" s="503"/>
      <c r="G7" s="503"/>
      <c r="H7" s="503"/>
      <c r="I7" s="503"/>
      <c r="J7" s="346"/>
      <c r="K7" s="346"/>
      <c r="L7" s="346"/>
      <c r="M7" s="346"/>
      <c r="N7" s="346"/>
      <c r="O7" s="346"/>
      <c r="P7" s="346"/>
      <c r="Q7" s="346"/>
      <c r="R7" s="346"/>
      <c r="S7" s="346"/>
      <c r="T7" s="346"/>
      <c r="U7" s="346"/>
      <c r="V7" s="506"/>
      <c r="W7" s="496"/>
      <c r="X7" s="496"/>
      <c r="Y7" s="496"/>
      <c r="Z7" s="496"/>
      <c r="AA7" s="496"/>
      <c r="AB7" s="496"/>
      <c r="AC7" s="496"/>
      <c r="AD7" s="496"/>
      <c r="AE7" s="496"/>
      <c r="AF7" s="496"/>
      <c r="AG7" s="496"/>
      <c r="AH7" s="496"/>
      <c r="AI7" s="496"/>
      <c r="AJ7" s="496"/>
      <c r="AK7" s="496"/>
      <c r="AL7" s="496"/>
      <c r="AM7" s="496"/>
      <c r="AN7" s="496"/>
      <c r="AO7" s="496"/>
      <c r="AP7" s="496"/>
      <c r="AQ7" s="496"/>
      <c r="AR7" s="496"/>
      <c r="AS7" s="496"/>
      <c r="AT7" s="496"/>
      <c r="AU7" s="496"/>
      <c r="AV7" s="496"/>
      <c r="AW7" s="496"/>
      <c r="AX7" s="496"/>
      <c r="AY7" s="496"/>
      <c r="AZ7" s="496"/>
      <c r="BA7" s="496"/>
      <c r="BB7" s="496"/>
      <c r="BC7" s="496"/>
      <c r="BD7" s="496"/>
      <c r="BE7" s="496"/>
      <c r="BF7" s="496"/>
      <c r="BG7" s="497"/>
    </row>
    <row r="8" spans="5:59" ht="15" customHeight="1" thickBot="1">
      <c r="E8" s="504"/>
      <c r="F8" s="505"/>
      <c r="G8" s="505"/>
      <c r="H8" s="505"/>
      <c r="I8" s="505"/>
      <c r="J8" s="498"/>
      <c r="K8" s="498"/>
      <c r="L8" s="498"/>
      <c r="M8" s="498"/>
      <c r="N8" s="498"/>
      <c r="O8" s="498"/>
      <c r="P8" s="498"/>
      <c r="Q8" s="498"/>
      <c r="R8" s="498"/>
      <c r="S8" s="498"/>
      <c r="T8" s="498"/>
      <c r="U8" s="498"/>
      <c r="V8" s="499"/>
      <c r="W8" s="498"/>
      <c r="X8" s="498"/>
      <c r="Y8" s="498"/>
      <c r="Z8" s="498"/>
      <c r="AA8" s="498"/>
      <c r="AB8" s="498"/>
      <c r="AC8" s="498"/>
      <c r="AD8" s="498"/>
      <c r="AE8" s="498"/>
      <c r="AF8" s="498"/>
      <c r="AG8" s="498"/>
      <c r="AH8" s="498"/>
      <c r="AI8" s="498"/>
      <c r="AJ8" s="498"/>
      <c r="AK8" s="498"/>
      <c r="AL8" s="498"/>
      <c r="AM8" s="498"/>
      <c r="AN8" s="498"/>
      <c r="AO8" s="498"/>
      <c r="AP8" s="498"/>
      <c r="AQ8" s="498"/>
      <c r="AR8" s="498"/>
      <c r="AS8" s="498"/>
      <c r="AT8" s="498"/>
      <c r="AU8" s="498"/>
      <c r="AV8" s="498"/>
      <c r="AW8" s="498"/>
      <c r="AX8" s="498"/>
      <c r="AY8" s="498"/>
      <c r="AZ8" s="498"/>
      <c r="BA8" s="498"/>
      <c r="BB8" s="498"/>
      <c r="BC8" s="498"/>
      <c r="BD8" s="498"/>
      <c r="BE8" s="498"/>
      <c r="BF8" s="498"/>
      <c r="BG8" s="499"/>
    </row>
    <row r="9" spans="5:59" ht="15.75">
      <c r="E9" s="500" t="s">
        <v>1</v>
      </c>
      <c r="F9" s="501"/>
      <c r="G9" s="501"/>
      <c r="H9" s="501"/>
      <c r="I9" s="501"/>
      <c r="J9" s="501"/>
      <c r="K9" s="501"/>
      <c r="L9" s="501"/>
      <c r="M9" s="501"/>
      <c r="N9" s="501"/>
      <c r="O9" s="501"/>
      <c r="P9" s="501"/>
      <c r="Q9" s="501"/>
      <c r="R9" s="501"/>
      <c r="S9" s="501"/>
      <c r="T9" s="501"/>
      <c r="U9" s="501"/>
      <c r="V9" s="501"/>
      <c r="W9" s="501"/>
      <c r="X9" s="501"/>
      <c r="Y9" s="501"/>
      <c r="Z9" s="501"/>
      <c r="AA9" s="501"/>
      <c r="AB9" s="501"/>
      <c r="AC9" s="501"/>
      <c r="AD9" s="501"/>
      <c r="AE9" s="501"/>
      <c r="AF9" s="501"/>
      <c r="AG9" s="501"/>
      <c r="AH9" s="501"/>
      <c r="AI9" s="501"/>
      <c r="AJ9" s="501"/>
      <c r="AK9" s="501"/>
      <c r="AL9" s="501"/>
      <c r="AM9" s="501"/>
      <c r="AN9" s="501"/>
      <c r="AO9" s="501"/>
      <c r="AP9" s="501"/>
      <c r="AQ9" s="501"/>
      <c r="AR9" s="501"/>
      <c r="AS9" s="501"/>
      <c r="AT9" s="501"/>
      <c r="AU9" s="501"/>
      <c r="AV9" s="501"/>
      <c r="AW9" s="501"/>
      <c r="AX9" s="501"/>
      <c r="AY9" s="501"/>
      <c r="AZ9" s="501"/>
      <c r="BA9" s="501"/>
      <c r="BB9" s="501"/>
      <c r="BC9" s="501"/>
      <c r="BD9" s="501"/>
      <c r="BE9" s="501"/>
      <c r="BF9" s="501"/>
      <c r="BG9" s="94"/>
    </row>
    <row r="10" spans="5:59" ht="9.75" customHeight="1">
      <c r="E10" s="458" t="str">
        <f>D198</f>
        <v>CWE: dd</v>
      </c>
      <c r="F10" s="459"/>
      <c r="G10" s="459"/>
      <c r="H10" s="459"/>
      <c r="I10" s="459"/>
      <c r="J10" s="459"/>
      <c r="K10" s="459"/>
      <c r="L10" s="459"/>
      <c r="M10" s="459"/>
      <c r="N10" s="459"/>
      <c r="O10" s="459"/>
      <c r="P10" s="459"/>
      <c r="Q10" s="459"/>
      <c r="R10" s="459"/>
      <c r="S10" s="459"/>
      <c r="T10" s="459"/>
      <c r="U10" s="459"/>
      <c r="V10" s="459"/>
      <c r="W10" s="459"/>
      <c r="X10" s="459"/>
      <c r="Y10" s="459"/>
      <c r="Z10" s="459"/>
      <c r="AA10" s="459"/>
      <c r="AB10" s="459"/>
      <c r="AC10" s="459"/>
      <c r="AD10" s="459"/>
      <c r="AE10" s="459"/>
      <c r="AF10" s="459"/>
      <c r="AG10" s="459"/>
      <c r="AH10" s="459"/>
      <c r="AI10" s="459"/>
      <c r="AJ10" s="459"/>
      <c r="AK10" s="459"/>
      <c r="AL10" s="459"/>
      <c r="AM10" s="459"/>
      <c r="AN10" s="459"/>
      <c r="AO10" s="459"/>
      <c r="AP10" s="459"/>
      <c r="AQ10" s="459"/>
      <c r="AR10" s="459"/>
      <c r="AS10" s="459"/>
      <c r="AT10" s="459"/>
      <c r="AU10" s="459"/>
      <c r="AV10" s="459"/>
      <c r="AW10" s="459"/>
      <c r="AX10" s="459"/>
      <c r="AY10" s="459"/>
      <c r="AZ10" s="459"/>
      <c r="BA10" s="459"/>
      <c r="BB10" s="459"/>
      <c r="BC10" s="459"/>
      <c r="BD10" s="459"/>
      <c r="BE10" s="459"/>
      <c r="BF10" s="459"/>
      <c r="BG10" s="460"/>
    </row>
    <row r="11" spans="5:59" ht="9.75" customHeight="1">
      <c r="E11" s="458"/>
      <c r="F11" s="459"/>
      <c r="G11" s="459"/>
      <c r="H11" s="459"/>
      <c r="I11" s="459"/>
      <c r="J11" s="459"/>
      <c r="K11" s="459"/>
      <c r="L11" s="459"/>
      <c r="M11" s="459"/>
      <c r="N11" s="459"/>
      <c r="O11" s="459"/>
      <c r="P11" s="459"/>
      <c r="Q11" s="459"/>
      <c r="R11" s="459"/>
      <c r="S11" s="459"/>
      <c r="T11" s="459"/>
      <c r="U11" s="459"/>
      <c r="V11" s="459"/>
      <c r="W11" s="459"/>
      <c r="X11" s="459"/>
      <c r="Y11" s="459"/>
      <c r="Z11" s="459"/>
      <c r="AA11" s="459"/>
      <c r="AB11" s="459"/>
      <c r="AC11" s="459"/>
      <c r="AD11" s="459"/>
      <c r="AE11" s="459"/>
      <c r="AF11" s="459"/>
      <c r="AG11" s="459"/>
      <c r="AH11" s="459"/>
      <c r="AI11" s="459"/>
      <c r="AJ11" s="459"/>
      <c r="AK11" s="459"/>
      <c r="AL11" s="459"/>
      <c r="AM11" s="459"/>
      <c r="AN11" s="459"/>
      <c r="AO11" s="459"/>
      <c r="AP11" s="459"/>
      <c r="AQ11" s="459"/>
      <c r="AR11" s="459"/>
      <c r="AS11" s="459"/>
      <c r="AT11" s="459"/>
      <c r="AU11" s="459"/>
      <c r="AV11" s="459"/>
      <c r="AW11" s="459"/>
      <c r="AX11" s="459"/>
      <c r="AY11" s="459"/>
      <c r="AZ11" s="459"/>
      <c r="BA11" s="459"/>
      <c r="BB11" s="459"/>
      <c r="BC11" s="459"/>
      <c r="BD11" s="459"/>
      <c r="BE11" s="459"/>
      <c r="BF11" s="459"/>
      <c r="BG11" s="460"/>
    </row>
    <row r="12" spans="5:59" ht="9.75" customHeight="1">
      <c r="E12" s="458" t="str">
        <f>D199</f>
        <v>CEE: dd</v>
      </c>
      <c r="F12" s="459"/>
      <c r="G12" s="459"/>
      <c r="H12" s="459"/>
      <c r="I12" s="459"/>
      <c r="J12" s="459"/>
      <c r="K12" s="459"/>
      <c r="L12" s="459"/>
      <c r="M12" s="459"/>
      <c r="N12" s="459"/>
      <c r="O12" s="459"/>
      <c r="P12" s="459"/>
      <c r="Q12" s="459"/>
      <c r="R12" s="459"/>
      <c r="S12" s="459"/>
      <c r="T12" s="459"/>
      <c r="U12" s="459"/>
      <c r="V12" s="459"/>
      <c r="W12" s="459"/>
      <c r="X12" s="459"/>
      <c r="Y12" s="459"/>
      <c r="Z12" s="459"/>
      <c r="AA12" s="459"/>
      <c r="AB12" s="459"/>
      <c r="AC12" s="459"/>
      <c r="AD12" s="459"/>
      <c r="AE12" s="459"/>
      <c r="AF12" s="459"/>
      <c r="AG12" s="459"/>
      <c r="AH12" s="459"/>
      <c r="AI12" s="459"/>
      <c r="AJ12" s="459"/>
      <c r="AK12" s="459"/>
      <c r="AL12" s="459"/>
      <c r="AM12" s="459"/>
      <c r="AN12" s="459"/>
      <c r="AO12" s="459"/>
      <c r="AP12" s="459"/>
      <c r="AQ12" s="459"/>
      <c r="AR12" s="459"/>
      <c r="AS12" s="459"/>
      <c r="AT12" s="459"/>
      <c r="AU12" s="459"/>
      <c r="AV12" s="459"/>
      <c r="AW12" s="459"/>
      <c r="AX12" s="459"/>
      <c r="AY12" s="459"/>
      <c r="AZ12" s="459"/>
      <c r="BA12" s="459"/>
      <c r="BB12" s="459"/>
      <c r="BC12" s="459"/>
      <c r="BD12" s="459"/>
      <c r="BE12" s="459"/>
      <c r="BF12" s="459"/>
      <c r="BG12" s="460"/>
    </row>
    <row r="13" spans="5:59" ht="9.75" customHeight="1">
      <c r="E13" s="458"/>
      <c r="F13" s="459"/>
      <c r="G13" s="459"/>
      <c r="H13" s="459"/>
      <c r="I13" s="459"/>
      <c r="J13" s="459"/>
      <c r="K13" s="459"/>
      <c r="L13" s="459"/>
      <c r="M13" s="459"/>
      <c r="N13" s="459"/>
      <c r="O13" s="459"/>
      <c r="P13" s="459"/>
      <c r="Q13" s="459"/>
      <c r="R13" s="459"/>
      <c r="S13" s="459"/>
      <c r="T13" s="459"/>
      <c r="U13" s="459"/>
      <c r="V13" s="459"/>
      <c r="W13" s="459"/>
      <c r="X13" s="459"/>
      <c r="Y13" s="459"/>
      <c r="Z13" s="459"/>
      <c r="AA13" s="459"/>
      <c r="AB13" s="459"/>
      <c r="AC13" s="459"/>
      <c r="AD13" s="459"/>
      <c r="AE13" s="459"/>
      <c r="AF13" s="459"/>
      <c r="AG13" s="459"/>
      <c r="AH13" s="459"/>
      <c r="AI13" s="459"/>
      <c r="AJ13" s="459"/>
      <c r="AK13" s="459"/>
      <c r="AL13" s="459"/>
      <c r="AM13" s="459"/>
      <c r="AN13" s="459"/>
      <c r="AO13" s="459"/>
      <c r="AP13" s="459"/>
      <c r="AQ13" s="459"/>
      <c r="AR13" s="459"/>
      <c r="AS13" s="459"/>
      <c r="AT13" s="459"/>
      <c r="AU13" s="459"/>
      <c r="AV13" s="459"/>
      <c r="AW13" s="459"/>
      <c r="AX13" s="459"/>
      <c r="AY13" s="459"/>
      <c r="AZ13" s="459"/>
      <c r="BA13" s="459"/>
      <c r="BB13" s="459"/>
      <c r="BC13" s="459"/>
      <c r="BD13" s="459"/>
      <c r="BE13" s="459"/>
      <c r="BF13" s="459"/>
      <c r="BG13" s="460"/>
    </row>
    <row r="14" spans="5:59" ht="9.75" customHeight="1">
      <c r="E14" s="472" t="str">
        <f>D200</f>
        <v>CSE: Situation is tense due to the ongoing forced outage of Sils-Soazza. To manage constraints on 380 kV grid on IT - CH border, a pentalateral reduction of 300 MW is needed. (To manage overloads on the Swiss 220 kV grid after this incident, an increase of this amount up to 1000 MW might be requested).</v>
      </c>
      <c r="F14" s="473"/>
      <c r="G14" s="473"/>
      <c r="H14" s="473"/>
      <c r="I14" s="473"/>
      <c r="J14" s="473"/>
      <c r="K14" s="473"/>
      <c r="L14" s="473"/>
      <c r="M14" s="473"/>
      <c r="N14" s="473"/>
      <c r="O14" s="473"/>
      <c r="P14" s="473"/>
      <c r="Q14" s="473"/>
      <c r="R14" s="473"/>
      <c r="S14" s="473"/>
      <c r="T14" s="473"/>
      <c r="U14" s="473"/>
      <c r="V14" s="473"/>
      <c r="W14" s="473"/>
      <c r="X14" s="473"/>
      <c r="Y14" s="473"/>
      <c r="Z14" s="473"/>
      <c r="AA14" s="473"/>
      <c r="AB14" s="473"/>
      <c r="AC14" s="473"/>
      <c r="AD14" s="473"/>
      <c r="AE14" s="473"/>
      <c r="AF14" s="473"/>
      <c r="AG14" s="473"/>
      <c r="AH14" s="473"/>
      <c r="AI14" s="473"/>
      <c r="AJ14" s="473"/>
      <c r="AK14" s="473"/>
      <c r="AL14" s="473"/>
      <c r="AM14" s="473"/>
      <c r="AN14" s="473"/>
      <c r="AO14" s="473"/>
      <c r="AP14" s="473"/>
      <c r="AQ14" s="473"/>
      <c r="AR14" s="473"/>
      <c r="AS14" s="473"/>
      <c r="AT14" s="473"/>
      <c r="AU14" s="473"/>
      <c r="AV14" s="473"/>
      <c r="AW14" s="473"/>
      <c r="AX14" s="473"/>
      <c r="AY14" s="473"/>
      <c r="AZ14" s="473"/>
      <c r="BA14" s="473"/>
      <c r="BB14" s="473"/>
      <c r="BC14" s="473"/>
      <c r="BD14" s="473"/>
      <c r="BE14" s="473"/>
      <c r="BF14" s="473"/>
      <c r="BG14" s="474"/>
    </row>
    <row r="15" spans="5:59" ht="36" customHeight="1" thickBot="1">
      <c r="E15" s="475"/>
      <c r="F15" s="476"/>
      <c r="G15" s="476"/>
      <c r="H15" s="476"/>
      <c r="I15" s="476"/>
      <c r="J15" s="476"/>
      <c r="K15" s="476"/>
      <c r="L15" s="476"/>
      <c r="M15" s="476"/>
      <c r="N15" s="476"/>
      <c r="O15" s="476"/>
      <c r="P15" s="476"/>
      <c r="Q15" s="476"/>
      <c r="R15" s="476"/>
      <c r="S15" s="476"/>
      <c r="T15" s="476"/>
      <c r="U15" s="476"/>
      <c r="V15" s="476"/>
      <c r="W15" s="476"/>
      <c r="X15" s="476"/>
      <c r="Y15" s="476"/>
      <c r="Z15" s="476"/>
      <c r="AA15" s="476"/>
      <c r="AB15" s="476"/>
      <c r="AC15" s="476"/>
      <c r="AD15" s="476"/>
      <c r="AE15" s="476"/>
      <c r="AF15" s="476"/>
      <c r="AG15" s="476"/>
      <c r="AH15" s="476"/>
      <c r="AI15" s="476"/>
      <c r="AJ15" s="476"/>
      <c r="AK15" s="476"/>
      <c r="AL15" s="476"/>
      <c r="AM15" s="476"/>
      <c r="AN15" s="476"/>
      <c r="AO15" s="476"/>
      <c r="AP15" s="476"/>
      <c r="AQ15" s="476"/>
      <c r="AR15" s="476"/>
      <c r="AS15" s="476"/>
      <c r="AT15" s="476"/>
      <c r="AU15" s="476"/>
      <c r="AV15" s="476"/>
      <c r="AW15" s="476"/>
      <c r="AX15" s="476"/>
      <c r="AY15" s="476"/>
      <c r="AZ15" s="476"/>
      <c r="BA15" s="476"/>
      <c r="BB15" s="476"/>
      <c r="BC15" s="476"/>
      <c r="BD15" s="476"/>
      <c r="BE15" s="476"/>
      <c r="BF15" s="476"/>
      <c r="BG15" s="477"/>
    </row>
    <row r="16" spans="5:59" ht="15.75" customHeight="1">
      <c r="O16" s="67"/>
    </row>
    <row r="17" spans="11:60" ht="16.5" customHeight="1">
      <c r="K17" s="462" t="str">
        <f>D43</f>
        <v>Key overall conditions</v>
      </c>
      <c r="L17" s="462"/>
      <c r="M17" s="462"/>
      <c r="N17" s="462"/>
      <c r="O17" s="462"/>
      <c r="P17" s="462"/>
      <c r="Q17" s="462"/>
      <c r="R17" s="462"/>
      <c r="S17" s="462"/>
      <c r="T17" s="462"/>
      <c r="U17" s="462"/>
      <c r="V17" s="462"/>
      <c r="W17" s="462"/>
      <c r="X17" s="462"/>
      <c r="Y17" s="462"/>
      <c r="Z17" s="462"/>
      <c r="AA17" s="462"/>
      <c r="AB17" s="462"/>
      <c r="AC17" s="462"/>
      <c r="AD17" s="462"/>
      <c r="AE17" s="462"/>
      <c r="AF17" s="462"/>
      <c r="AG17" s="462"/>
      <c r="AH17" s="462"/>
      <c r="AI17" s="462"/>
      <c r="AJ17" s="462"/>
      <c r="AK17" s="462"/>
      <c r="AL17" s="462"/>
      <c r="AM17" s="462"/>
      <c r="AN17" s="462"/>
      <c r="AO17" s="462"/>
      <c r="AP17" s="462"/>
      <c r="AQ17" s="462"/>
      <c r="AR17" s="462"/>
      <c r="AS17" s="462"/>
      <c r="AT17" s="462"/>
      <c r="AU17" s="462"/>
      <c r="AV17" s="462"/>
      <c r="AW17" s="462"/>
      <c r="AX17" s="462"/>
      <c r="AY17" s="462"/>
      <c r="AZ17" s="462"/>
      <c r="BA17" s="462"/>
      <c r="BB17" s="462"/>
      <c r="BC17" s="462"/>
      <c r="BD17" s="462"/>
      <c r="BE17" s="462"/>
      <c r="BF17" s="462"/>
      <c r="BG17" s="462"/>
      <c r="BH17" s="68"/>
    </row>
    <row r="18" spans="11:60" ht="16.5" customHeight="1">
      <c r="K18" s="461" t="s">
        <v>131</v>
      </c>
      <c r="L18" s="461"/>
      <c r="M18" s="461"/>
      <c r="N18" s="461"/>
      <c r="O18" s="461"/>
      <c r="P18" s="461"/>
      <c r="Q18" s="461"/>
      <c r="R18" s="461"/>
      <c r="S18" s="461"/>
      <c r="T18" s="461"/>
      <c r="U18" s="461"/>
      <c r="V18" s="461"/>
      <c r="W18" s="461"/>
      <c r="X18" s="461"/>
      <c r="Y18" s="461"/>
      <c r="Z18" s="461"/>
      <c r="AA18" s="461"/>
      <c r="AB18" s="461"/>
      <c r="AC18" s="461"/>
      <c r="AD18" s="461"/>
      <c r="AE18" s="461"/>
      <c r="AF18" s="461"/>
      <c r="AG18" s="461"/>
      <c r="AH18" s="461"/>
      <c r="AI18" s="461"/>
      <c r="AJ18" s="461"/>
      <c r="AK18" s="461"/>
      <c r="AL18" s="461"/>
      <c r="AM18" s="461"/>
      <c r="AN18" s="461"/>
      <c r="AO18" s="461"/>
      <c r="AP18" s="461"/>
      <c r="AQ18" s="461"/>
      <c r="AR18" s="461"/>
      <c r="AS18" s="461"/>
      <c r="AT18" s="461"/>
      <c r="AU18" s="461"/>
      <c r="AV18" s="461"/>
      <c r="AW18" s="461"/>
      <c r="AX18" s="461"/>
      <c r="AY18" s="461"/>
      <c r="AZ18" s="461"/>
      <c r="BA18" s="461"/>
      <c r="BB18" s="461"/>
      <c r="BC18" s="461"/>
      <c r="BD18" s="461"/>
      <c r="BE18" s="461"/>
      <c r="BF18" s="461"/>
      <c r="BG18" s="461"/>
      <c r="BH18" s="68"/>
    </row>
    <row r="19" spans="11:60" ht="16.5" customHeight="1">
      <c r="K19" s="461" t="s">
        <v>3</v>
      </c>
      <c r="L19" s="461"/>
      <c r="M19" s="461"/>
      <c r="N19" s="461"/>
      <c r="O19" s="461"/>
      <c r="P19" s="461"/>
      <c r="Q19" s="461"/>
      <c r="R19" s="461"/>
      <c r="S19" s="461"/>
      <c r="T19" s="461"/>
      <c r="U19" s="461"/>
      <c r="V19" s="461"/>
      <c r="W19" s="461"/>
      <c r="X19" s="461"/>
      <c r="Y19" s="461"/>
      <c r="Z19" s="461"/>
      <c r="AA19" s="461"/>
      <c r="AB19" s="461"/>
      <c r="AC19" s="461"/>
      <c r="AD19" s="461"/>
      <c r="AE19" s="461"/>
      <c r="AF19" s="461"/>
      <c r="AG19" s="461"/>
      <c r="AH19" s="461"/>
      <c r="AI19" s="461"/>
      <c r="AJ19" s="461"/>
      <c r="AK19" s="461"/>
      <c r="AL19" s="461"/>
      <c r="AM19" s="461"/>
      <c r="AN19" s="461"/>
      <c r="AO19" s="461"/>
      <c r="AP19" s="461"/>
      <c r="AQ19" s="461"/>
      <c r="AR19" s="461"/>
      <c r="AS19" s="461"/>
      <c r="AT19" s="461"/>
      <c r="AU19" s="461"/>
      <c r="AV19" s="461"/>
      <c r="AW19" s="461"/>
      <c r="AX19" s="461"/>
      <c r="AY19" s="461"/>
      <c r="AZ19" s="461"/>
      <c r="BA19" s="461"/>
      <c r="BB19" s="461"/>
      <c r="BC19" s="461"/>
      <c r="BD19" s="461"/>
      <c r="BE19" s="461"/>
      <c r="BF19" s="461"/>
      <c r="BG19" s="461"/>
      <c r="BH19" s="68"/>
    </row>
    <row r="20" spans="11:60" ht="16.5" customHeight="1">
      <c r="K20" s="461" t="s">
        <v>132</v>
      </c>
      <c r="L20" s="461"/>
      <c r="M20" s="461"/>
      <c r="N20" s="461"/>
      <c r="O20" s="461"/>
      <c r="P20" s="461"/>
      <c r="Q20" s="461"/>
      <c r="R20" s="461"/>
      <c r="S20" s="461"/>
      <c r="T20" s="461"/>
      <c r="U20" s="461"/>
      <c r="V20" s="461"/>
      <c r="W20" s="461"/>
      <c r="X20" s="461"/>
      <c r="Y20" s="461"/>
      <c r="Z20" s="461"/>
      <c r="AA20" s="461"/>
      <c r="AB20" s="461"/>
      <c r="AC20" s="461"/>
      <c r="AD20" s="461"/>
      <c r="AE20" s="461"/>
      <c r="AF20" s="461"/>
      <c r="AG20" s="461"/>
      <c r="AH20" s="461"/>
      <c r="AI20" s="461"/>
      <c r="AJ20" s="461"/>
      <c r="AK20" s="461"/>
      <c r="AL20" s="461"/>
      <c r="AM20" s="461"/>
      <c r="AN20" s="461"/>
      <c r="AO20" s="461"/>
      <c r="AP20" s="461"/>
      <c r="AQ20" s="461"/>
      <c r="AR20" s="461"/>
      <c r="AS20" s="461"/>
      <c r="AT20" s="461"/>
      <c r="AU20" s="461"/>
      <c r="AV20" s="461"/>
      <c r="AW20" s="461"/>
      <c r="AX20" s="461"/>
      <c r="AY20" s="461"/>
      <c r="AZ20" s="461"/>
      <c r="BA20" s="461"/>
      <c r="BB20" s="461"/>
      <c r="BC20" s="461"/>
      <c r="BD20" s="461"/>
      <c r="BE20" s="461"/>
      <c r="BF20" s="461"/>
      <c r="BG20" s="461"/>
      <c r="BH20" s="68"/>
    </row>
    <row r="21" spans="11:60" ht="16.5" customHeight="1">
      <c r="K21" s="461" t="s">
        <v>133</v>
      </c>
      <c r="L21" s="461"/>
      <c r="M21" s="461"/>
      <c r="N21" s="461"/>
      <c r="O21" s="461"/>
      <c r="P21" s="461"/>
      <c r="Q21" s="461"/>
      <c r="R21" s="461"/>
      <c r="S21" s="461"/>
      <c r="T21" s="461"/>
      <c r="U21" s="461"/>
      <c r="V21" s="461"/>
      <c r="W21" s="461"/>
      <c r="X21" s="461"/>
      <c r="Y21" s="461"/>
      <c r="Z21" s="461"/>
      <c r="AA21" s="461"/>
      <c r="AB21" s="461"/>
      <c r="AC21" s="461"/>
      <c r="AD21" s="461"/>
      <c r="AE21" s="461"/>
      <c r="AF21" s="461"/>
      <c r="AG21" s="461"/>
      <c r="AH21" s="461"/>
      <c r="AI21" s="461"/>
      <c r="AJ21" s="461"/>
      <c r="AK21" s="461"/>
      <c r="AL21" s="461"/>
      <c r="AM21" s="461"/>
      <c r="AN21" s="461"/>
      <c r="AO21" s="461"/>
      <c r="AP21" s="461"/>
      <c r="AQ21" s="461"/>
      <c r="AR21" s="461"/>
      <c r="AS21" s="461"/>
      <c r="AT21" s="461"/>
      <c r="AU21" s="461"/>
      <c r="AV21" s="461"/>
      <c r="AW21" s="461"/>
      <c r="AX21" s="461"/>
      <c r="AY21" s="461"/>
      <c r="AZ21" s="461"/>
      <c r="BA21" s="461"/>
      <c r="BB21" s="461"/>
      <c r="BC21" s="461"/>
      <c r="BD21" s="461"/>
      <c r="BE21" s="461"/>
      <c r="BF21" s="461"/>
      <c r="BG21" s="461"/>
      <c r="BH21" s="68"/>
    </row>
    <row r="22" spans="11:60" ht="16.5" customHeight="1">
      <c r="K22" s="461" t="s">
        <v>4</v>
      </c>
      <c r="L22" s="461"/>
      <c r="M22" s="461"/>
      <c r="N22" s="461"/>
      <c r="O22" s="461"/>
      <c r="P22" s="461"/>
      <c r="Q22" s="461"/>
      <c r="R22" s="461"/>
      <c r="S22" s="461"/>
      <c r="T22" s="461"/>
      <c r="U22" s="461"/>
      <c r="V22" s="461"/>
      <c r="W22" s="461"/>
      <c r="X22" s="461"/>
      <c r="Y22" s="461"/>
      <c r="Z22" s="461"/>
      <c r="AA22" s="461"/>
      <c r="AB22" s="461"/>
      <c r="AC22" s="461"/>
      <c r="AD22" s="461"/>
      <c r="AE22" s="461"/>
      <c r="AF22" s="461"/>
      <c r="AG22" s="461"/>
      <c r="AH22" s="461"/>
      <c r="AI22" s="461"/>
      <c r="AJ22" s="461"/>
      <c r="AK22" s="461"/>
      <c r="AL22" s="461"/>
      <c r="AM22" s="461"/>
      <c r="AN22" s="461"/>
      <c r="AO22" s="461"/>
      <c r="AP22" s="461"/>
      <c r="AQ22" s="461"/>
      <c r="AR22" s="461"/>
      <c r="AS22" s="461"/>
      <c r="AT22" s="461"/>
      <c r="AU22" s="461"/>
      <c r="AV22" s="461"/>
      <c r="AW22" s="461"/>
      <c r="AX22" s="461"/>
      <c r="AY22" s="461"/>
      <c r="AZ22" s="461"/>
      <c r="BA22" s="461"/>
      <c r="BB22" s="461"/>
      <c r="BC22" s="461"/>
      <c r="BD22" s="461"/>
      <c r="BE22" s="461"/>
      <c r="BF22" s="461"/>
      <c r="BG22" s="461"/>
      <c r="BH22" s="68"/>
    </row>
    <row r="23" spans="11:60" ht="16.5" customHeight="1">
      <c r="K23" s="461" t="s">
        <v>134</v>
      </c>
      <c r="L23" s="461"/>
      <c r="M23" s="461"/>
      <c r="N23" s="461"/>
      <c r="O23" s="461"/>
      <c r="P23" s="461"/>
      <c r="Q23" s="461"/>
      <c r="R23" s="461"/>
      <c r="S23" s="461"/>
      <c r="T23" s="461"/>
      <c r="U23" s="461"/>
      <c r="V23" s="461"/>
      <c r="W23" s="461"/>
      <c r="X23" s="461"/>
      <c r="Y23" s="461"/>
      <c r="Z23" s="461"/>
      <c r="AA23" s="461"/>
      <c r="AB23" s="461"/>
      <c r="AC23" s="461"/>
      <c r="AD23" s="461"/>
      <c r="AE23" s="461"/>
      <c r="AF23" s="461"/>
      <c r="AG23" s="461"/>
      <c r="AH23" s="461"/>
      <c r="AI23" s="461"/>
      <c r="AJ23" s="461"/>
      <c r="AK23" s="461"/>
      <c r="AL23" s="461"/>
      <c r="AM23" s="461"/>
      <c r="AN23" s="461"/>
      <c r="AO23" s="461"/>
      <c r="AP23" s="461"/>
      <c r="AQ23" s="461"/>
      <c r="AR23" s="461"/>
      <c r="AS23" s="461"/>
      <c r="AT23" s="461"/>
      <c r="AU23" s="461"/>
      <c r="AV23" s="461"/>
      <c r="AW23" s="461"/>
      <c r="AX23" s="461"/>
      <c r="AY23" s="461"/>
      <c r="AZ23" s="461"/>
      <c r="BA23" s="461"/>
      <c r="BB23" s="461"/>
      <c r="BC23" s="461"/>
      <c r="BD23" s="461"/>
      <c r="BE23" s="461"/>
      <c r="BF23" s="461"/>
      <c r="BG23" s="461"/>
      <c r="BH23" s="68"/>
    </row>
    <row r="24" spans="11:60" ht="16.5" customHeight="1">
      <c r="K24" s="461" t="s">
        <v>135</v>
      </c>
      <c r="L24" s="461"/>
      <c r="M24" s="461"/>
      <c r="N24" s="461"/>
      <c r="O24" s="461"/>
      <c r="P24" s="461"/>
      <c r="Q24" s="461"/>
      <c r="R24" s="461"/>
      <c r="S24" s="461"/>
      <c r="T24" s="461"/>
      <c r="U24" s="461"/>
      <c r="V24" s="461"/>
      <c r="W24" s="461"/>
      <c r="X24" s="461"/>
      <c r="Y24" s="461"/>
      <c r="Z24" s="461"/>
      <c r="AA24" s="461"/>
      <c r="AB24" s="461"/>
      <c r="AC24" s="461"/>
      <c r="AD24" s="461"/>
      <c r="AE24" s="461"/>
      <c r="AF24" s="461"/>
      <c r="AG24" s="461"/>
      <c r="AH24" s="461"/>
      <c r="AI24" s="461"/>
      <c r="AJ24" s="461"/>
      <c r="AK24" s="461"/>
      <c r="AL24" s="461"/>
      <c r="AM24" s="461"/>
      <c r="AN24" s="461"/>
      <c r="AO24" s="461"/>
      <c r="AP24" s="461"/>
      <c r="AQ24" s="461"/>
      <c r="AR24" s="461"/>
      <c r="AS24" s="461"/>
      <c r="AT24" s="461"/>
      <c r="AU24" s="461"/>
      <c r="AV24" s="461"/>
      <c r="AW24" s="461"/>
      <c r="AX24" s="461"/>
      <c r="AY24" s="461"/>
      <c r="AZ24" s="461"/>
      <c r="BA24" s="461"/>
      <c r="BB24" s="461"/>
      <c r="BC24" s="461"/>
      <c r="BD24" s="461"/>
      <c r="BE24" s="461"/>
      <c r="BF24" s="461"/>
      <c r="BG24" s="461"/>
      <c r="BH24" s="68"/>
    </row>
    <row r="25" spans="11:60" ht="16.5" customHeight="1">
      <c r="K25" s="461" t="s">
        <v>136</v>
      </c>
      <c r="L25" s="461"/>
      <c r="M25" s="461"/>
      <c r="N25" s="461"/>
      <c r="O25" s="461"/>
      <c r="P25" s="461"/>
      <c r="Q25" s="461"/>
      <c r="R25" s="461"/>
      <c r="S25" s="461"/>
      <c r="T25" s="461"/>
      <c r="U25" s="461"/>
      <c r="V25" s="461"/>
      <c r="W25" s="461"/>
      <c r="X25" s="461"/>
      <c r="Y25" s="461"/>
      <c r="Z25" s="461"/>
      <c r="AA25" s="461"/>
      <c r="AB25" s="461"/>
      <c r="AC25" s="461"/>
      <c r="AD25" s="461"/>
      <c r="AE25" s="461"/>
      <c r="AF25" s="461"/>
      <c r="AG25" s="461"/>
      <c r="AH25" s="461"/>
      <c r="AI25" s="461"/>
      <c r="AJ25" s="461"/>
      <c r="AK25" s="461"/>
      <c r="AL25" s="461"/>
      <c r="AM25" s="461"/>
      <c r="AN25" s="461"/>
      <c r="AO25" s="461"/>
      <c r="AP25" s="461"/>
      <c r="AQ25" s="461"/>
      <c r="AR25" s="461"/>
      <c r="AS25" s="461"/>
      <c r="AT25" s="461"/>
      <c r="AU25" s="461"/>
      <c r="AV25" s="461"/>
      <c r="AW25" s="461"/>
      <c r="AX25" s="461"/>
      <c r="AY25" s="461"/>
      <c r="AZ25" s="461"/>
      <c r="BA25" s="461"/>
      <c r="BB25" s="461"/>
      <c r="BC25" s="461"/>
      <c r="BD25" s="461"/>
      <c r="BE25" s="461"/>
      <c r="BF25" s="461"/>
      <c r="BG25" s="461"/>
      <c r="BH25" s="68"/>
    </row>
    <row r="26" spans="11:60" ht="16.5" customHeight="1">
      <c r="K26" s="109"/>
      <c r="L26" s="482" t="s">
        <v>137</v>
      </c>
      <c r="M26" s="482"/>
      <c r="N26" s="482"/>
      <c r="O26" s="482"/>
      <c r="P26" s="482"/>
      <c r="Q26" s="482"/>
      <c r="R26" s="482"/>
      <c r="S26" s="482"/>
      <c r="T26" s="482"/>
      <c r="U26" s="482"/>
      <c r="V26" s="482"/>
      <c r="W26" s="482"/>
      <c r="X26" s="482"/>
      <c r="Y26" s="482"/>
      <c r="Z26" s="482"/>
      <c r="AA26" s="482"/>
      <c r="AB26" s="482"/>
      <c r="AC26" s="482"/>
      <c r="AD26" s="482"/>
      <c r="AE26" s="482"/>
      <c r="AF26" s="482"/>
      <c r="AG26" s="482"/>
      <c r="AH26" s="482"/>
      <c r="AI26" s="482"/>
      <c r="AJ26" s="482"/>
      <c r="AK26" s="482"/>
      <c r="AL26" s="482"/>
      <c r="AM26" s="482"/>
      <c r="AN26" s="482"/>
      <c r="AO26" s="482"/>
      <c r="AP26" s="482"/>
      <c r="AQ26" s="482"/>
      <c r="AR26" s="482"/>
      <c r="AS26" s="482"/>
      <c r="AT26" s="482"/>
      <c r="AU26" s="482"/>
      <c r="AV26" s="482"/>
      <c r="AW26" s="482"/>
      <c r="AX26" s="482"/>
      <c r="AY26" s="482"/>
      <c r="AZ26" s="482"/>
      <c r="BA26" s="482"/>
      <c r="BB26" s="482"/>
      <c r="BC26" s="482"/>
      <c r="BD26" s="482"/>
      <c r="BE26" s="482"/>
      <c r="BF26" s="482"/>
      <c r="BG26" s="482"/>
      <c r="BH26" s="69"/>
    </row>
    <row r="27" spans="11:60" ht="29.25" customHeight="1">
      <c r="K27" s="109"/>
      <c r="L27" s="507" t="s">
        <v>188</v>
      </c>
      <c r="M27" s="482"/>
      <c r="N27" s="482"/>
      <c r="O27" s="482"/>
      <c r="P27" s="482"/>
      <c r="Q27" s="482"/>
      <c r="R27" s="482"/>
      <c r="S27" s="482"/>
      <c r="T27" s="482"/>
      <c r="U27" s="482"/>
      <c r="V27" s="482"/>
      <c r="W27" s="482"/>
      <c r="X27" s="482"/>
      <c r="Y27" s="482"/>
      <c r="Z27" s="482"/>
      <c r="AA27" s="482"/>
      <c r="AB27" s="482"/>
      <c r="AC27" s="482"/>
      <c r="AD27" s="482"/>
      <c r="AE27" s="482"/>
      <c r="AF27" s="482"/>
      <c r="AG27" s="482"/>
      <c r="AH27" s="482"/>
      <c r="AI27" s="482"/>
      <c r="AJ27" s="482"/>
      <c r="AK27" s="482"/>
      <c r="AL27" s="482"/>
      <c r="AM27" s="482"/>
      <c r="AN27" s="482"/>
      <c r="AO27" s="482"/>
      <c r="AP27" s="482"/>
      <c r="AQ27" s="482"/>
      <c r="AR27" s="482"/>
      <c r="AS27" s="482"/>
      <c r="AT27" s="482"/>
      <c r="AU27" s="482"/>
      <c r="AV27" s="482"/>
      <c r="AW27" s="482"/>
      <c r="AX27" s="482"/>
      <c r="AY27" s="482"/>
      <c r="AZ27" s="482"/>
      <c r="BA27" s="482"/>
      <c r="BB27" s="482"/>
      <c r="BC27" s="482"/>
      <c r="BD27" s="482"/>
      <c r="BE27" s="482"/>
      <c r="BF27" s="482"/>
      <c r="BG27" s="482"/>
      <c r="BH27" s="69"/>
    </row>
    <row r="28" spans="11:60" ht="16.5" customHeight="1">
      <c r="K28" s="109"/>
      <c r="L28" s="482" t="s">
        <v>138</v>
      </c>
      <c r="M28" s="482"/>
      <c r="N28" s="482"/>
      <c r="O28" s="482"/>
      <c r="P28" s="482"/>
      <c r="Q28" s="482"/>
      <c r="R28" s="482"/>
      <c r="S28" s="482"/>
      <c r="T28" s="482"/>
      <c r="U28" s="482"/>
      <c r="V28" s="482"/>
      <c r="W28" s="482"/>
      <c r="X28" s="482"/>
      <c r="Y28" s="482"/>
      <c r="Z28" s="482"/>
      <c r="AA28" s="482"/>
      <c r="AB28" s="482"/>
      <c r="AC28" s="482"/>
      <c r="AD28" s="482"/>
      <c r="AE28" s="482"/>
      <c r="AF28" s="482"/>
      <c r="AG28" s="482"/>
      <c r="AH28" s="482"/>
      <c r="AI28" s="482"/>
      <c r="AJ28" s="482"/>
      <c r="AK28" s="482"/>
      <c r="AL28" s="482"/>
      <c r="AM28" s="482"/>
      <c r="AN28" s="482"/>
      <c r="AO28" s="482"/>
      <c r="AP28" s="482"/>
      <c r="AQ28" s="482"/>
      <c r="AR28" s="482"/>
      <c r="AS28" s="482"/>
      <c r="AT28" s="482"/>
      <c r="AU28" s="482"/>
      <c r="AV28" s="482"/>
      <c r="AW28" s="482"/>
      <c r="AX28" s="482"/>
      <c r="AY28" s="482"/>
      <c r="AZ28" s="482"/>
      <c r="BA28" s="482"/>
      <c r="BB28" s="482"/>
      <c r="BC28" s="482"/>
      <c r="BD28" s="482"/>
      <c r="BE28" s="482"/>
      <c r="BF28" s="482"/>
      <c r="BG28" s="482"/>
      <c r="BH28" s="69"/>
    </row>
    <row r="29" spans="11:60" ht="16.5" customHeight="1">
      <c r="K29" s="109"/>
      <c r="L29" s="482" t="s">
        <v>139</v>
      </c>
      <c r="M29" s="482"/>
      <c r="N29" s="482"/>
      <c r="O29" s="482"/>
      <c r="P29" s="482"/>
      <c r="Q29" s="482"/>
      <c r="R29" s="482"/>
      <c r="S29" s="482"/>
      <c r="T29" s="482"/>
      <c r="U29" s="482"/>
      <c r="V29" s="482"/>
      <c r="W29" s="482"/>
      <c r="X29" s="482"/>
      <c r="Y29" s="482"/>
      <c r="Z29" s="482"/>
      <c r="AA29" s="482"/>
      <c r="AB29" s="482"/>
      <c r="AC29" s="482"/>
      <c r="AD29" s="482"/>
      <c r="AE29" s="482"/>
      <c r="AF29" s="482"/>
      <c r="AG29" s="482"/>
      <c r="AH29" s="482"/>
      <c r="AI29" s="482"/>
      <c r="AJ29" s="482"/>
      <c r="AK29" s="482"/>
      <c r="AL29" s="482"/>
      <c r="AM29" s="482"/>
      <c r="AN29" s="482"/>
      <c r="AO29" s="482"/>
      <c r="AP29" s="482"/>
      <c r="AQ29" s="482"/>
      <c r="AR29" s="482"/>
      <c r="AS29" s="482"/>
      <c r="AT29" s="482"/>
      <c r="AU29" s="482"/>
      <c r="AV29" s="482"/>
      <c r="AW29" s="482"/>
      <c r="AX29" s="482"/>
      <c r="AY29" s="482"/>
      <c r="AZ29" s="482"/>
      <c r="BA29" s="482"/>
      <c r="BB29" s="482"/>
      <c r="BC29" s="482"/>
      <c r="BD29" s="482"/>
      <c r="BE29" s="482"/>
      <c r="BF29" s="482"/>
      <c r="BG29" s="482"/>
      <c r="BH29" s="70"/>
    </row>
    <row r="30" spans="11:60" ht="16.5" customHeight="1">
      <c r="K30" s="109"/>
      <c r="L30" s="482" t="s">
        <v>140</v>
      </c>
      <c r="M30" s="482"/>
      <c r="N30" s="482"/>
      <c r="O30" s="482"/>
      <c r="P30" s="482"/>
      <c r="Q30" s="482"/>
      <c r="R30" s="482"/>
      <c r="S30" s="482"/>
      <c r="T30" s="482"/>
      <c r="U30" s="482"/>
      <c r="V30" s="482"/>
      <c r="W30" s="482"/>
      <c r="X30" s="482"/>
      <c r="Y30" s="482"/>
      <c r="Z30" s="482"/>
      <c r="AA30" s="482"/>
      <c r="AB30" s="482"/>
      <c r="AC30" s="482"/>
      <c r="AD30" s="482"/>
      <c r="AE30" s="482"/>
      <c r="AF30" s="482"/>
      <c r="AG30" s="482"/>
      <c r="AH30" s="482"/>
      <c r="AI30" s="482"/>
      <c r="AJ30" s="482"/>
      <c r="AK30" s="482"/>
      <c r="AL30" s="482"/>
      <c r="AM30" s="482"/>
      <c r="AN30" s="482"/>
      <c r="AO30" s="482"/>
      <c r="AP30" s="482"/>
      <c r="AQ30" s="482"/>
      <c r="AR30" s="482"/>
      <c r="AS30" s="482"/>
      <c r="AT30" s="482"/>
      <c r="AU30" s="482"/>
      <c r="AV30" s="482"/>
      <c r="AW30" s="482"/>
      <c r="AX30" s="482"/>
      <c r="AY30" s="482"/>
      <c r="AZ30" s="482"/>
      <c r="BA30" s="482"/>
      <c r="BB30" s="482"/>
      <c r="BC30" s="482"/>
      <c r="BD30" s="482"/>
      <c r="BE30" s="482"/>
      <c r="BF30" s="482"/>
      <c r="BG30" s="482"/>
      <c r="BH30" s="70"/>
    </row>
    <row r="31" spans="11:60" ht="16.5" customHeight="1">
      <c r="K31" s="462" t="str">
        <f>D80</f>
        <v>South analyses results</v>
      </c>
      <c r="L31" s="462"/>
      <c r="M31" s="462"/>
      <c r="N31" s="462"/>
      <c r="O31" s="462"/>
      <c r="P31" s="462"/>
      <c r="Q31" s="462"/>
      <c r="R31" s="462"/>
      <c r="S31" s="462"/>
      <c r="T31" s="462"/>
      <c r="U31" s="462"/>
      <c r="V31" s="462"/>
      <c r="W31" s="462"/>
      <c r="X31" s="462"/>
      <c r="Y31" s="462"/>
      <c r="Z31" s="462"/>
      <c r="AA31" s="462"/>
      <c r="AB31" s="462"/>
      <c r="AC31" s="462"/>
      <c r="AD31" s="462"/>
      <c r="AE31" s="462"/>
      <c r="AF31" s="462"/>
      <c r="AG31" s="462"/>
      <c r="AH31" s="462"/>
      <c r="AI31" s="462"/>
      <c r="AJ31" s="462"/>
      <c r="AK31" s="462"/>
      <c r="AL31" s="462"/>
      <c r="AM31" s="462"/>
      <c r="AN31" s="462"/>
      <c r="AO31" s="462"/>
      <c r="AP31" s="462"/>
      <c r="AQ31" s="462"/>
      <c r="AR31" s="462"/>
      <c r="AS31" s="462"/>
      <c r="AT31" s="462"/>
      <c r="AU31" s="462"/>
      <c r="AV31" s="462"/>
      <c r="AW31" s="462"/>
      <c r="AX31" s="462"/>
      <c r="AY31" s="462"/>
      <c r="AZ31" s="462"/>
      <c r="BA31" s="462"/>
      <c r="BB31" s="462"/>
      <c r="BC31" s="462"/>
      <c r="BD31" s="462"/>
      <c r="BE31" s="462"/>
      <c r="BF31" s="462"/>
      <c r="BG31" s="462"/>
      <c r="BH31" s="71"/>
    </row>
    <row r="32" spans="11:60" ht="16.5" customHeight="1">
      <c r="K32" s="462" t="str">
        <f>D121</f>
        <v>N state flows Off-Peak &amp; Peak</v>
      </c>
      <c r="L32" s="462"/>
      <c r="M32" s="462"/>
      <c r="N32" s="462"/>
      <c r="O32" s="462"/>
      <c r="P32" s="462"/>
      <c r="Q32" s="462"/>
      <c r="R32" s="462"/>
      <c r="S32" s="462"/>
      <c r="T32" s="462"/>
      <c r="U32" s="462"/>
      <c r="V32" s="462"/>
      <c r="W32" s="462"/>
      <c r="X32" s="462"/>
      <c r="Y32" s="462"/>
      <c r="Z32" s="462"/>
      <c r="AA32" s="462"/>
      <c r="AB32" s="462"/>
      <c r="AC32" s="462"/>
      <c r="AD32" s="462"/>
      <c r="AE32" s="462"/>
      <c r="AF32" s="462"/>
      <c r="AG32" s="462"/>
      <c r="AH32" s="462"/>
      <c r="AI32" s="462"/>
      <c r="AJ32" s="462"/>
      <c r="AK32" s="462"/>
      <c r="AL32" s="462"/>
      <c r="AM32" s="462"/>
      <c r="AN32" s="462"/>
      <c r="AO32" s="462"/>
      <c r="AP32" s="462"/>
      <c r="AQ32" s="462"/>
      <c r="AR32" s="462"/>
      <c r="AS32" s="462"/>
      <c r="AT32" s="462"/>
      <c r="AU32" s="462"/>
      <c r="AV32" s="462"/>
      <c r="AW32" s="462"/>
      <c r="AX32" s="462"/>
      <c r="AY32" s="462"/>
      <c r="AZ32" s="462"/>
      <c r="BA32" s="462"/>
      <c r="BB32" s="462"/>
      <c r="BC32" s="462"/>
      <c r="BD32" s="462"/>
      <c r="BE32" s="462"/>
      <c r="BF32" s="462"/>
      <c r="BG32" s="462"/>
      <c r="BH32" s="71"/>
    </row>
    <row r="33" spans="4:60" ht="16.5" customHeight="1">
      <c r="K33" s="462" t="str">
        <f>D100</f>
        <v>Special topologies</v>
      </c>
      <c r="L33" s="462"/>
      <c r="M33" s="462"/>
      <c r="N33" s="462"/>
      <c r="O33" s="462"/>
      <c r="P33" s="462"/>
      <c r="Q33" s="462"/>
      <c r="R33" s="462"/>
      <c r="S33" s="462"/>
      <c r="T33" s="462"/>
      <c r="U33" s="462"/>
      <c r="V33" s="462"/>
      <c r="W33" s="462"/>
      <c r="X33" s="462"/>
      <c r="Y33" s="462"/>
      <c r="Z33" s="462"/>
      <c r="AA33" s="462"/>
      <c r="AB33" s="462"/>
      <c r="AC33" s="462"/>
      <c r="AD33" s="462"/>
      <c r="AE33" s="462"/>
      <c r="AF33" s="462"/>
      <c r="AG33" s="462"/>
      <c r="AH33" s="462"/>
      <c r="AI33" s="462"/>
      <c r="AJ33" s="462"/>
      <c r="AK33" s="462"/>
      <c r="AL33" s="462"/>
      <c r="AM33" s="462"/>
      <c r="AN33" s="462"/>
      <c r="AO33" s="462"/>
      <c r="AP33" s="462"/>
      <c r="AQ33" s="462"/>
      <c r="AR33" s="462"/>
      <c r="AS33" s="462"/>
      <c r="AT33" s="462"/>
      <c r="AU33" s="462"/>
      <c r="AV33" s="462"/>
      <c r="AW33" s="462"/>
      <c r="AX33" s="462"/>
      <c r="AY33" s="462"/>
      <c r="AZ33" s="462"/>
      <c r="BA33" s="462"/>
      <c r="BB33" s="462"/>
      <c r="BC33" s="462"/>
      <c r="BD33" s="462"/>
      <c r="BE33" s="462"/>
      <c r="BF33" s="462"/>
      <c r="BG33" s="462"/>
      <c r="BH33" s="71"/>
    </row>
    <row r="34" spans="4:60" ht="16.5" customHeight="1">
      <c r="K34" s="65"/>
      <c r="L34" s="464" t="str">
        <f>D148</f>
        <v>Sensitivity coefficients for the Pentalateral instruction</v>
      </c>
      <c r="M34" s="464"/>
      <c r="N34" s="464"/>
      <c r="O34" s="464"/>
      <c r="P34" s="464"/>
      <c r="Q34" s="464"/>
      <c r="R34" s="464"/>
      <c r="S34" s="464"/>
      <c r="T34" s="464"/>
      <c r="U34" s="464"/>
      <c r="V34" s="464"/>
      <c r="W34" s="464"/>
      <c r="X34" s="464"/>
      <c r="Y34" s="464"/>
      <c r="Z34" s="464"/>
      <c r="AA34" s="464"/>
      <c r="AB34" s="464"/>
      <c r="AC34" s="464"/>
      <c r="AD34" s="464"/>
      <c r="AE34" s="464"/>
      <c r="AF34" s="464"/>
      <c r="AG34" s="464"/>
      <c r="AH34" s="464"/>
      <c r="AI34" s="464"/>
      <c r="AJ34" s="464"/>
      <c r="AK34" s="464"/>
      <c r="AL34" s="464"/>
      <c r="AM34" s="464"/>
      <c r="AN34" s="464"/>
      <c r="AO34" s="464"/>
      <c r="AP34" s="464"/>
      <c r="AQ34" s="464"/>
      <c r="AR34" s="464"/>
      <c r="AS34" s="464"/>
      <c r="AT34" s="464"/>
      <c r="AU34" s="464"/>
      <c r="AV34" s="464"/>
      <c r="AW34" s="464"/>
      <c r="AX34" s="464"/>
      <c r="AY34" s="464"/>
      <c r="AZ34" s="464"/>
      <c r="BA34" s="464"/>
      <c r="BB34" s="464"/>
      <c r="BC34" s="464"/>
      <c r="BD34" s="464"/>
      <c r="BE34" s="464"/>
      <c r="BF34" s="464"/>
      <c r="BG34" s="464"/>
      <c r="BH34" s="72"/>
    </row>
    <row r="35" spans="4:60" ht="16.5" customHeight="1">
      <c r="K35" s="87"/>
      <c r="L35" s="463" t="s">
        <v>203</v>
      </c>
      <c r="M35" s="464"/>
      <c r="N35" s="464"/>
      <c r="O35" s="464"/>
      <c r="P35" s="464"/>
      <c r="Q35" s="464"/>
      <c r="R35" s="464"/>
      <c r="S35" s="464"/>
      <c r="T35" s="464"/>
      <c r="U35" s="464"/>
      <c r="V35" s="464"/>
      <c r="W35" s="464"/>
      <c r="X35" s="464"/>
      <c r="Y35" s="464"/>
      <c r="Z35" s="464"/>
      <c r="AA35" s="464"/>
      <c r="AB35" s="464"/>
      <c r="AC35" s="464"/>
      <c r="AD35" s="464"/>
      <c r="AE35" s="464"/>
      <c r="AF35" s="464"/>
      <c r="AG35" s="464"/>
      <c r="AH35" s="464"/>
      <c r="AI35" s="464"/>
      <c r="AJ35" s="464"/>
      <c r="AK35" s="464"/>
      <c r="AL35" s="464"/>
      <c r="AM35" s="464"/>
      <c r="AN35" s="464"/>
      <c r="AO35" s="464"/>
      <c r="AP35" s="464"/>
      <c r="AQ35" s="464"/>
      <c r="AR35" s="464"/>
      <c r="AS35" s="464"/>
      <c r="AT35" s="464"/>
      <c r="AU35" s="464"/>
      <c r="AV35" s="464"/>
      <c r="AW35" s="464"/>
      <c r="AX35" s="464"/>
      <c r="AY35" s="464"/>
      <c r="AZ35" s="464"/>
      <c r="BA35" s="464"/>
      <c r="BB35" s="464"/>
      <c r="BC35" s="464"/>
      <c r="BD35" s="464"/>
      <c r="BE35" s="464"/>
      <c r="BF35" s="464"/>
      <c r="BG35" s="464"/>
      <c r="BH35" s="70"/>
    </row>
    <row r="36" spans="4:60" ht="16.5" customHeight="1">
      <c r="K36" s="87"/>
      <c r="L36" s="464" t="str">
        <f>D183</f>
        <v>Final PSTs settings</v>
      </c>
      <c r="M36" s="464"/>
      <c r="N36" s="464"/>
      <c r="O36" s="464"/>
      <c r="P36" s="464"/>
      <c r="Q36" s="464"/>
      <c r="R36" s="464"/>
      <c r="S36" s="464"/>
      <c r="T36" s="464"/>
      <c r="U36" s="464"/>
      <c r="V36" s="464"/>
      <c r="W36" s="464"/>
      <c r="X36" s="464"/>
      <c r="Y36" s="464"/>
      <c r="Z36" s="464"/>
      <c r="AA36" s="464"/>
      <c r="AB36" s="464"/>
      <c r="AC36" s="464"/>
      <c r="AD36" s="464"/>
      <c r="AE36" s="464"/>
      <c r="AF36" s="464"/>
      <c r="AG36" s="464"/>
      <c r="AH36" s="464"/>
      <c r="AI36" s="464"/>
      <c r="AJ36" s="464"/>
      <c r="AK36" s="464"/>
      <c r="AL36" s="464"/>
      <c r="AM36" s="464"/>
      <c r="AN36" s="464"/>
      <c r="AO36" s="464"/>
      <c r="AP36" s="464"/>
      <c r="AQ36" s="464"/>
      <c r="AR36" s="464"/>
      <c r="AS36" s="464"/>
      <c r="AT36" s="464"/>
      <c r="AU36" s="464"/>
      <c r="AV36" s="464"/>
      <c r="AW36" s="464"/>
      <c r="AX36" s="464"/>
      <c r="AY36" s="464"/>
      <c r="AZ36" s="464"/>
      <c r="BA36" s="464"/>
      <c r="BB36" s="464"/>
      <c r="BC36" s="464"/>
      <c r="BD36" s="464"/>
      <c r="BE36" s="464"/>
      <c r="BF36" s="464"/>
      <c r="BG36" s="464"/>
      <c r="BH36" s="70"/>
    </row>
    <row r="37" spans="4:60" ht="16.5" customHeight="1">
      <c r="K37" s="471" t="str">
        <f>D196</f>
        <v>Conclusion</v>
      </c>
      <c r="L37" s="471"/>
      <c r="M37" s="471"/>
      <c r="N37" s="471"/>
      <c r="O37" s="471"/>
      <c r="P37" s="471"/>
      <c r="Q37" s="471"/>
      <c r="R37" s="471"/>
      <c r="S37" s="471"/>
      <c r="T37" s="471"/>
      <c r="U37" s="471"/>
      <c r="V37" s="471"/>
      <c r="W37" s="471"/>
      <c r="X37" s="471"/>
      <c r="Y37" s="471"/>
      <c r="Z37" s="471"/>
      <c r="AA37" s="471"/>
      <c r="AB37" s="471"/>
      <c r="AC37" s="471"/>
      <c r="AD37" s="471"/>
      <c r="AE37" s="471"/>
      <c r="AF37" s="471"/>
      <c r="AG37" s="471"/>
      <c r="AH37" s="471"/>
      <c r="AI37" s="471"/>
      <c r="AJ37" s="471"/>
      <c r="AK37" s="471"/>
      <c r="AL37" s="471"/>
      <c r="AM37" s="471"/>
      <c r="AN37" s="471"/>
      <c r="AO37" s="471"/>
      <c r="AP37" s="471"/>
      <c r="AQ37" s="471"/>
      <c r="AR37" s="471"/>
      <c r="AS37" s="471"/>
      <c r="AT37" s="471"/>
      <c r="AU37" s="471"/>
      <c r="AV37" s="471"/>
      <c r="AW37" s="471"/>
      <c r="AX37" s="471"/>
      <c r="AY37" s="471"/>
      <c r="AZ37" s="471"/>
      <c r="BA37" s="471"/>
      <c r="BB37" s="471"/>
      <c r="BC37" s="471"/>
      <c r="BD37" s="471"/>
      <c r="BE37" s="471"/>
      <c r="BF37" s="471"/>
      <c r="BG37" s="471"/>
      <c r="BH37" s="71"/>
    </row>
    <row r="38" spans="4:60" ht="18.75" customHeight="1">
      <c r="K38" s="73"/>
      <c r="L38" s="73"/>
      <c r="M38" s="73"/>
      <c r="N38" s="73"/>
      <c r="O38" s="73"/>
      <c r="P38" s="73"/>
      <c r="Q38" s="73"/>
      <c r="R38" s="73"/>
      <c r="S38" s="73"/>
      <c r="T38" s="73"/>
      <c r="U38" s="74"/>
      <c r="V38" s="74"/>
      <c r="W38" s="73"/>
      <c r="X38" s="73"/>
      <c r="Y38" s="73"/>
      <c r="Z38" s="73"/>
      <c r="AA38" s="73"/>
      <c r="AB38" s="73"/>
      <c r="AC38" s="73"/>
      <c r="AD38" s="73"/>
      <c r="AE38" s="73"/>
      <c r="AF38" s="73"/>
      <c r="AG38" s="73"/>
      <c r="AH38" s="73"/>
      <c r="AI38" s="73"/>
      <c r="AJ38" s="73"/>
      <c r="AK38" s="73"/>
      <c r="AL38" s="73"/>
      <c r="AM38" s="73"/>
      <c r="AN38" s="73"/>
      <c r="AO38" s="73"/>
      <c r="AP38" s="73"/>
      <c r="AQ38" s="73"/>
      <c r="AR38" s="73"/>
      <c r="AS38" s="73"/>
      <c r="AT38" s="73"/>
      <c r="AU38" s="73"/>
      <c r="AV38" s="73"/>
      <c r="AW38" s="73"/>
      <c r="AX38" s="73"/>
      <c r="AY38" s="73"/>
      <c r="AZ38" s="73"/>
      <c r="BA38" s="73"/>
      <c r="BB38" s="73"/>
      <c r="BC38" s="73"/>
      <c r="BD38" s="73"/>
      <c r="BE38" s="73"/>
      <c r="BF38" s="73"/>
      <c r="BG38" s="73"/>
    </row>
    <row r="39" spans="4:60" ht="18.75" customHeight="1">
      <c r="K39" s="73"/>
      <c r="L39" s="73"/>
      <c r="M39" s="73"/>
      <c r="N39" s="73"/>
      <c r="O39" s="73"/>
      <c r="P39" s="73"/>
      <c r="Q39" s="73"/>
      <c r="R39" s="73"/>
      <c r="S39" s="73"/>
      <c r="T39" s="73"/>
      <c r="U39" s="74"/>
      <c r="V39" s="74"/>
      <c r="W39" s="73"/>
      <c r="X39" s="73"/>
      <c r="Y39" s="73"/>
      <c r="Z39" s="73"/>
      <c r="AA39" s="73"/>
      <c r="AB39" s="73"/>
      <c r="AC39" s="73"/>
      <c r="AD39" s="73"/>
      <c r="AE39" s="73"/>
      <c r="AF39" s="73"/>
      <c r="AG39" s="73"/>
      <c r="AH39" s="73"/>
      <c r="AI39" s="73"/>
      <c r="AJ39" s="73"/>
      <c r="AK39" s="73"/>
      <c r="AL39" s="73"/>
      <c r="AM39" s="73"/>
      <c r="AN39" s="73"/>
      <c r="AO39" s="73"/>
      <c r="AP39" s="73"/>
      <c r="AQ39" s="73"/>
      <c r="AR39" s="73"/>
      <c r="AS39" s="73"/>
      <c r="AT39" s="73"/>
      <c r="AU39" s="73"/>
      <c r="AV39" s="73"/>
      <c r="AW39" s="73"/>
      <c r="AX39" s="73"/>
      <c r="AY39" s="73"/>
      <c r="AZ39" s="73"/>
      <c r="BA39" s="73"/>
      <c r="BB39" s="73"/>
      <c r="BC39" s="73"/>
      <c r="BD39" s="73"/>
      <c r="BE39" s="73"/>
      <c r="BF39" s="73"/>
      <c r="BG39" s="73"/>
    </row>
    <row r="40" spans="4:60" ht="18.75" customHeight="1">
      <c r="K40" s="73"/>
      <c r="L40" s="73"/>
      <c r="M40" s="73"/>
      <c r="N40" s="73"/>
      <c r="O40" s="73"/>
      <c r="P40" s="73"/>
      <c r="Q40" s="73"/>
      <c r="R40" s="73"/>
      <c r="S40" s="73"/>
      <c r="T40" s="73"/>
      <c r="U40" s="74"/>
      <c r="V40" s="74"/>
      <c r="W40" s="73"/>
      <c r="X40" s="73"/>
      <c r="Y40" s="73"/>
      <c r="Z40" s="73"/>
      <c r="AA40" s="73"/>
      <c r="AB40" s="73"/>
      <c r="AC40" s="73"/>
      <c r="AD40" s="73"/>
      <c r="AE40" s="73"/>
      <c r="AF40" s="73"/>
      <c r="AG40" s="73"/>
      <c r="AH40" s="73"/>
      <c r="AI40" s="73"/>
      <c r="AJ40" s="73"/>
      <c r="AK40" s="73"/>
      <c r="AL40" s="73"/>
      <c r="AM40" s="73"/>
      <c r="AN40" s="73"/>
      <c r="AO40" s="73"/>
      <c r="AP40" s="73"/>
      <c r="AQ40" s="73"/>
      <c r="AR40" s="73"/>
      <c r="AS40" s="73"/>
      <c r="AT40" s="73"/>
      <c r="AU40" s="73"/>
      <c r="AV40" s="73"/>
      <c r="AW40" s="73"/>
      <c r="AX40" s="73"/>
      <c r="AY40" s="73"/>
      <c r="AZ40" s="73"/>
      <c r="BA40" s="73"/>
      <c r="BB40" s="73"/>
      <c r="BC40" s="73"/>
      <c r="BD40" s="73"/>
      <c r="BE40" s="73"/>
      <c r="BF40" s="73"/>
      <c r="BG40" s="73"/>
    </row>
    <row r="41" spans="4:60" ht="15.75" customHeight="1">
      <c r="K41" s="73"/>
      <c r="L41" s="73"/>
      <c r="M41" s="73"/>
      <c r="N41" s="73"/>
      <c r="O41" s="73"/>
      <c r="P41" s="73"/>
      <c r="Q41" s="73"/>
      <c r="R41" s="73"/>
      <c r="S41" s="73"/>
      <c r="T41" s="73"/>
      <c r="U41" s="74"/>
      <c r="V41" s="74"/>
      <c r="W41" s="73"/>
      <c r="X41" s="73"/>
      <c r="Y41" s="73"/>
      <c r="Z41" s="73"/>
      <c r="AA41" s="73"/>
      <c r="AB41" s="73"/>
      <c r="AC41" s="73"/>
      <c r="AD41" s="73"/>
      <c r="AE41" s="73"/>
      <c r="AF41" s="73"/>
      <c r="AG41" s="73"/>
      <c r="AH41" s="73"/>
      <c r="AI41" s="73"/>
      <c r="AJ41" s="73"/>
      <c r="AK41" s="73"/>
      <c r="AL41" s="73"/>
      <c r="AM41" s="73"/>
      <c r="AN41" s="73"/>
      <c r="AO41" s="73"/>
      <c r="AP41" s="73"/>
      <c r="AQ41" s="73"/>
      <c r="AR41" s="73"/>
      <c r="AS41" s="73"/>
      <c r="AT41" s="73"/>
      <c r="AU41" s="73"/>
      <c r="AV41" s="73"/>
      <c r="AW41" s="73"/>
      <c r="AX41" s="73"/>
      <c r="AY41" s="73"/>
      <c r="AZ41" s="73"/>
      <c r="BA41" s="73"/>
      <c r="BB41" s="73"/>
      <c r="BC41" s="73"/>
      <c r="BD41" s="73"/>
      <c r="BE41" s="73"/>
      <c r="BF41" s="73"/>
      <c r="BG41" s="73"/>
    </row>
    <row r="42" spans="4:60" ht="15.75" customHeight="1">
      <c r="K42" s="73"/>
      <c r="L42" s="73"/>
      <c r="M42" s="73"/>
      <c r="N42" s="73"/>
      <c r="O42" s="73"/>
      <c r="P42" s="73"/>
      <c r="Q42" s="73"/>
      <c r="R42" s="73"/>
      <c r="S42" s="73"/>
      <c r="T42" s="73"/>
      <c r="U42" s="74"/>
      <c r="V42" s="74"/>
      <c r="W42" s="73"/>
      <c r="X42" s="73"/>
      <c r="Y42" s="73"/>
      <c r="Z42" s="73"/>
      <c r="AA42" s="73"/>
      <c r="AB42" s="73"/>
      <c r="AC42" s="73"/>
      <c r="AD42" s="73"/>
      <c r="AE42" s="73"/>
      <c r="AF42" s="73"/>
      <c r="AG42" s="73"/>
      <c r="AH42" s="73"/>
      <c r="AI42" s="73"/>
      <c r="AJ42" s="73"/>
      <c r="AK42" s="73"/>
      <c r="AL42" s="73"/>
      <c r="AM42" s="73"/>
      <c r="AN42" s="73"/>
      <c r="AO42" s="73"/>
      <c r="AP42" s="73"/>
      <c r="AQ42" s="73"/>
      <c r="AR42" s="73"/>
      <c r="AS42" s="73"/>
      <c r="AT42" s="73"/>
      <c r="AU42" s="73"/>
      <c r="AV42" s="73"/>
      <c r="AW42" s="73"/>
      <c r="AX42" s="73"/>
      <c r="AY42" s="73"/>
      <c r="AZ42" s="73"/>
      <c r="BA42" s="73"/>
      <c r="BB42" s="73"/>
      <c r="BC42" s="73"/>
      <c r="BD42" s="73"/>
      <c r="BE42" s="73"/>
      <c r="BF42" s="73"/>
      <c r="BG42" s="73"/>
    </row>
    <row r="43" spans="4:60" ht="18">
      <c r="D43" s="478" t="s">
        <v>2</v>
      </c>
      <c r="E43" s="478"/>
      <c r="F43" s="478"/>
      <c r="G43" s="478"/>
      <c r="H43" s="478"/>
      <c r="I43" s="478"/>
      <c r="J43" s="478"/>
      <c r="K43" s="478"/>
      <c r="L43" s="478"/>
      <c r="M43" s="478"/>
      <c r="N43" s="478"/>
      <c r="O43" s="478"/>
      <c r="P43" s="478"/>
      <c r="Q43" s="478"/>
      <c r="R43" s="478"/>
      <c r="S43" s="478"/>
      <c r="T43" s="478"/>
      <c r="U43" s="478"/>
      <c r="V43" s="75"/>
    </row>
    <row r="44" spans="4:60" ht="15.75" thickBot="1">
      <c r="J44" s="76"/>
      <c r="K44" s="76"/>
      <c r="L44" s="76"/>
      <c r="M44" s="76"/>
      <c r="N44" s="76"/>
      <c r="V44" s="75"/>
    </row>
    <row r="45" spans="4:60" ht="15.75" thickBot="1">
      <c r="D45" s="483" t="s">
        <v>5</v>
      </c>
      <c r="E45" s="484"/>
      <c r="F45" s="484"/>
      <c r="G45" s="484"/>
      <c r="H45" s="484"/>
      <c r="I45" s="484"/>
      <c r="J45" s="484"/>
      <c r="K45" s="484"/>
      <c r="L45" s="484"/>
      <c r="M45" s="484"/>
      <c r="N45" s="484"/>
      <c r="O45" s="484"/>
      <c r="P45" s="484"/>
      <c r="Q45" s="484"/>
      <c r="R45" s="484"/>
      <c r="S45" s="484"/>
      <c r="T45" s="484"/>
      <c r="U45" s="484"/>
      <c r="V45" s="484"/>
      <c r="W45" s="485"/>
      <c r="X45" s="479" t="s">
        <v>6</v>
      </c>
      <c r="Y45" s="480"/>
      <c r="Z45" s="480"/>
      <c r="AA45" s="480"/>
      <c r="AB45" s="480"/>
      <c r="AC45" s="480"/>
      <c r="AD45" s="480"/>
      <c r="AE45" s="480"/>
      <c r="AF45" s="480"/>
      <c r="AG45" s="480"/>
      <c r="AH45" s="480"/>
      <c r="AI45" s="480"/>
      <c r="AJ45" s="480"/>
      <c r="AK45" s="480"/>
      <c r="AL45" s="480"/>
      <c r="AM45" s="480"/>
      <c r="AN45" s="480"/>
      <c r="AO45" s="480"/>
      <c r="AP45" s="480"/>
      <c r="AQ45" s="480"/>
      <c r="AR45" s="480"/>
      <c r="AS45" s="480"/>
      <c r="AT45" s="480"/>
      <c r="AU45" s="480"/>
      <c r="AV45" s="480"/>
      <c r="AW45" s="480"/>
      <c r="AX45" s="480"/>
      <c r="AY45" s="480"/>
      <c r="AZ45" s="480"/>
      <c r="BA45" s="480"/>
      <c r="BB45" s="480"/>
      <c r="BC45" s="480"/>
      <c r="BD45" s="480"/>
      <c r="BE45" s="480"/>
      <c r="BF45" s="480"/>
      <c r="BG45" s="480"/>
      <c r="BH45" s="481"/>
    </row>
    <row r="46" spans="4:60">
      <c r="D46" s="465" t="s">
        <v>7</v>
      </c>
      <c r="E46" s="466"/>
      <c r="F46" s="466"/>
      <c r="G46" s="466"/>
      <c r="H46" s="466"/>
      <c r="I46" s="466"/>
      <c r="J46" s="466"/>
      <c r="K46" s="466"/>
      <c r="L46" s="466"/>
      <c r="M46" s="466"/>
      <c r="N46" s="466"/>
      <c r="O46" s="466"/>
      <c r="P46" s="466"/>
      <c r="Q46" s="466"/>
      <c r="R46" s="466"/>
      <c r="S46" s="466"/>
      <c r="T46" s="466"/>
      <c r="U46" s="466"/>
      <c r="V46" s="466"/>
      <c r="W46" s="467"/>
      <c r="X46" s="394" t="s">
        <v>94</v>
      </c>
      <c r="Y46" s="361"/>
      <c r="Z46" s="361"/>
      <c r="AA46" s="361"/>
      <c r="AB46" s="361"/>
      <c r="AC46" s="397" t="s">
        <v>95</v>
      </c>
      <c r="AD46" s="397"/>
      <c r="AE46" s="397"/>
      <c r="AF46" s="397"/>
      <c r="AG46" s="397"/>
      <c r="AH46" s="397"/>
      <c r="AI46" s="397"/>
      <c r="AJ46" s="397"/>
      <c r="AK46" s="397"/>
      <c r="AL46" s="397"/>
      <c r="AM46" s="384" t="s">
        <v>8</v>
      </c>
      <c r="AN46" s="361"/>
      <c r="AO46" s="361"/>
      <c r="AP46" s="361"/>
      <c r="AQ46" s="361"/>
      <c r="AR46" s="381">
        <v>1000</v>
      </c>
      <c r="AS46" s="382"/>
      <c r="AT46" s="382"/>
      <c r="AU46" s="382"/>
      <c r="AV46" s="382"/>
      <c r="AW46" s="382"/>
      <c r="AX46" s="383"/>
      <c r="AY46" s="381">
        <v>2</v>
      </c>
      <c r="AZ46" s="382"/>
      <c r="BA46" s="382"/>
      <c r="BB46" s="383"/>
      <c r="BC46" s="361">
        <f>AY47*AR46+AY46*AR47</f>
        <v>2900</v>
      </c>
      <c r="BD46" s="361"/>
      <c r="BE46" s="361"/>
      <c r="BF46" s="361"/>
      <c r="BG46" s="361"/>
      <c r="BH46" s="362"/>
    </row>
    <row r="47" spans="4:60">
      <c r="D47" s="468"/>
      <c r="E47" s="469"/>
      <c r="F47" s="469"/>
      <c r="G47" s="469"/>
      <c r="H47" s="469"/>
      <c r="I47" s="469"/>
      <c r="J47" s="469"/>
      <c r="K47" s="469"/>
      <c r="L47" s="469"/>
      <c r="M47" s="469"/>
      <c r="N47" s="469"/>
      <c r="O47" s="469"/>
      <c r="P47" s="469"/>
      <c r="Q47" s="469"/>
      <c r="R47" s="469"/>
      <c r="S47" s="469"/>
      <c r="T47" s="469"/>
      <c r="U47" s="469"/>
      <c r="V47" s="469"/>
      <c r="W47" s="470"/>
      <c r="X47" s="395"/>
      <c r="Y47" s="363"/>
      <c r="Z47" s="363"/>
      <c r="AA47" s="363"/>
      <c r="AB47" s="363"/>
      <c r="AC47" s="375"/>
      <c r="AD47" s="375"/>
      <c r="AE47" s="375"/>
      <c r="AF47" s="375"/>
      <c r="AG47" s="375"/>
      <c r="AH47" s="375"/>
      <c r="AI47" s="375"/>
      <c r="AJ47" s="375"/>
      <c r="AK47" s="375"/>
      <c r="AL47" s="375"/>
      <c r="AM47" s="363"/>
      <c r="AN47" s="363"/>
      <c r="AO47" s="363"/>
      <c r="AP47" s="363"/>
      <c r="AQ47" s="363"/>
      <c r="AR47" s="388">
        <v>450</v>
      </c>
      <c r="AS47" s="389"/>
      <c r="AT47" s="389"/>
      <c r="AU47" s="389"/>
      <c r="AV47" s="389"/>
      <c r="AW47" s="389"/>
      <c r="AX47" s="390"/>
      <c r="AY47" s="391">
        <v>2</v>
      </c>
      <c r="AZ47" s="392"/>
      <c r="BA47" s="392"/>
      <c r="BB47" s="393"/>
      <c r="BC47" s="363"/>
      <c r="BD47" s="363"/>
      <c r="BE47" s="363"/>
      <c r="BF47" s="363"/>
      <c r="BG47" s="363"/>
      <c r="BH47" s="364"/>
    </row>
    <row r="48" spans="4:60">
      <c r="D48" s="442" t="s">
        <v>9</v>
      </c>
      <c r="E48" s="375"/>
      <c r="F48" s="375"/>
      <c r="G48" s="375"/>
      <c r="H48" s="375"/>
      <c r="I48" s="375"/>
      <c r="J48" s="375"/>
      <c r="K48" s="375"/>
      <c r="L48" s="375"/>
      <c r="M48" s="375"/>
      <c r="N48" s="430">
        <v>12000</v>
      </c>
      <c r="O48" s="430"/>
      <c r="P48" s="430"/>
      <c r="Q48" s="430"/>
      <c r="R48" s="430"/>
      <c r="S48" s="444">
        <v>0.75</v>
      </c>
      <c r="T48" s="363"/>
      <c r="U48" s="363"/>
      <c r="V48" s="363"/>
      <c r="W48" s="364"/>
      <c r="X48" s="395"/>
      <c r="Y48" s="363"/>
      <c r="Z48" s="363"/>
      <c r="AA48" s="363"/>
      <c r="AB48" s="363"/>
      <c r="AC48" s="375" t="s">
        <v>96</v>
      </c>
      <c r="AD48" s="375"/>
      <c r="AE48" s="375"/>
      <c r="AF48" s="375"/>
      <c r="AG48" s="375"/>
      <c r="AH48" s="375"/>
      <c r="AI48" s="375"/>
      <c r="AJ48" s="375"/>
      <c r="AK48" s="375"/>
      <c r="AL48" s="375"/>
      <c r="AM48" s="363"/>
      <c r="AN48" s="363"/>
      <c r="AO48" s="363"/>
      <c r="AP48" s="363"/>
      <c r="AQ48" s="363"/>
      <c r="AR48" s="377">
        <v>1000</v>
      </c>
      <c r="AS48" s="378"/>
      <c r="AT48" s="378"/>
      <c r="AU48" s="378"/>
      <c r="AV48" s="378"/>
      <c r="AW48" s="378"/>
      <c r="AX48" s="379"/>
      <c r="AY48" s="385">
        <v>2</v>
      </c>
      <c r="AZ48" s="386"/>
      <c r="BA48" s="386"/>
      <c r="BB48" s="387"/>
      <c r="BC48" s="363">
        <f>AR48*AY48+AR49*AY49</f>
        <v>2900</v>
      </c>
      <c r="BD48" s="363"/>
      <c r="BE48" s="363"/>
      <c r="BF48" s="363"/>
      <c r="BG48" s="363"/>
      <c r="BH48" s="364"/>
    </row>
    <row r="49" spans="4:60">
      <c r="D49" s="442"/>
      <c r="E49" s="375"/>
      <c r="F49" s="375"/>
      <c r="G49" s="375"/>
      <c r="H49" s="375"/>
      <c r="I49" s="375"/>
      <c r="J49" s="375"/>
      <c r="K49" s="375"/>
      <c r="L49" s="375"/>
      <c r="M49" s="375"/>
      <c r="N49" s="430"/>
      <c r="O49" s="430"/>
      <c r="P49" s="430"/>
      <c r="Q49" s="430"/>
      <c r="R49" s="430"/>
      <c r="S49" s="363"/>
      <c r="T49" s="363"/>
      <c r="U49" s="363"/>
      <c r="V49" s="363"/>
      <c r="W49" s="364"/>
      <c r="X49" s="395"/>
      <c r="Y49" s="363"/>
      <c r="Z49" s="363"/>
      <c r="AA49" s="363"/>
      <c r="AB49" s="363"/>
      <c r="AC49" s="375"/>
      <c r="AD49" s="375"/>
      <c r="AE49" s="375"/>
      <c r="AF49" s="375"/>
      <c r="AG49" s="375"/>
      <c r="AH49" s="375"/>
      <c r="AI49" s="375"/>
      <c r="AJ49" s="375"/>
      <c r="AK49" s="375"/>
      <c r="AL49" s="375"/>
      <c r="AM49" s="363"/>
      <c r="AN49" s="363"/>
      <c r="AO49" s="363"/>
      <c r="AP49" s="363"/>
      <c r="AQ49" s="363"/>
      <c r="AR49" s="388">
        <v>450</v>
      </c>
      <c r="AS49" s="389"/>
      <c r="AT49" s="389"/>
      <c r="AU49" s="389"/>
      <c r="AV49" s="389"/>
      <c r="AW49" s="389"/>
      <c r="AX49" s="390"/>
      <c r="AY49" s="398">
        <v>2</v>
      </c>
      <c r="AZ49" s="399"/>
      <c r="BA49" s="399"/>
      <c r="BB49" s="400"/>
      <c r="BC49" s="363"/>
      <c r="BD49" s="363"/>
      <c r="BE49" s="363"/>
      <c r="BF49" s="363"/>
      <c r="BG49" s="363"/>
      <c r="BH49" s="364"/>
    </row>
    <row r="50" spans="4:60">
      <c r="D50" s="442" t="s">
        <v>10</v>
      </c>
      <c r="E50" s="375"/>
      <c r="F50" s="375"/>
      <c r="G50" s="375"/>
      <c r="H50" s="375"/>
      <c r="I50" s="375"/>
      <c r="J50" s="375"/>
      <c r="K50" s="375"/>
      <c r="L50" s="375"/>
      <c r="M50" s="375"/>
      <c r="N50" s="369" t="s">
        <v>12</v>
      </c>
      <c r="O50" s="370"/>
      <c r="P50" s="370"/>
      <c r="Q50" s="370"/>
      <c r="R50" s="370"/>
      <c r="S50" s="370"/>
      <c r="T50" s="370"/>
      <c r="U50" s="370"/>
      <c r="V50" s="370"/>
      <c r="W50" s="371"/>
      <c r="X50" s="395"/>
      <c r="Y50" s="363"/>
      <c r="Z50" s="363"/>
      <c r="AA50" s="363"/>
      <c r="AB50" s="363"/>
      <c r="AC50" s="375" t="s">
        <v>97</v>
      </c>
      <c r="AD50" s="375"/>
      <c r="AE50" s="375"/>
      <c r="AF50" s="375"/>
      <c r="AG50" s="375"/>
      <c r="AH50" s="375"/>
      <c r="AI50" s="375"/>
      <c r="AJ50" s="375"/>
      <c r="AK50" s="375"/>
      <c r="AL50" s="375"/>
      <c r="AM50" s="363"/>
      <c r="AN50" s="363"/>
      <c r="AO50" s="363"/>
      <c r="AP50" s="363"/>
      <c r="AQ50" s="363"/>
      <c r="AR50" s="377">
        <v>230</v>
      </c>
      <c r="AS50" s="378"/>
      <c r="AT50" s="378"/>
      <c r="AU50" s="378"/>
      <c r="AV50" s="378"/>
      <c r="AW50" s="378"/>
      <c r="AX50" s="379"/>
      <c r="AY50" s="385">
        <v>2</v>
      </c>
      <c r="AZ50" s="386"/>
      <c r="BA50" s="386"/>
      <c r="BB50" s="387"/>
      <c r="BC50" s="365">
        <f>AR50*AY50+AR51*AY51</f>
        <v>940</v>
      </c>
      <c r="BD50" s="365"/>
      <c r="BE50" s="365"/>
      <c r="BF50" s="365"/>
      <c r="BG50" s="365"/>
      <c r="BH50" s="366"/>
    </row>
    <row r="51" spans="4:60" ht="15.75" thickBot="1">
      <c r="D51" s="443"/>
      <c r="E51" s="376"/>
      <c r="F51" s="376"/>
      <c r="G51" s="376"/>
      <c r="H51" s="376"/>
      <c r="I51" s="376"/>
      <c r="J51" s="376"/>
      <c r="K51" s="376"/>
      <c r="L51" s="376"/>
      <c r="M51" s="376"/>
      <c r="N51" s="372"/>
      <c r="O51" s="373"/>
      <c r="P51" s="373"/>
      <c r="Q51" s="373"/>
      <c r="R51" s="373"/>
      <c r="S51" s="373"/>
      <c r="T51" s="373"/>
      <c r="U51" s="373"/>
      <c r="V51" s="373"/>
      <c r="W51" s="374"/>
      <c r="X51" s="396"/>
      <c r="Y51" s="367"/>
      <c r="Z51" s="367"/>
      <c r="AA51" s="367"/>
      <c r="AB51" s="367"/>
      <c r="AC51" s="376"/>
      <c r="AD51" s="376"/>
      <c r="AE51" s="376"/>
      <c r="AF51" s="376"/>
      <c r="AG51" s="376"/>
      <c r="AH51" s="376"/>
      <c r="AI51" s="376"/>
      <c r="AJ51" s="376"/>
      <c r="AK51" s="376"/>
      <c r="AL51" s="376"/>
      <c r="AM51" s="367"/>
      <c r="AN51" s="367"/>
      <c r="AO51" s="367"/>
      <c r="AP51" s="367"/>
      <c r="AQ51" s="367"/>
      <c r="AR51" s="380">
        <v>160</v>
      </c>
      <c r="AS51" s="380"/>
      <c r="AT51" s="380"/>
      <c r="AU51" s="380"/>
      <c r="AV51" s="380"/>
      <c r="AW51" s="380"/>
      <c r="AX51" s="380"/>
      <c r="AY51" s="380">
        <v>3</v>
      </c>
      <c r="AZ51" s="380"/>
      <c r="BA51" s="380"/>
      <c r="BB51" s="380"/>
      <c r="BC51" s="367"/>
      <c r="BD51" s="367"/>
      <c r="BE51" s="367"/>
      <c r="BF51" s="367"/>
      <c r="BG51" s="367"/>
      <c r="BH51" s="368"/>
    </row>
    <row r="52" spans="4:60">
      <c r="D52" s="526"/>
      <c r="E52" s="527"/>
      <c r="F52" s="527"/>
      <c r="G52" s="527"/>
      <c r="H52" s="527"/>
      <c r="I52" s="527"/>
      <c r="J52" s="527"/>
      <c r="K52" s="527"/>
      <c r="L52" s="527"/>
      <c r="M52" s="527"/>
      <c r="N52" s="527"/>
      <c r="O52" s="527"/>
      <c r="P52" s="527"/>
      <c r="Q52" s="527"/>
      <c r="R52" s="527"/>
      <c r="S52" s="527"/>
      <c r="T52" s="527"/>
      <c r="U52" s="527"/>
      <c r="V52" s="527"/>
      <c r="W52" s="527"/>
      <c r="X52" s="394" t="s">
        <v>98</v>
      </c>
      <c r="Y52" s="361"/>
      <c r="Z52" s="361"/>
      <c r="AA52" s="361"/>
      <c r="AB52" s="361"/>
      <c r="AC52" s="415" t="s">
        <v>99</v>
      </c>
      <c r="AD52" s="416"/>
      <c r="AE52" s="416"/>
      <c r="AF52" s="416"/>
      <c r="AG52" s="416"/>
      <c r="AH52" s="416"/>
      <c r="AI52" s="416"/>
      <c r="AJ52" s="416"/>
      <c r="AK52" s="416"/>
      <c r="AL52" s="417"/>
      <c r="AM52" s="384" t="s">
        <v>8</v>
      </c>
      <c r="AN52" s="361"/>
      <c r="AO52" s="361"/>
      <c r="AP52" s="361"/>
      <c r="AQ52" s="361"/>
      <c r="AR52" s="515">
        <v>530</v>
      </c>
      <c r="AS52" s="516"/>
      <c r="AT52" s="516"/>
      <c r="AU52" s="516"/>
      <c r="AV52" s="516"/>
      <c r="AW52" s="516"/>
      <c r="AX52" s="535"/>
      <c r="AY52" s="518">
        <v>1</v>
      </c>
      <c r="AZ52" s="519"/>
      <c r="BA52" s="519"/>
      <c r="BB52" s="520"/>
      <c r="BC52" s="515">
        <f>AR52*AY52</f>
        <v>530</v>
      </c>
      <c r="BD52" s="516"/>
      <c r="BE52" s="516"/>
      <c r="BF52" s="516"/>
      <c r="BG52" s="516"/>
      <c r="BH52" s="517"/>
    </row>
    <row r="53" spans="4:60">
      <c r="D53" s="526"/>
      <c r="E53" s="527"/>
      <c r="F53" s="527"/>
      <c r="G53" s="527"/>
      <c r="H53" s="527"/>
      <c r="I53" s="527"/>
      <c r="J53" s="527"/>
      <c r="K53" s="527"/>
      <c r="L53" s="527"/>
      <c r="M53" s="527"/>
      <c r="N53" s="527"/>
      <c r="O53" s="527"/>
      <c r="P53" s="527"/>
      <c r="Q53" s="527"/>
      <c r="R53" s="527"/>
      <c r="S53" s="527"/>
      <c r="T53" s="527"/>
      <c r="U53" s="527"/>
      <c r="V53" s="527"/>
      <c r="W53" s="527"/>
      <c r="X53" s="395"/>
      <c r="Y53" s="363"/>
      <c r="Z53" s="363"/>
      <c r="AA53" s="363"/>
      <c r="AB53" s="363"/>
      <c r="AC53" s="412" t="s">
        <v>100</v>
      </c>
      <c r="AD53" s="413"/>
      <c r="AE53" s="413"/>
      <c r="AF53" s="413"/>
      <c r="AG53" s="413"/>
      <c r="AH53" s="413"/>
      <c r="AI53" s="413"/>
      <c r="AJ53" s="413"/>
      <c r="AK53" s="413"/>
      <c r="AL53" s="414"/>
      <c r="AM53" s="363"/>
      <c r="AN53" s="363"/>
      <c r="AO53" s="363"/>
      <c r="AP53" s="363"/>
      <c r="AQ53" s="363"/>
      <c r="AR53" s="388">
        <v>500</v>
      </c>
      <c r="AS53" s="389"/>
      <c r="AT53" s="389"/>
      <c r="AU53" s="389"/>
      <c r="AV53" s="389"/>
      <c r="AW53" s="389"/>
      <c r="AX53" s="389"/>
      <c r="AY53" s="531">
        <v>6</v>
      </c>
      <c r="AZ53" s="532"/>
      <c r="BA53" s="532"/>
      <c r="BB53" s="533"/>
      <c r="BC53" s="521">
        <f>AR53*AY53</f>
        <v>3000</v>
      </c>
      <c r="BD53" s="521"/>
      <c r="BE53" s="521"/>
      <c r="BF53" s="521"/>
      <c r="BG53" s="521"/>
      <c r="BH53" s="522"/>
    </row>
    <row r="54" spans="4:60">
      <c r="D54" s="410"/>
      <c r="E54" s="389"/>
      <c r="F54" s="389"/>
      <c r="G54" s="389"/>
      <c r="H54" s="389"/>
      <c r="I54" s="389"/>
      <c r="J54" s="389"/>
      <c r="K54" s="389"/>
      <c r="L54" s="389"/>
      <c r="M54" s="389"/>
      <c r="N54" s="411"/>
      <c r="O54" s="411"/>
      <c r="P54" s="411"/>
      <c r="Q54" s="411"/>
      <c r="R54" s="411"/>
      <c r="S54" s="451"/>
      <c r="T54" s="389"/>
      <c r="U54" s="389"/>
      <c r="V54" s="389"/>
      <c r="W54" s="389"/>
      <c r="X54" s="395"/>
      <c r="Y54" s="363"/>
      <c r="Z54" s="363"/>
      <c r="AA54" s="363"/>
      <c r="AB54" s="363"/>
      <c r="AC54" s="452" t="s">
        <v>101</v>
      </c>
      <c r="AD54" s="453"/>
      <c r="AE54" s="453"/>
      <c r="AF54" s="453"/>
      <c r="AG54" s="453"/>
      <c r="AH54" s="453"/>
      <c r="AI54" s="453"/>
      <c r="AJ54" s="453"/>
      <c r="AK54" s="453"/>
      <c r="AL54" s="454"/>
      <c r="AM54" s="363"/>
      <c r="AN54" s="363"/>
      <c r="AO54" s="363"/>
      <c r="AP54" s="363"/>
      <c r="AQ54" s="363"/>
      <c r="AR54" s="377">
        <v>500</v>
      </c>
      <c r="AS54" s="378"/>
      <c r="AT54" s="378"/>
      <c r="AU54" s="378"/>
      <c r="AV54" s="378"/>
      <c r="AW54" s="378"/>
      <c r="AX54" s="379"/>
      <c r="AY54" s="385">
        <v>2</v>
      </c>
      <c r="AZ54" s="386"/>
      <c r="BA54" s="386"/>
      <c r="BB54" s="387"/>
      <c r="BC54" s="365">
        <f>AR54*AY54+AR55*AY55</f>
        <v>1900</v>
      </c>
      <c r="BD54" s="365"/>
      <c r="BE54" s="365"/>
      <c r="BF54" s="365"/>
      <c r="BG54" s="365"/>
      <c r="BH54" s="366"/>
    </row>
    <row r="55" spans="4:60">
      <c r="D55" s="410"/>
      <c r="E55" s="389"/>
      <c r="F55" s="389"/>
      <c r="G55" s="389"/>
      <c r="H55" s="389"/>
      <c r="I55" s="389"/>
      <c r="J55" s="389"/>
      <c r="K55" s="389"/>
      <c r="L55" s="389"/>
      <c r="M55" s="389"/>
      <c r="N55" s="411"/>
      <c r="O55" s="411"/>
      <c r="P55" s="411"/>
      <c r="Q55" s="411"/>
      <c r="R55" s="411"/>
      <c r="S55" s="389"/>
      <c r="T55" s="389"/>
      <c r="U55" s="389"/>
      <c r="V55" s="389"/>
      <c r="W55" s="389"/>
      <c r="X55" s="395"/>
      <c r="Y55" s="363"/>
      <c r="Z55" s="363"/>
      <c r="AA55" s="363"/>
      <c r="AB55" s="363"/>
      <c r="AC55" s="455"/>
      <c r="AD55" s="456"/>
      <c r="AE55" s="456"/>
      <c r="AF55" s="456"/>
      <c r="AG55" s="456"/>
      <c r="AH55" s="456"/>
      <c r="AI55" s="456"/>
      <c r="AJ55" s="456"/>
      <c r="AK55" s="456"/>
      <c r="AL55" s="457"/>
      <c r="AM55" s="363"/>
      <c r="AN55" s="363"/>
      <c r="AO55" s="363"/>
      <c r="AP55" s="363"/>
      <c r="AQ55" s="363"/>
      <c r="AR55" s="388">
        <v>900</v>
      </c>
      <c r="AS55" s="389"/>
      <c r="AT55" s="389"/>
      <c r="AU55" s="389"/>
      <c r="AV55" s="389"/>
      <c r="AW55" s="389"/>
      <c r="AX55" s="390"/>
      <c r="AY55" s="388">
        <v>1</v>
      </c>
      <c r="AZ55" s="389"/>
      <c r="BA55" s="389"/>
      <c r="BB55" s="390"/>
      <c r="BC55" s="534"/>
      <c r="BD55" s="534"/>
      <c r="BE55" s="534"/>
      <c r="BF55" s="534"/>
      <c r="BG55" s="534"/>
      <c r="BH55" s="604"/>
    </row>
    <row r="56" spans="4:60">
      <c r="D56" s="410"/>
      <c r="E56" s="389"/>
      <c r="F56" s="389"/>
      <c r="G56" s="389"/>
      <c r="H56" s="389"/>
      <c r="I56" s="389"/>
      <c r="J56" s="389"/>
      <c r="K56" s="389"/>
      <c r="L56" s="389"/>
      <c r="M56" s="389"/>
      <c r="N56" s="411"/>
      <c r="O56" s="411"/>
      <c r="P56" s="411"/>
      <c r="Q56" s="411"/>
      <c r="R56" s="411"/>
      <c r="S56" s="411"/>
      <c r="T56" s="411"/>
      <c r="U56" s="411"/>
      <c r="V56" s="411"/>
      <c r="W56" s="411"/>
      <c r="X56" s="395"/>
      <c r="Y56" s="363"/>
      <c r="Z56" s="363"/>
      <c r="AA56" s="363"/>
      <c r="AB56" s="363"/>
      <c r="AC56" s="412" t="s">
        <v>102</v>
      </c>
      <c r="AD56" s="413"/>
      <c r="AE56" s="413"/>
      <c r="AF56" s="413"/>
      <c r="AG56" s="413"/>
      <c r="AH56" s="413"/>
      <c r="AI56" s="413"/>
      <c r="AJ56" s="413"/>
      <c r="AK56" s="413"/>
      <c r="AL56" s="414"/>
      <c r="AM56" s="363"/>
      <c r="AN56" s="363"/>
      <c r="AO56" s="363"/>
      <c r="AP56" s="363"/>
      <c r="AQ56" s="363"/>
      <c r="AR56" s="602">
        <v>800</v>
      </c>
      <c r="AS56" s="521"/>
      <c r="AT56" s="521"/>
      <c r="AU56" s="521"/>
      <c r="AV56" s="521"/>
      <c r="AW56" s="521"/>
      <c r="AX56" s="605"/>
      <c r="AY56" s="602">
        <v>2</v>
      </c>
      <c r="AZ56" s="521"/>
      <c r="BA56" s="521"/>
      <c r="BB56" s="605"/>
      <c r="BC56" s="602">
        <f t="shared" ref="BC56:BC68" si="0">AR56*AY56</f>
        <v>1600</v>
      </c>
      <c r="BD56" s="521"/>
      <c r="BE56" s="521"/>
      <c r="BF56" s="521"/>
      <c r="BG56" s="521"/>
      <c r="BH56" s="522"/>
    </row>
    <row r="57" spans="4:60" ht="15.75" thickBot="1">
      <c r="D57" s="410"/>
      <c r="E57" s="389"/>
      <c r="F57" s="389"/>
      <c r="G57" s="389"/>
      <c r="H57" s="389"/>
      <c r="I57" s="389"/>
      <c r="J57" s="389"/>
      <c r="K57" s="389"/>
      <c r="L57" s="389"/>
      <c r="M57" s="389"/>
      <c r="N57" s="411"/>
      <c r="O57" s="411"/>
      <c r="P57" s="411"/>
      <c r="Q57" s="411"/>
      <c r="R57" s="411"/>
      <c r="S57" s="411"/>
      <c r="T57" s="411"/>
      <c r="U57" s="411"/>
      <c r="V57" s="411"/>
      <c r="W57" s="411"/>
      <c r="X57" s="539"/>
      <c r="Y57" s="534"/>
      <c r="Z57" s="534"/>
      <c r="AA57" s="534"/>
      <c r="AB57" s="534"/>
      <c r="AC57" s="452" t="s">
        <v>103</v>
      </c>
      <c r="AD57" s="453"/>
      <c r="AE57" s="453"/>
      <c r="AF57" s="453"/>
      <c r="AG57" s="453"/>
      <c r="AH57" s="453"/>
      <c r="AI57" s="453"/>
      <c r="AJ57" s="453"/>
      <c r="AK57" s="453"/>
      <c r="AL57" s="454"/>
      <c r="AM57" s="534"/>
      <c r="AN57" s="534"/>
      <c r="AO57" s="534"/>
      <c r="AP57" s="534"/>
      <c r="AQ57" s="534"/>
      <c r="AR57" s="606">
        <v>920</v>
      </c>
      <c r="AS57" s="606"/>
      <c r="AT57" s="606"/>
      <c r="AU57" s="606"/>
      <c r="AV57" s="606"/>
      <c r="AW57" s="606"/>
      <c r="AX57" s="606"/>
      <c r="AY57" s="388">
        <v>2</v>
      </c>
      <c r="AZ57" s="389"/>
      <c r="BA57" s="389"/>
      <c r="BB57" s="390"/>
      <c r="BC57" s="388">
        <f t="shared" si="0"/>
        <v>1840</v>
      </c>
      <c r="BD57" s="389"/>
      <c r="BE57" s="389"/>
      <c r="BF57" s="389"/>
      <c r="BG57" s="389"/>
      <c r="BH57" s="607"/>
    </row>
    <row r="58" spans="4:60">
      <c r="D58" s="536" t="s">
        <v>11</v>
      </c>
      <c r="E58" s="537"/>
      <c r="F58" s="537"/>
      <c r="G58" s="537"/>
      <c r="H58" s="537"/>
      <c r="I58" s="537"/>
      <c r="J58" s="537"/>
      <c r="K58" s="537"/>
      <c r="L58" s="537"/>
      <c r="M58" s="537"/>
      <c r="N58" s="537"/>
      <c r="O58" s="537"/>
      <c r="P58" s="537"/>
      <c r="Q58" s="537"/>
      <c r="R58" s="537"/>
      <c r="S58" s="537"/>
      <c r="T58" s="537"/>
      <c r="U58" s="537"/>
      <c r="V58" s="537"/>
      <c r="W58" s="538"/>
      <c r="X58" s="542" t="s">
        <v>11</v>
      </c>
      <c r="Y58" s="543"/>
      <c r="Z58" s="543"/>
      <c r="AA58" s="543"/>
      <c r="AB58" s="544"/>
      <c r="AC58" s="528" t="s">
        <v>104</v>
      </c>
      <c r="AD58" s="529"/>
      <c r="AE58" s="529"/>
      <c r="AF58" s="529"/>
      <c r="AG58" s="529"/>
      <c r="AH58" s="529"/>
      <c r="AI58" s="529"/>
      <c r="AJ58" s="529"/>
      <c r="AK58" s="529"/>
      <c r="AL58" s="530"/>
      <c r="AM58" s="421" t="s">
        <v>8</v>
      </c>
      <c r="AN58" s="422"/>
      <c r="AO58" s="422"/>
      <c r="AP58" s="422"/>
      <c r="AQ58" s="423"/>
      <c r="AR58" s="560">
        <v>900</v>
      </c>
      <c r="AS58" s="560"/>
      <c r="AT58" s="560"/>
      <c r="AU58" s="560"/>
      <c r="AV58" s="560"/>
      <c r="AW58" s="560"/>
      <c r="AX58" s="560"/>
      <c r="AY58" s="557">
        <v>6</v>
      </c>
      <c r="AZ58" s="558"/>
      <c r="BA58" s="558"/>
      <c r="BB58" s="603"/>
      <c r="BC58" s="557">
        <f t="shared" si="0"/>
        <v>5400</v>
      </c>
      <c r="BD58" s="558"/>
      <c r="BE58" s="558"/>
      <c r="BF58" s="558"/>
      <c r="BG58" s="558"/>
      <c r="BH58" s="559"/>
    </row>
    <row r="59" spans="4:60">
      <c r="D59" s="449" t="s">
        <v>9</v>
      </c>
      <c r="E59" s="450"/>
      <c r="F59" s="450"/>
      <c r="G59" s="450"/>
      <c r="H59" s="450"/>
      <c r="I59" s="450"/>
      <c r="J59" s="450"/>
      <c r="K59" s="450"/>
      <c r="L59" s="450"/>
      <c r="M59" s="450"/>
      <c r="N59" s="430">
        <v>77900</v>
      </c>
      <c r="O59" s="430"/>
      <c r="P59" s="430"/>
      <c r="Q59" s="430"/>
      <c r="R59" s="430"/>
      <c r="S59" s="600">
        <v>0.79166666666666663</v>
      </c>
      <c r="T59" s="600"/>
      <c r="U59" s="600"/>
      <c r="V59" s="600"/>
      <c r="W59" s="601"/>
      <c r="X59" s="545"/>
      <c r="Y59" s="546"/>
      <c r="Z59" s="546"/>
      <c r="AA59" s="546"/>
      <c r="AB59" s="547"/>
      <c r="AC59" s="418" t="s">
        <v>105</v>
      </c>
      <c r="AD59" s="419"/>
      <c r="AE59" s="419"/>
      <c r="AF59" s="419"/>
      <c r="AG59" s="419"/>
      <c r="AH59" s="419"/>
      <c r="AI59" s="419"/>
      <c r="AJ59" s="419"/>
      <c r="AK59" s="419"/>
      <c r="AL59" s="420"/>
      <c r="AM59" s="424"/>
      <c r="AN59" s="425"/>
      <c r="AO59" s="425"/>
      <c r="AP59" s="425"/>
      <c r="AQ59" s="426"/>
      <c r="AR59" s="431">
        <v>1500</v>
      </c>
      <c r="AS59" s="431"/>
      <c r="AT59" s="431"/>
      <c r="AU59" s="431"/>
      <c r="AV59" s="431"/>
      <c r="AW59" s="431"/>
      <c r="AX59" s="431"/>
      <c r="AY59" s="403">
        <v>2</v>
      </c>
      <c r="AZ59" s="404"/>
      <c r="BA59" s="404"/>
      <c r="BB59" s="432"/>
      <c r="BC59" s="403">
        <f t="shared" si="0"/>
        <v>3000</v>
      </c>
      <c r="BD59" s="404"/>
      <c r="BE59" s="404"/>
      <c r="BF59" s="404"/>
      <c r="BG59" s="404"/>
      <c r="BH59" s="405"/>
    </row>
    <row r="60" spans="4:60">
      <c r="D60" s="449" t="s">
        <v>10</v>
      </c>
      <c r="E60" s="450"/>
      <c r="F60" s="450"/>
      <c r="G60" s="450"/>
      <c r="H60" s="450"/>
      <c r="I60" s="450"/>
      <c r="J60" s="450"/>
      <c r="K60" s="450"/>
      <c r="L60" s="450"/>
      <c r="M60" s="450"/>
      <c r="N60" s="430" t="s">
        <v>12</v>
      </c>
      <c r="O60" s="430"/>
      <c r="P60" s="430"/>
      <c r="Q60" s="430"/>
      <c r="R60" s="430"/>
      <c r="S60" s="430"/>
      <c r="T60" s="430"/>
      <c r="U60" s="430"/>
      <c r="V60" s="430"/>
      <c r="W60" s="403"/>
      <c r="X60" s="545"/>
      <c r="Y60" s="546"/>
      <c r="Z60" s="546"/>
      <c r="AA60" s="546"/>
      <c r="AB60" s="547"/>
      <c r="AC60" s="418" t="s">
        <v>106</v>
      </c>
      <c r="AD60" s="419"/>
      <c r="AE60" s="419"/>
      <c r="AF60" s="419"/>
      <c r="AG60" s="419"/>
      <c r="AH60" s="419"/>
      <c r="AI60" s="419"/>
      <c r="AJ60" s="419"/>
      <c r="AK60" s="419"/>
      <c r="AL60" s="420"/>
      <c r="AM60" s="424"/>
      <c r="AN60" s="425"/>
      <c r="AO60" s="425"/>
      <c r="AP60" s="425"/>
      <c r="AQ60" s="426"/>
      <c r="AR60" s="431">
        <v>1300</v>
      </c>
      <c r="AS60" s="431"/>
      <c r="AT60" s="431"/>
      <c r="AU60" s="431"/>
      <c r="AV60" s="431"/>
      <c r="AW60" s="431"/>
      <c r="AX60" s="431"/>
      <c r="AY60" s="430">
        <v>4</v>
      </c>
      <c r="AZ60" s="430"/>
      <c r="BA60" s="430"/>
      <c r="BB60" s="430"/>
      <c r="BC60" s="403">
        <f t="shared" si="0"/>
        <v>5200</v>
      </c>
      <c r="BD60" s="404"/>
      <c r="BE60" s="404"/>
      <c r="BF60" s="404"/>
      <c r="BG60" s="404"/>
      <c r="BH60" s="405"/>
    </row>
    <row r="61" spans="4:60" ht="15.75" thickBot="1">
      <c r="D61" s="447"/>
      <c r="E61" s="448"/>
      <c r="F61" s="448"/>
      <c r="G61" s="448"/>
      <c r="H61" s="448"/>
      <c r="I61" s="448"/>
      <c r="J61" s="448"/>
      <c r="K61" s="448"/>
      <c r="L61" s="448"/>
      <c r="M61" s="448"/>
      <c r="N61" s="448"/>
      <c r="O61" s="448"/>
      <c r="P61" s="448"/>
      <c r="Q61" s="448"/>
      <c r="R61" s="448"/>
      <c r="S61" s="448"/>
      <c r="T61" s="448"/>
      <c r="U61" s="448"/>
      <c r="V61" s="448"/>
      <c r="W61" s="448"/>
      <c r="X61" s="545"/>
      <c r="Y61" s="546"/>
      <c r="Z61" s="546"/>
      <c r="AA61" s="546"/>
      <c r="AB61" s="547"/>
      <c r="AC61" s="418" t="s">
        <v>107</v>
      </c>
      <c r="AD61" s="419"/>
      <c r="AE61" s="419"/>
      <c r="AF61" s="419"/>
      <c r="AG61" s="419"/>
      <c r="AH61" s="419"/>
      <c r="AI61" s="419"/>
      <c r="AJ61" s="419"/>
      <c r="AK61" s="419"/>
      <c r="AL61" s="420"/>
      <c r="AM61" s="424"/>
      <c r="AN61" s="425"/>
      <c r="AO61" s="425"/>
      <c r="AP61" s="425"/>
      <c r="AQ61" s="426"/>
      <c r="AR61" s="431">
        <v>900</v>
      </c>
      <c r="AS61" s="431"/>
      <c r="AT61" s="431"/>
      <c r="AU61" s="431"/>
      <c r="AV61" s="431"/>
      <c r="AW61" s="431"/>
      <c r="AX61" s="431"/>
      <c r="AY61" s="403">
        <v>2</v>
      </c>
      <c r="AZ61" s="404"/>
      <c r="BA61" s="404"/>
      <c r="BB61" s="432"/>
      <c r="BC61" s="403">
        <f t="shared" si="0"/>
        <v>1800</v>
      </c>
      <c r="BD61" s="404"/>
      <c r="BE61" s="404"/>
      <c r="BF61" s="404"/>
      <c r="BG61" s="404"/>
      <c r="BH61" s="405"/>
    </row>
    <row r="62" spans="4:60">
      <c r="D62" s="512" t="s">
        <v>13</v>
      </c>
      <c r="E62" s="513"/>
      <c r="F62" s="513"/>
      <c r="G62" s="513"/>
      <c r="H62" s="513"/>
      <c r="I62" s="513"/>
      <c r="J62" s="513"/>
      <c r="K62" s="513"/>
      <c r="L62" s="513"/>
      <c r="M62" s="513"/>
      <c r="N62" s="513"/>
      <c r="O62" s="513"/>
      <c r="P62" s="513"/>
      <c r="Q62" s="513"/>
      <c r="R62" s="513"/>
      <c r="S62" s="513"/>
      <c r="T62" s="513"/>
      <c r="U62" s="513"/>
      <c r="V62" s="513"/>
      <c r="W62" s="514"/>
      <c r="X62" s="545"/>
      <c r="Y62" s="546"/>
      <c r="Z62" s="546"/>
      <c r="AA62" s="546"/>
      <c r="AB62" s="547"/>
      <c r="AC62" s="418" t="s">
        <v>108</v>
      </c>
      <c r="AD62" s="419"/>
      <c r="AE62" s="419"/>
      <c r="AF62" s="419"/>
      <c r="AG62" s="419"/>
      <c r="AH62" s="419"/>
      <c r="AI62" s="419"/>
      <c r="AJ62" s="419"/>
      <c r="AK62" s="419"/>
      <c r="AL62" s="420"/>
      <c r="AM62" s="424"/>
      <c r="AN62" s="425"/>
      <c r="AO62" s="425"/>
      <c r="AP62" s="425"/>
      <c r="AQ62" s="426"/>
      <c r="AR62" s="431">
        <v>1300</v>
      </c>
      <c r="AS62" s="431"/>
      <c r="AT62" s="431"/>
      <c r="AU62" s="431"/>
      <c r="AV62" s="431"/>
      <c r="AW62" s="431"/>
      <c r="AX62" s="431"/>
      <c r="AY62" s="403">
        <v>2</v>
      </c>
      <c r="AZ62" s="404"/>
      <c r="BA62" s="404"/>
      <c r="BB62" s="432"/>
      <c r="BC62" s="403">
        <f t="shared" si="0"/>
        <v>2600</v>
      </c>
      <c r="BD62" s="404"/>
      <c r="BE62" s="404"/>
      <c r="BF62" s="404"/>
      <c r="BG62" s="404"/>
      <c r="BH62" s="405"/>
    </row>
    <row r="63" spans="4:60">
      <c r="D63" s="408" t="s">
        <v>9</v>
      </c>
      <c r="E63" s="409"/>
      <c r="F63" s="409"/>
      <c r="G63" s="409"/>
      <c r="H63" s="409"/>
      <c r="I63" s="409"/>
      <c r="J63" s="409"/>
      <c r="K63" s="409"/>
      <c r="L63" s="409"/>
      <c r="M63" s="409"/>
      <c r="N63" s="555"/>
      <c r="O63" s="555"/>
      <c r="P63" s="555"/>
      <c r="Q63" s="555"/>
      <c r="R63" s="555"/>
      <c r="S63" s="553"/>
      <c r="T63" s="553"/>
      <c r="U63" s="553"/>
      <c r="V63" s="553"/>
      <c r="W63" s="554"/>
      <c r="X63" s="545"/>
      <c r="Y63" s="546"/>
      <c r="Z63" s="546"/>
      <c r="AA63" s="546"/>
      <c r="AB63" s="547"/>
      <c r="AC63" s="418" t="s">
        <v>109</v>
      </c>
      <c r="AD63" s="419"/>
      <c r="AE63" s="419"/>
      <c r="AF63" s="419"/>
      <c r="AG63" s="419"/>
      <c r="AH63" s="419"/>
      <c r="AI63" s="419"/>
      <c r="AJ63" s="419"/>
      <c r="AK63" s="419"/>
      <c r="AL63" s="420"/>
      <c r="AM63" s="424"/>
      <c r="AN63" s="425"/>
      <c r="AO63" s="425"/>
      <c r="AP63" s="425"/>
      <c r="AQ63" s="426"/>
      <c r="AR63" s="431">
        <v>1300</v>
      </c>
      <c r="AS63" s="431"/>
      <c r="AT63" s="431"/>
      <c r="AU63" s="431"/>
      <c r="AV63" s="431"/>
      <c r="AW63" s="431"/>
      <c r="AX63" s="431"/>
      <c r="AY63" s="430">
        <v>4</v>
      </c>
      <c r="AZ63" s="430"/>
      <c r="BA63" s="430"/>
      <c r="BB63" s="430"/>
      <c r="BC63" s="403">
        <f t="shared" si="0"/>
        <v>5200</v>
      </c>
      <c r="BD63" s="404"/>
      <c r="BE63" s="404"/>
      <c r="BF63" s="404"/>
      <c r="BG63" s="404"/>
      <c r="BH63" s="405"/>
    </row>
    <row r="64" spans="4:60" ht="15.75" thickBot="1">
      <c r="D64" s="408" t="s">
        <v>10</v>
      </c>
      <c r="E64" s="409"/>
      <c r="F64" s="409"/>
      <c r="G64" s="409"/>
      <c r="H64" s="409"/>
      <c r="I64" s="409"/>
      <c r="J64" s="409"/>
      <c r="K64" s="409"/>
      <c r="L64" s="409"/>
      <c r="M64" s="409"/>
      <c r="N64" s="445" t="s">
        <v>426</v>
      </c>
      <c r="O64" s="445"/>
      <c r="P64" s="445"/>
      <c r="Q64" s="445"/>
      <c r="R64" s="445"/>
      <c r="S64" s="445"/>
      <c r="T64" s="445"/>
      <c r="U64" s="445"/>
      <c r="V64" s="445"/>
      <c r="W64" s="446"/>
      <c r="X64" s="545"/>
      <c r="Y64" s="546"/>
      <c r="Z64" s="546"/>
      <c r="AA64" s="546"/>
      <c r="AB64" s="547"/>
      <c r="AC64" s="418" t="s">
        <v>110</v>
      </c>
      <c r="AD64" s="419"/>
      <c r="AE64" s="419"/>
      <c r="AF64" s="419"/>
      <c r="AG64" s="419"/>
      <c r="AH64" s="419"/>
      <c r="AI64" s="419"/>
      <c r="AJ64" s="419"/>
      <c r="AK64" s="419"/>
      <c r="AL64" s="420"/>
      <c r="AM64" s="424"/>
      <c r="AN64" s="425"/>
      <c r="AO64" s="425"/>
      <c r="AP64" s="425"/>
      <c r="AQ64" s="426"/>
      <c r="AR64" s="431">
        <v>1300</v>
      </c>
      <c r="AS64" s="431"/>
      <c r="AT64" s="431"/>
      <c r="AU64" s="431"/>
      <c r="AV64" s="431"/>
      <c r="AW64" s="431"/>
      <c r="AX64" s="431"/>
      <c r="AY64" s="436">
        <v>2</v>
      </c>
      <c r="AZ64" s="411"/>
      <c r="BA64" s="411"/>
      <c r="BB64" s="556"/>
      <c r="BC64" s="436">
        <f t="shared" si="0"/>
        <v>2600</v>
      </c>
      <c r="BD64" s="411"/>
      <c r="BE64" s="411"/>
      <c r="BF64" s="411"/>
      <c r="BG64" s="411"/>
      <c r="BH64" s="437"/>
    </row>
    <row r="65" spans="1:63" ht="18.75" customHeight="1" thickBot="1">
      <c r="D65" s="447"/>
      <c r="E65" s="448"/>
      <c r="F65" s="448"/>
      <c r="G65" s="448"/>
      <c r="H65" s="448"/>
      <c r="I65" s="448"/>
      <c r="J65" s="448"/>
      <c r="K65" s="448"/>
      <c r="L65" s="448"/>
      <c r="M65" s="448"/>
      <c r="N65" s="448"/>
      <c r="O65" s="448"/>
      <c r="P65" s="448"/>
      <c r="Q65" s="448"/>
      <c r="R65" s="448"/>
      <c r="S65" s="448"/>
      <c r="T65" s="448"/>
      <c r="U65" s="448"/>
      <c r="V65" s="448"/>
      <c r="W65" s="448"/>
      <c r="X65" s="545"/>
      <c r="Y65" s="546"/>
      <c r="Z65" s="546"/>
      <c r="AA65" s="546"/>
      <c r="AB65" s="547"/>
      <c r="AC65" s="620" t="s">
        <v>111</v>
      </c>
      <c r="AD65" s="621"/>
      <c r="AE65" s="621"/>
      <c r="AF65" s="621"/>
      <c r="AG65" s="621"/>
      <c r="AH65" s="621"/>
      <c r="AI65" s="621"/>
      <c r="AJ65" s="621"/>
      <c r="AK65" s="621"/>
      <c r="AL65" s="622"/>
      <c r="AM65" s="424"/>
      <c r="AN65" s="425"/>
      <c r="AO65" s="425"/>
      <c r="AP65" s="425"/>
      <c r="AQ65" s="426"/>
      <c r="AR65" s="511">
        <v>900</v>
      </c>
      <c r="AS65" s="511"/>
      <c r="AT65" s="511"/>
      <c r="AU65" s="511"/>
      <c r="AV65" s="511"/>
      <c r="AW65" s="511"/>
      <c r="AX65" s="511"/>
      <c r="AY65" s="612">
        <v>4</v>
      </c>
      <c r="AZ65" s="612"/>
      <c r="BA65" s="612"/>
      <c r="BB65" s="612"/>
      <c r="BC65" s="609">
        <f t="shared" si="0"/>
        <v>3600</v>
      </c>
      <c r="BD65" s="610"/>
      <c r="BE65" s="610"/>
      <c r="BF65" s="610"/>
      <c r="BG65" s="610"/>
      <c r="BH65" s="611"/>
      <c r="BI65" s="78"/>
    </row>
    <row r="66" spans="1:63" ht="18.75" customHeight="1">
      <c r="D66" s="508" t="s">
        <v>14</v>
      </c>
      <c r="E66" s="509"/>
      <c r="F66" s="509"/>
      <c r="G66" s="509"/>
      <c r="H66" s="509"/>
      <c r="I66" s="509"/>
      <c r="J66" s="509"/>
      <c r="K66" s="509"/>
      <c r="L66" s="509"/>
      <c r="M66" s="509"/>
      <c r="N66" s="509"/>
      <c r="O66" s="509"/>
      <c r="P66" s="509"/>
      <c r="Q66" s="509"/>
      <c r="R66" s="509"/>
      <c r="S66" s="509"/>
      <c r="T66" s="509"/>
      <c r="U66" s="509"/>
      <c r="V66" s="509"/>
      <c r="W66" s="510"/>
      <c r="X66" s="545"/>
      <c r="Y66" s="546"/>
      <c r="Z66" s="546"/>
      <c r="AA66" s="546"/>
      <c r="AB66" s="547"/>
      <c r="AC66" s="620" t="s">
        <v>112</v>
      </c>
      <c r="AD66" s="621"/>
      <c r="AE66" s="621"/>
      <c r="AF66" s="621"/>
      <c r="AG66" s="621"/>
      <c r="AH66" s="621"/>
      <c r="AI66" s="621"/>
      <c r="AJ66" s="621"/>
      <c r="AK66" s="621"/>
      <c r="AL66" s="622"/>
      <c r="AM66" s="424"/>
      <c r="AN66" s="425"/>
      <c r="AO66" s="425"/>
      <c r="AP66" s="425"/>
      <c r="AQ66" s="426"/>
      <c r="AR66" s="511">
        <v>1300</v>
      </c>
      <c r="AS66" s="511"/>
      <c r="AT66" s="511"/>
      <c r="AU66" s="511"/>
      <c r="AV66" s="511"/>
      <c r="AW66" s="511"/>
      <c r="AX66" s="511"/>
      <c r="AY66" s="609">
        <v>2</v>
      </c>
      <c r="AZ66" s="610"/>
      <c r="BA66" s="610"/>
      <c r="BB66" s="615"/>
      <c r="BC66" s="609">
        <f t="shared" si="0"/>
        <v>2600</v>
      </c>
      <c r="BD66" s="610"/>
      <c r="BE66" s="610"/>
      <c r="BF66" s="610"/>
      <c r="BG66" s="610"/>
      <c r="BH66" s="611"/>
      <c r="BI66" s="78"/>
    </row>
    <row r="67" spans="1:63" ht="18.75" customHeight="1">
      <c r="D67" s="540" t="s">
        <v>9</v>
      </c>
      <c r="E67" s="541"/>
      <c r="F67" s="541"/>
      <c r="G67" s="541"/>
      <c r="H67" s="541"/>
      <c r="I67" s="541"/>
      <c r="J67" s="541"/>
      <c r="K67" s="541"/>
      <c r="L67" s="541"/>
      <c r="M67" s="541"/>
      <c r="N67" s="555" t="s">
        <v>504</v>
      </c>
      <c r="O67" s="555"/>
      <c r="P67" s="555"/>
      <c r="Q67" s="555"/>
      <c r="R67" s="555"/>
      <c r="S67" s="553">
        <v>0.77083333333333337</v>
      </c>
      <c r="T67" s="553"/>
      <c r="U67" s="553"/>
      <c r="V67" s="553"/>
      <c r="W67" s="554"/>
      <c r="X67" s="545"/>
      <c r="Y67" s="546"/>
      <c r="Z67" s="546"/>
      <c r="AA67" s="546"/>
      <c r="AB67" s="547"/>
      <c r="AC67" s="620" t="s">
        <v>113</v>
      </c>
      <c r="AD67" s="621"/>
      <c r="AE67" s="621"/>
      <c r="AF67" s="621"/>
      <c r="AG67" s="621"/>
      <c r="AH67" s="621"/>
      <c r="AI67" s="621"/>
      <c r="AJ67" s="621"/>
      <c r="AK67" s="621"/>
      <c r="AL67" s="622"/>
      <c r="AM67" s="424"/>
      <c r="AN67" s="425"/>
      <c r="AO67" s="425"/>
      <c r="AP67" s="425"/>
      <c r="AQ67" s="426"/>
      <c r="AR67" s="511">
        <v>900</v>
      </c>
      <c r="AS67" s="511"/>
      <c r="AT67" s="511"/>
      <c r="AU67" s="511"/>
      <c r="AV67" s="511"/>
      <c r="AW67" s="511"/>
      <c r="AX67" s="511"/>
      <c r="AY67" s="511">
        <v>2</v>
      </c>
      <c r="AZ67" s="511"/>
      <c r="BA67" s="511"/>
      <c r="BB67" s="511"/>
      <c r="BC67" s="523">
        <f t="shared" si="0"/>
        <v>1800</v>
      </c>
      <c r="BD67" s="524"/>
      <c r="BE67" s="524"/>
      <c r="BF67" s="524"/>
      <c r="BG67" s="524"/>
      <c r="BH67" s="525"/>
      <c r="BI67" s="78"/>
    </row>
    <row r="68" spans="1:63" ht="18.75" customHeight="1" thickBot="1">
      <c r="D68" s="618" t="s">
        <v>10</v>
      </c>
      <c r="E68" s="619"/>
      <c r="F68" s="619"/>
      <c r="G68" s="619"/>
      <c r="H68" s="619"/>
      <c r="I68" s="619"/>
      <c r="J68" s="619"/>
      <c r="K68" s="619"/>
      <c r="L68" s="619"/>
      <c r="M68" s="619"/>
      <c r="N68" s="445" t="s">
        <v>426</v>
      </c>
      <c r="O68" s="445"/>
      <c r="P68" s="445"/>
      <c r="Q68" s="445"/>
      <c r="R68" s="445"/>
      <c r="S68" s="445"/>
      <c r="T68" s="445"/>
      <c r="U68" s="445"/>
      <c r="V68" s="445"/>
      <c r="W68" s="446"/>
      <c r="X68" s="548"/>
      <c r="Y68" s="549"/>
      <c r="Z68" s="549"/>
      <c r="AA68" s="549"/>
      <c r="AB68" s="550"/>
      <c r="AC68" s="439" t="s">
        <v>114</v>
      </c>
      <c r="AD68" s="440"/>
      <c r="AE68" s="440"/>
      <c r="AF68" s="440"/>
      <c r="AG68" s="440"/>
      <c r="AH68" s="440"/>
      <c r="AI68" s="440"/>
      <c r="AJ68" s="440"/>
      <c r="AK68" s="440"/>
      <c r="AL68" s="441"/>
      <c r="AM68" s="427"/>
      <c r="AN68" s="428"/>
      <c r="AO68" s="428"/>
      <c r="AP68" s="428"/>
      <c r="AQ68" s="429"/>
      <c r="AR68" s="438">
        <v>900</v>
      </c>
      <c r="AS68" s="438"/>
      <c r="AT68" s="438"/>
      <c r="AU68" s="438"/>
      <c r="AV68" s="438"/>
      <c r="AW68" s="438"/>
      <c r="AX68" s="438"/>
      <c r="AY68" s="438">
        <v>4</v>
      </c>
      <c r="AZ68" s="438"/>
      <c r="BA68" s="438"/>
      <c r="BB68" s="438"/>
      <c r="BC68" s="551">
        <f t="shared" si="0"/>
        <v>3600</v>
      </c>
      <c r="BD68" s="549"/>
      <c r="BE68" s="549"/>
      <c r="BF68" s="549"/>
      <c r="BG68" s="549"/>
      <c r="BH68" s="552"/>
      <c r="BI68" s="78"/>
    </row>
    <row r="69" spans="1:63" s="203" customFormat="1" ht="47.25" customHeight="1">
      <c r="A69" s="202"/>
      <c r="B69" s="202"/>
      <c r="C69" s="202"/>
      <c r="D69" s="435" t="s">
        <v>427</v>
      </c>
      <c r="E69" s="435"/>
      <c r="F69" s="435"/>
      <c r="G69" s="435"/>
      <c r="H69" s="435"/>
      <c r="I69" s="435"/>
      <c r="J69" s="435"/>
      <c r="K69" s="435"/>
      <c r="L69" s="435"/>
      <c r="M69" s="435"/>
      <c r="N69" s="435"/>
      <c r="O69" s="435"/>
      <c r="P69" s="435"/>
      <c r="Q69" s="435"/>
      <c r="R69" s="435"/>
      <c r="S69" s="435"/>
      <c r="T69" s="435"/>
      <c r="U69" s="435"/>
      <c r="V69" s="435"/>
      <c r="W69" s="435"/>
      <c r="X69" s="435"/>
      <c r="Y69" s="435"/>
      <c r="Z69" s="435"/>
      <c r="AA69" s="435"/>
      <c r="AB69" s="435"/>
      <c r="AC69" s="435"/>
      <c r="AD69" s="435"/>
      <c r="AE69" s="435"/>
      <c r="AF69" s="435"/>
      <c r="AG69" s="435"/>
      <c r="AH69" s="435"/>
      <c r="AI69" s="435"/>
      <c r="AJ69" s="435"/>
      <c r="AK69" s="435"/>
      <c r="AL69" s="435"/>
      <c r="AM69" s="435"/>
      <c r="AN69" s="435"/>
      <c r="AO69" s="435"/>
      <c r="AP69" s="435"/>
      <c r="AQ69" s="435"/>
      <c r="AR69" s="435"/>
      <c r="AS69" s="435"/>
      <c r="AT69" s="435"/>
      <c r="AU69" s="435"/>
      <c r="AV69" s="435"/>
      <c r="AW69" s="435"/>
      <c r="AX69" s="435"/>
      <c r="AY69" s="435"/>
      <c r="AZ69" s="435"/>
      <c r="BA69" s="435"/>
      <c r="BB69" s="435"/>
      <c r="BC69" s="435"/>
      <c r="BD69" s="435"/>
      <c r="BE69" s="435"/>
      <c r="BF69" s="435"/>
      <c r="BG69" s="435"/>
      <c r="BH69" s="435"/>
      <c r="BI69" s="202"/>
      <c r="BJ69" s="202"/>
      <c r="BK69" s="202"/>
    </row>
    <row r="70" spans="1:63">
      <c r="D70" s="627"/>
      <c r="E70" s="627"/>
      <c r="F70" s="627"/>
      <c r="G70" s="627"/>
      <c r="H70" s="627"/>
      <c r="I70" s="627"/>
      <c r="J70" s="627"/>
      <c r="K70" s="627"/>
      <c r="L70" s="627"/>
      <c r="M70" s="627"/>
      <c r="N70" s="627"/>
      <c r="O70" s="627"/>
      <c r="P70" s="627"/>
      <c r="Q70" s="627"/>
      <c r="R70" s="627"/>
      <c r="S70" s="627"/>
      <c r="T70" s="627"/>
      <c r="U70" s="627"/>
      <c r="V70" s="627"/>
      <c r="W70" s="627"/>
      <c r="X70" s="627"/>
      <c r="Y70" s="627"/>
      <c r="Z70" s="627"/>
      <c r="AA70" s="627"/>
      <c r="AB70" s="627"/>
      <c r="AC70" s="627"/>
      <c r="AD70" s="627"/>
      <c r="AE70" s="627"/>
      <c r="AF70" s="627"/>
      <c r="AG70" s="627"/>
      <c r="AH70" s="627"/>
      <c r="AI70" s="627"/>
      <c r="AJ70" s="627"/>
      <c r="AK70" s="627"/>
      <c r="AL70" s="627"/>
      <c r="AM70" s="627"/>
      <c r="AN70" s="627"/>
      <c r="AO70" s="627"/>
      <c r="AP70" s="627"/>
      <c r="AQ70" s="627"/>
      <c r="AR70" s="627"/>
      <c r="AS70" s="627"/>
      <c r="AT70" s="627"/>
      <c r="AU70" s="627"/>
      <c r="AV70" s="627"/>
      <c r="AW70" s="627"/>
      <c r="AX70" s="627"/>
      <c r="AY70" s="627"/>
      <c r="AZ70" s="627"/>
      <c r="BA70" s="627"/>
      <c r="BB70" s="627"/>
      <c r="BC70" s="627"/>
      <c r="BD70" s="627"/>
      <c r="BE70" s="627"/>
      <c r="BF70" s="627"/>
      <c r="BG70" s="627"/>
      <c r="BH70" s="627"/>
    </row>
    <row r="71" spans="1:63" ht="17.25" customHeight="1">
      <c r="D71" s="616" t="s">
        <v>82</v>
      </c>
      <c r="E71" s="617"/>
      <c r="F71" s="617"/>
      <c r="G71" s="617"/>
      <c r="H71" s="617"/>
      <c r="I71" s="617"/>
      <c r="J71" s="617"/>
      <c r="K71" s="617"/>
      <c r="L71" s="617"/>
      <c r="M71" s="617"/>
      <c r="N71" s="617"/>
      <c r="O71" s="617"/>
      <c r="P71" s="617"/>
      <c r="Q71" s="617"/>
      <c r="R71" s="617"/>
      <c r="S71" s="617"/>
      <c r="T71" s="617"/>
      <c r="U71" s="617"/>
      <c r="V71" s="617"/>
      <c r="W71" s="617"/>
      <c r="X71" s="617"/>
      <c r="Y71" s="617"/>
      <c r="Z71" s="617"/>
      <c r="AA71" s="617"/>
      <c r="AB71" s="617"/>
      <c r="AC71" s="617"/>
      <c r="AD71" s="617"/>
      <c r="AE71" s="617"/>
      <c r="AF71" s="617"/>
      <c r="AG71" s="617"/>
      <c r="AH71" s="617"/>
      <c r="AI71" s="617"/>
      <c r="AJ71" s="617"/>
      <c r="AK71" s="617"/>
      <c r="AL71" s="617"/>
      <c r="AM71" s="617"/>
      <c r="AN71" s="617"/>
      <c r="AO71" s="617"/>
      <c r="AP71" s="617"/>
      <c r="AQ71" s="617"/>
      <c r="AR71" s="617"/>
      <c r="AS71" s="617"/>
      <c r="AT71" s="617"/>
      <c r="AU71" s="617"/>
      <c r="AV71" s="617"/>
      <c r="AW71" s="617"/>
      <c r="AX71" s="617"/>
      <c r="AY71" s="617"/>
      <c r="AZ71" s="617"/>
      <c r="BA71" s="617"/>
      <c r="BB71" s="617"/>
      <c r="BC71" s="617"/>
      <c r="BD71" s="617"/>
      <c r="BE71" s="617"/>
      <c r="BF71" s="617"/>
      <c r="BG71" s="617"/>
      <c r="BH71" s="617"/>
    </row>
    <row r="72" spans="1:63" ht="55.5" customHeight="1">
      <c r="A72" s="623" t="s">
        <v>371</v>
      </c>
      <c r="B72" s="623"/>
      <c r="C72" s="623"/>
      <c r="D72" s="613" t="s">
        <v>198</v>
      </c>
      <c r="E72" s="614"/>
      <c r="F72" s="614"/>
      <c r="G72" s="614"/>
      <c r="H72" s="614"/>
      <c r="I72" s="614"/>
      <c r="J72" s="614"/>
      <c r="K72" s="614"/>
      <c r="L72" s="614"/>
      <c r="M72" s="614"/>
      <c r="N72" s="614"/>
      <c r="O72" s="614"/>
      <c r="P72" s="614"/>
      <c r="Q72" s="614"/>
      <c r="R72" s="614"/>
      <c r="S72" s="614"/>
      <c r="T72" s="614"/>
      <c r="U72" s="614"/>
      <c r="V72" s="614"/>
      <c r="W72" s="614"/>
      <c r="X72" s="614"/>
      <c r="Y72" s="614"/>
      <c r="Z72" s="614"/>
      <c r="AA72" s="614"/>
      <c r="AB72" s="614"/>
      <c r="AC72" s="614"/>
      <c r="AD72" s="614"/>
      <c r="AE72" s="614"/>
      <c r="AF72" s="614"/>
      <c r="AG72" s="614"/>
      <c r="AH72" s="614"/>
      <c r="AI72" s="614"/>
      <c r="AJ72" s="614"/>
      <c r="AK72" s="614"/>
      <c r="AL72" s="614"/>
      <c r="AM72" s="614"/>
      <c r="AN72" s="614"/>
      <c r="AO72" s="614"/>
      <c r="AP72" s="614"/>
      <c r="AQ72" s="614"/>
      <c r="AR72" s="614"/>
      <c r="AS72" s="614"/>
      <c r="AT72" s="614"/>
      <c r="AU72" s="614"/>
      <c r="AV72" s="614"/>
      <c r="AW72" s="614"/>
      <c r="AX72" s="614"/>
      <c r="AY72" s="614"/>
      <c r="AZ72" s="614"/>
      <c r="BA72" s="614"/>
      <c r="BB72" s="614"/>
      <c r="BC72" s="614"/>
      <c r="BD72" s="614"/>
      <c r="BE72" s="614"/>
      <c r="BF72" s="614"/>
      <c r="BG72" s="614"/>
      <c r="BH72" s="614"/>
    </row>
    <row r="73" spans="1:63" s="78" customFormat="1" ht="93" customHeight="1">
      <c r="A73" s="608" t="s">
        <v>372</v>
      </c>
      <c r="B73" s="608"/>
      <c r="C73" s="608"/>
      <c r="D73" s="406" t="s">
        <v>503</v>
      </c>
      <c r="E73" s="407"/>
      <c r="F73" s="407"/>
      <c r="G73" s="407"/>
      <c r="H73" s="407"/>
      <c r="I73" s="407"/>
      <c r="J73" s="407"/>
      <c r="K73" s="407"/>
      <c r="L73" s="407"/>
      <c r="M73" s="407"/>
      <c r="N73" s="407"/>
      <c r="O73" s="407"/>
      <c r="P73" s="407"/>
      <c r="Q73" s="407"/>
      <c r="R73" s="407"/>
      <c r="S73" s="407"/>
      <c r="T73" s="407"/>
      <c r="U73" s="407"/>
      <c r="V73" s="407"/>
      <c r="W73" s="407"/>
      <c r="X73" s="407"/>
      <c r="Y73" s="407"/>
      <c r="Z73" s="407"/>
      <c r="AA73" s="407"/>
      <c r="AB73" s="407"/>
      <c r="AC73" s="407"/>
      <c r="AD73" s="407"/>
      <c r="AE73" s="407"/>
      <c r="AF73" s="407"/>
      <c r="AG73" s="407"/>
      <c r="AH73" s="407"/>
      <c r="AI73" s="407"/>
      <c r="AJ73" s="407"/>
      <c r="AK73" s="407"/>
      <c r="AL73" s="407"/>
      <c r="AM73" s="407"/>
      <c r="AN73" s="407"/>
      <c r="AO73" s="407"/>
      <c r="AP73" s="407"/>
      <c r="AQ73" s="407"/>
      <c r="AR73" s="407"/>
      <c r="AS73" s="407"/>
      <c r="AT73" s="407"/>
      <c r="AU73" s="407"/>
      <c r="AV73" s="407"/>
      <c r="AW73" s="407"/>
      <c r="AX73" s="407"/>
      <c r="AY73" s="407"/>
      <c r="AZ73" s="407"/>
      <c r="BA73" s="407"/>
      <c r="BB73" s="407"/>
      <c r="BC73" s="407"/>
      <c r="BD73" s="407"/>
      <c r="BE73" s="407"/>
      <c r="BF73" s="407"/>
      <c r="BG73" s="407"/>
      <c r="BH73" s="407"/>
      <c r="BK73" s="88"/>
    </row>
    <row r="74" spans="1:63" s="78" customFormat="1" ht="12.75" customHeight="1">
      <c r="D74" s="194"/>
      <c r="BK74" s="88"/>
    </row>
    <row r="75" spans="1:63" s="78" customFormat="1" ht="12.75" customHeight="1">
      <c r="D75" s="194"/>
      <c r="BK75" s="88"/>
    </row>
    <row r="76" spans="1:63" s="78" customFormat="1" ht="12.75" customHeight="1">
      <c r="D76" s="194"/>
      <c r="BK76" s="88"/>
    </row>
    <row r="77" spans="1:63" s="78" customFormat="1" ht="12.75" customHeight="1">
      <c r="D77" s="194"/>
      <c r="BK77" s="88"/>
    </row>
    <row r="78" spans="1:63" s="78" customFormat="1" ht="12.75" customHeight="1">
      <c r="D78" s="194"/>
      <c r="BK78" s="88"/>
    </row>
    <row r="79" spans="1:63" s="78" customFormat="1" ht="12.75" customHeight="1">
      <c r="BK79" s="88"/>
    </row>
    <row r="80" spans="1:63" s="78" customFormat="1" ht="18">
      <c r="A80" s="156"/>
      <c r="B80" s="88"/>
      <c r="C80" s="88"/>
      <c r="D80" s="155" t="s">
        <v>49</v>
      </c>
      <c r="E80" s="88"/>
      <c r="BK80" s="88"/>
    </row>
    <row r="81" spans="1:63" s="78" customFormat="1">
      <c r="A81" s="156"/>
      <c r="B81" s="88"/>
      <c r="C81" s="88"/>
      <c r="D81" s="88"/>
      <c r="E81" s="88"/>
      <c r="BK81" s="88"/>
    </row>
    <row r="82" spans="1:63" s="78" customFormat="1">
      <c r="A82" s="156"/>
      <c r="B82" s="88"/>
      <c r="C82" s="88"/>
      <c r="D82" s="88"/>
      <c r="E82" s="88"/>
      <c r="H82" s="211" t="s">
        <v>50</v>
      </c>
      <c r="BK82" s="88"/>
    </row>
    <row r="83" spans="1:63" s="78" customFormat="1">
      <c r="A83" s="156"/>
      <c r="B83" s="88"/>
      <c r="C83" s="88"/>
      <c r="D83" s="88"/>
      <c r="E83" s="88"/>
      <c r="L83" s="625" t="s">
        <v>119</v>
      </c>
      <c r="M83" s="625"/>
      <c r="N83" s="625"/>
      <c r="O83" s="625"/>
      <c r="P83" s="625"/>
      <c r="Q83" s="625"/>
      <c r="R83" s="625"/>
      <c r="S83" s="625"/>
      <c r="T83" s="625"/>
      <c r="U83" s="625"/>
      <c r="V83" s="625"/>
      <c r="W83" s="625"/>
      <c r="X83" s="625"/>
      <c r="Y83" s="625"/>
      <c r="Z83" s="625"/>
      <c r="AA83" s="625"/>
      <c r="AB83" s="433">
        <v>0.97916666666666663</v>
      </c>
      <c r="AC83" s="434"/>
      <c r="AD83" s="434"/>
      <c r="AE83" s="434"/>
      <c r="BK83" s="88"/>
    </row>
    <row r="84" spans="1:63" s="78" customFormat="1">
      <c r="A84" s="156"/>
      <c r="B84" s="88"/>
      <c r="C84" s="88"/>
      <c r="D84" s="88"/>
      <c r="E84" s="88"/>
      <c r="L84" s="624" t="s">
        <v>118</v>
      </c>
      <c r="M84" s="624"/>
      <c r="N84" s="624"/>
      <c r="O84" s="624"/>
      <c r="P84" s="624"/>
      <c r="Q84" s="624"/>
      <c r="R84" s="624"/>
      <c r="S84" s="624"/>
      <c r="T84" s="624"/>
      <c r="U84" s="624"/>
      <c r="V84" s="624"/>
      <c r="W84" s="624"/>
      <c r="X84" s="624"/>
      <c r="Y84" s="624"/>
      <c r="Z84" s="433">
        <v>0.6875</v>
      </c>
      <c r="AA84" s="433"/>
      <c r="AB84" s="433"/>
      <c r="AC84" s="433"/>
      <c r="AE84" s="212"/>
      <c r="AF84" s="212"/>
      <c r="AG84" s="212"/>
      <c r="AH84" s="212"/>
      <c r="AI84" s="212"/>
      <c r="AJ84" s="212"/>
      <c r="AK84" s="212"/>
      <c r="AL84" s="212"/>
      <c r="AM84" s="212"/>
      <c r="AN84" s="212"/>
      <c r="AO84" s="212"/>
      <c r="AP84" s="212"/>
      <c r="AQ84" s="212"/>
      <c r="AR84" s="212"/>
      <c r="AS84" s="212"/>
      <c r="AT84" s="212"/>
      <c r="AU84" s="212"/>
      <c r="AV84" s="212"/>
      <c r="AW84" s="212"/>
      <c r="AX84" s="212"/>
      <c r="AY84" s="212"/>
      <c r="AZ84" s="212"/>
      <c r="BA84" s="212"/>
      <c r="BB84" s="212"/>
      <c r="BC84" s="212"/>
      <c r="BD84" s="212"/>
      <c r="BE84" s="212"/>
      <c r="BF84" s="212"/>
      <c r="BK84" s="88"/>
    </row>
    <row r="85" spans="1:63" s="78" customFormat="1" ht="33.75" customHeight="1">
      <c r="A85" s="156"/>
      <c r="B85" s="88"/>
      <c r="C85" s="88"/>
      <c r="D85" s="88"/>
      <c r="E85" s="88"/>
      <c r="L85" s="213"/>
      <c r="M85" s="213"/>
      <c r="N85" s="213"/>
      <c r="O85" s="213"/>
      <c r="P85" s="213"/>
      <c r="Q85" s="213"/>
      <c r="R85" s="213"/>
      <c r="S85" s="213"/>
      <c r="T85" s="213"/>
      <c r="U85" s="213"/>
      <c r="V85" s="213"/>
      <c r="W85" s="213"/>
      <c r="X85" s="213"/>
      <c r="Y85" s="213"/>
      <c r="Z85" s="214"/>
      <c r="AA85" s="214"/>
      <c r="AB85" s="214"/>
      <c r="AC85" s="214"/>
      <c r="AD85" s="215"/>
      <c r="AE85" s="215"/>
      <c r="BK85" s="88"/>
    </row>
    <row r="86" spans="1:63" s="78" customFormat="1">
      <c r="A86" s="156"/>
      <c r="B86" s="88"/>
      <c r="C86" s="88"/>
      <c r="D86" s="88"/>
      <c r="E86" s="88"/>
      <c r="H86" s="211" t="s">
        <v>367</v>
      </c>
      <c r="BK86" s="88"/>
    </row>
    <row r="87" spans="1:63" s="78" customFormat="1">
      <c r="A87" s="156"/>
      <c r="B87" s="88"/>
      <c r="C87" s="88"/>
      <c r="D87" s="88"/>
      <c r="E87" s="88"/>
      <c r="H87" s="626" t="s">
        <v>51</v>
      </c>
      <c r="I87" s="626"/>
      <c r="J87" s="626"/>
      <c r="K87" s="626"/>
      <c r="L87" s="626"/>
      <c r="BK87" s="88"/>
    </row>
    <row r="88" spans="1:63" s="78" customFormat="1">
      <c r="A88" s="156"/>
      <c r="B88" s="88"/>
      <c r="C88" s="88"/>
      <c r="D88" s="88"/>
      <c r="E88" s="88"/>
      <c r="L88" s="562" t="s">
        <v>506</v>
      </c>
      <c r="M88" s="562"/>
      <c r="N88" s="562"/>
      <c r="O88" s="562"/>
      <c r="P88" s="562"/>
      <c r="Q88" s="562"/>
      <c r="R88" s="562"/>
      <c r="S88" s="562"/>
      <c r="T88" s="562"/>
      <c r="U88" s="562"/>
      <c r="V88" s="562"/>
      <c r="W88" s="562"/>
      <c r="X88" s="562"/>
      <c r="Y88" s="562"/>
      <c r="Z88" s="562"/>
      <c r="AA88" s="562"/>
      <c r="AB88" s="562"/>
      <c r="AC88" s="562"/>
      <c r="AD88" s="562"/>
      <c r="AE88" s="562"/>
      <c r="AF88" s="562"/>
      <c r="AG88" s="562"/>
      <c r="AH88" s="562"/>
      <c r="AI88" s="562"/>
      <c r="AJ88" s="562"/>
      <c r="AK88" s="562"/>
      <c r="AL88" s="562"/>
      <c r="AM88" s="562"/>
      <c r="AN88" s="562"/>
      <c r="AO88" s="562"/>
      <c r="AP88" s="562"/>
      <c r="AQ88" s="562"/>
      <c r="AR88" s="562"/>
      <c r="AS88" s="562"/>
      <c r="AT88" s="562"/>
      <c r="AU88" s="562"/>
      <c r="AV88" s="562"/>
      <c r="AW88" s="562"/>
      <c r="AX88" s="562"/>
      <c r="AY88" s="562"/>
      <c r="AZ88" s="562"/>
      <c r="BA88" s="562"/>
      <c r="BB88" s="562"/>
      <c r="BC88" s="562"/>
      <c r="BD88" s="562"/>
      <c r="BE88" s="562"/>
      <c r="BF88" s="562"/>
      <c r="BG88" s="562"/>
      <c r="BH88" s="562"/>
      <c r="BI88" s="562"/>
      <c r="BJ88" s="562"/>
      <c r="BK88" s="562"/>
    </row>
    <row r="89" spans="1:63" s="78" customFormat="1">
      <c r="A89" s="156"/>
      <c r="B89" s="88"/>
      <c r="C89" s="88"/>
      <c r="D89" s="88"/>
      <c r="E89" s="88"/>
      <c r="L89" s="218" t="s">
        <v>507</v>
      </c>
      <c r="M89" s="218"/>
      <c r="N89" s="218"/>
      <c r="O89" s="218"/>
      <c r="P89" s="218"/>
      <c r="Q89" s="218"/>
      <c r="R89" s="218"/>
      <c r="S89" s="218"/>
      <c r="T89" s="218"/>
      <c r="U89" s="218"/>
      <c r="V89" s="218"/>
      <c r="W89" s="218"/>
      <c r="X89" s="218"/>
      <c r="Y89" s="218"/>
      <c r="Z89" s="218"/>
      <c r="AA89" s="218"/>
      <c r="AB89" s="218"/>
      <c r="AC89" s="218"/>
      <c r="AD89" s="218"/>
      <c r="AE89" s="218"/>
      <c r="AF89" s="218"/>
      <c r="AG89" s="218"/>
      <c r="AH89" s="218"/>
      <c r="AI89" s="218"/>
      <c r="AJ89" s="218"/>
      <c r="AK89" s="218"/>
      <c r="AL89" s="218"/>
      <c r="AM89" s="218"/>
      <c r="AN89" s="218"/>
      <c r="AO89" s="218"/>
      <c r="AP89" s="218"/>
      <c r="AQ89" s="218"/>
      <c r="AR89" s="218"/>
      <c r="AS89" s="218"/>
      <c r="AT89" s="218"/>
      <c r="AU89" s="218"/>
      <c r="AV89" s="218"/>
      <c r="AW89" s="218"/>
      <c r="AX89" s="218"/>
      <c r="AY89" s="218"/>
      <c r="AZ89" s="218"/>
      <c r="BA89" s="218"/>
      <c r="BB89" s="218"/>
      <c r="BC89" s="218"/>
      <c r="BD89" s="218"/>
      <c r="BE89" s="218"/>
      <c r="BF89" s="218"/>
      <c r="BG89" s="218"/>
      <c r="BH89" s="218"/>
      <c r="BI89" s="218"/>
      <c r="BJ89" s="218"/>
      <c r="BK89" s="218"/>
    </row>
    <row r="90" spans="1:63" s="78" customFormat="1">
      <c r="A90" s="156"/>
      <c r="B90" s="88"/>
      <c r="C90" s="88"/>
      <c r="D90" s="88"/>
      <c r="E90" s="88"/>
      <c r="L90" s="218" t="s">
        <v>496</v>
      </c>
      <c r="M90" s="218"/>
      <c r="N90" s="218"/>
      <c r="O90" s="218"/>
      <c r="P90" s="218"/>
      <c r="Q90" s="218"/>
      <c r="R90" s="218"/>
      <c r="S90" s="218"/>
      <c r="T90" s="218"/>
      <c r="U90" s="218"/>
      <c r="V90" s="218"/>
      <c r="W90" s="218"/>
      <c r="X90" s="218"/>
      <c r="Y90" s="218"/>
      <c r="Z90" s="218"/>
      <c r="AA90" s="218"/>
      <c r="AB90" s="218"/>
      <c r="AC90" s="218"/>
      <c r="AD90" s="218"/>
      <c r="AE90" s="218"/>
      <c r="AF90" s="218"/>
      <c r="AG90" s="218"/>
      <c r="AH90" s="218"/>
      <c r="AI90" s="218"/>
      <c r="AJ90" s="218"/>
      <c r="AK90" s="218"/>
      <c r="AL90" s="218"/>
      <c r="AM90" s="218"/>
      <c r="AN90" s="218"/>
      <c r="AO90" s="218"/>
      <c r="AP90" s="218"/>
      <c r="AQ90" s="218"/>
      <c r="AR90" s="218"/>
      <c r="AS90" s="218"/>
      <c r="AT90" s="218"/>
      <c r="AU90" s="218"/>
      <c r="AV90" s="218"/>
      <c r="AW90" s="218"/>
      <c r="AX90" s="218"/>
      <c r="AY90" s="218"/>
      <c r="AZ90" s="218"/>
      <c r="BA90" s="218"/>
      <c r="BB90" s="218"/>
      <c r="BC90" s="218"/>
      <c r="BD90" s="218"/>
      <c r="BE90" s="218"/>
      <c r="BF90" s="218"/>
      <c r="BG90" s="218"/>
      <c r="BH90" s="218"/>
      <c r="BI90" s="218"/>
      <c r="BJ90" s="218"/>
      <c r="BK90" s="218"/>
    </row>
    <row r="91" spans="1:63" s="78" customFormat="1">
      <c r="A91" s="156"/>
      <c r="B91" s="88"/>
      <c r="C91" s="88"/>
      <c r="D91" s="88"/>
      <c r="E91" s="88"/>
      <c r="L91" s="218" t="s">
        <v>491</v>
      </c>
      <c r="M91" s="218"/>
      <c r="N91" s="218"/>
      <c r="O91" s="218"/>
      <c r="P91" s="218"/>
      <c r="Q91" s="218"/>
      <c r="R91" s="218"/>
      <c r="S91" s="218"/>
      <c r="T91" s="218"/>
      <c r="U91" s="218"/>
      <c r="V91" s="218"/>
      <c r="W91" s="218"/>
      <c r="X91" s="218"/>
      <c r="Y91" s="218"/>
      <c r="Z91" s="218"/>
      <c r="AA91" s="218"/>
      <c r="AB91" s="218"/>
      <c r="AC91" s="218"/>
      <c r="AD91" s="218"/>
      <c r="AE91" s="218"/>
      <c r="AF91" s="218"/>
      <c r="AG91" s="218"/>
      <c r="AH91" s="218"/>
      <c r="AI91" s="218"/>
      <c r="AJ91" s="218"/>
      <c r="AK91" s="218"/>
      <c r="AL91" s="218"/>
      <c r="AM91" s="218"/>
      <c r="AN91" s="218"/>
      <c r="AO91" s="218"/>
      <c r="AP91" s="218"/>
      <c r="AQ91" s="218"/>
      <c r="AR91" s="218"/>
      <c r="AS91" s="218"/>
      <c r="AT91" s="218"/>
      <c r="AU91" s="218"/>
      <c r="AV91" s="218"/>
      <c r="AW91" s="218"/>
      <c r="AX91" s="218"/>
      <c r="AY91" s="218"/>
      <c r="AZ91" s="218"/>
      <c r="BA91" s="218"/>
      <c r="BB91" s="218"/>
      <c r="BC91" s="218"/>
      <c r="BD91" s="218"/>
      <c r="BE91" s="218"/>
      <c r="BF91" s="218"/>
      <c r="BG91" s="218"/>
      <c r="BH91" s="218"/>
      <c r="BI91" s="218"/>
      <c r="BJ91" s="218"/>
      <c r="BK91" s="218"/>
    </row>
    <row r="92" spans="1:63" s="78" customFormat="1">
      <c r="A92" s="156"/>
      <c r="B92" s="88"/>
      <c r="C92" s="88"/>
      <c r="D92" s="88"/>
      <c r="E92" s="88"/>
      <c r="L92" s="218" t="s">
        <v>505</v>
      </c>
      <c r="M92" s="218"/>
      <c r="N92" s="218"/>
      <c r="O92" s="218"/>
      <c r="P92" s="218"/>
      <c r="Q92" s="218"/>
      <c r="R92" s="218"/>
      <c r="S92" s="218"/>
      <c r="T92" s="218"/>
      <c r="U92" s="218"/>
      <c r="V92" s="218"/>
      <c r="W92" s="218"/>
      <c r="X92" s="218"/>
      <c r="Y92" s="218"/>
      <c r="Z92" s="218"/>
      <c r="AA92" s="218"/>
      <c r="AB92" s="218"/>
      <c r="AC92" s="218"/>
      <c r="AD92" s="218"/>
      <c r="AE92" s="218"/>
      <c r="AF92" s="218"/>
      <c r="AG92" s="218"/>
      <c r="AH92" s="218"/>
      <c r="AI92" s="218"/>
      <c r="AJ92" s="218"/>
      <c r="AK92" s="218"/>
      <c r="AL92" s="218"/>
      <c r="AM92" s="218"/>
      <c r="AN92" s="218"/>
      <c r="AO92" s="218"/>
      <c r="AP92" s="218"/>
      <c r="AQ92" s="218"/>
      <c r="AR92" s="218"/>
      <c r="AS92" s="218"/>
      <c r="AT92" s="218"/>
      <c r="AU92" s="218"/>
      <c r="AV92" s="218"/>
      <c r="AW92" s="218"/>
      <c r="AX92" s="218"/>
      <c r="AY92" s="218"/>
      <c r="AZ92" s="218"/>
      <c r="BA92" s="218"/>
      <c r="BB92" s="218"/>
      <c r="BC92" s="218"/>
      <c r="BD92" s="218"/>
      <c r="BE92" s="218"/>
      <c r="BF92" s="218"/>
      <c r="BG92" s="218"/>
      <c r="BH92" s="218"/>
      <c r="BI92" s="218"/>
      <c r="BJ92" s="218"/>
      <c r="BK92" s="218"/>
    </row>
    <row r="93" spans="1:63" s="78" customFormat="1">
      <c r="A93" s="156"/>
      <c r="B93" s="88"/>
      <c r="C93" s="88"/>
      <c r="D93" s="88"/>
      <c r="E93" s="88"/>
      <c r="BK93" s="88"/>
    </row>
    <row r="94" spans="1:63" s="78" customFormat="1">
      <c r="A94" s="156"/>
      <c r="B94" s="88"/>
      <c r="C94" s="88"/>
      <c r="D94" s="88"/>
      <c r="E94" s="88"/>
      <c r="H94" s="216" t="s">
        <v>414</v>
      </c>
      <c r="I94" s="216"/>
      <c r="J94" s="216"/>
      <c r="K94" s="216"/>
      <c r="L94" s="216"/>
      <c r="M94" s="217"/>
      <c r="N94" s="217"/>
      <c r="O94" s="217"/>
      <c r="P94" s="217"/>
      <c r="Q94" s="217"/>
      <c r="R94" s="217"/>
      <c r="S94" s="217"/>
      <c r="T94" s="217"/>
      <c r="U94" s="217"/>
      <c r="V94" s="217"/>
      <c r="W94" s="217"/>
      <c r="X94" s="217"/>
      <c r="Y94" s="217"/>
      <c r="Z94" s="217"/>
      <c r="AA94" s="217"/>
      <c r="AB94" s="217"/>
      <c r="AC94" s="217"/>
      <c r="AD94" s="217"/>
      <c r="AE94" s="217"/>
      <c r="AF94" s="217"/>
      <c r="AG94" s="217"/>
      <c r="AH94" s="217"/>
      <c r="AI94" s="217"/>
      <c r="AJ94" s="217"/>
      <c r="AK94" s="217"/>
      <c r="AL94" s="217"/>
      <c r="AM94" s="217"/>
      <c r="AN94" s="217"/>
      <c r="AO94" s="217"/>
      <c r="BK94" s="88"/>
    </row>
    <row r="95" spans="1:63" s="78" customFormat="1">
      <c r="A95" s="156"/>
      <c r="B95" s="88"/>
      <c r="C95" s="88"/>
      <c r="D95" s="88"/>
      <c r="E95" s="88"/>
      <c r="H95" s="217"/>
      <c r="I95" s="217"/>
      <c r="J95" s="217"/>
      <c r="K95" s="217"/>
      <c r="L95" s="561" t="s">
        <v>497</v>
      </c>
      <c r="M95" s="562"/>
      <c r="N95" s="562"/>
      <c r="O95" s="562"/>
      <c r="P95" s="562"/>
      <c r="Q95" s="562"/>
      <c r="R95" s="562"/>
      <c r="S95" s="562"/>
      <c r="T95" s="562"/>
      <c r="U95" s="562"/>
      <c r="V95" s="562"/>
      <c r="W95" s="562"/>
      <c r="X95" s="562"/>
      <c r="Y95" s="562"/>
      <c r="Z95" s="562"/>
      <c r="AA95" s="562"/>
      <c r="AB95" s="562"/>
      <c r="AC95" s="562"/>
      <c r="AD95" s="562"/>
      <c r="AE95" s="562"/>
      <c r="AF95" s="562"/>
      <c r="AG95" s="562"/>
      <c r="AH95" s="562"/>
      <c r="AI95" s="562"/>
      <c r="AJ95" s="562"/>
      <c r="AK95" s="562"/>
      <c r="AL95" s="562"/>
      <c r="AM95" s="562"/>
      <c r="AN95" s="562"/>
      <c r="AO95" s="562"/>
      <c r="AP95" s="562"/>
      <c r="AQ95" s="562"/>
      <c r="AR95" s="562"/>
      <c r="AS95" s="562"/>
      <c r="AT95" s="562"/>
      <c r="AU95" s="562"/>
      <c r="AV95" s="562"/>
      <c r="AW95" s="562"/>
      <c r="AX95" s="562"/>
      <c r="AY95" s="562"/>
      <c r="AZ95" s="562"/>
      <c r="BA95" s="562"/>
      <c r="BB95" s="562"/>
      <c r="BC95" s="562"/>
      <c r="BD95" s="562"/>
      <c r="BE95" s="562"/>
      <c r="BF95" s="562"/>
      <c r="BG95" s="562"/>
      <c r="BH95" s="562"/>
      <c r="BI95" s="562"/>
      <c r="BJ95" s="562"/>
      <c r="BK95" s="562"/>
    </row>
    <row r="96" spans="1:63" s="78" customFormat="1">
      <c r="A96" s="156"/>
      <c r="B96" s="88"/>
      <c r="C96" s="88"/>
      <c r="D96" s="88"/>
      <c r="E96" s="88"/>
      <c r="H96" s="217"/>
      <c r="I96" s="217"/>
      <c r="J96" s="217"/>
      <c r="K96" s="217"/>
      <c r="L96" s="218" t="s">
        <v>498</v>
      </c>
      <c r="M96" s="218"/>
      <c r="N96" s="218"/>
      <c r="O96" s="218"/>
      <c r="P96" s="218"/>
      <c r="Q96" s="218"/>
      <c r="R96" s="218"/>
      <c r="S96" s="218"/>
      <c r="T96" s="218"/>
      <c r="U96" s="218"/>
      <c r="V96" s="218"/>
      <c r="W96" s="218"/>
      <c r="X96" s="218"/>
      <c r="Y96" s="218"/>
      <c r="Z96" s="218"/>
      <c r="AA96" s="218"/>
      <c r="AB96" s="218"/>
      <c r="AC96" s="218"/>
      <c r="AD96" s="218"/>
      <c r="AE96" s="218"/>
      <c r="AF96" s="218"/>
      <c r="AG96" s="218"/>
      <c r="AH96" s="218"/>
      <c r="AI96" s="218"/>
      <c r="AJ96" s="218"/>
      <c r="AK96" s="218"/>
      <c r="AL96" s="218"/>
      <c r="AM96" s="218"/>
      <c r="AN96" s="218"/>
      <c r="AO96" s="218"/>
      <c r="AP96" s="218"/>
      <c r="AQ96" s="218"/>
      <c r="AR96" s="218"/>
      <c r="AS96" s="218"/>
      <c r="AT96" s="218"/>
      <c r="AU96" s="218"/>
      <c r="AV96" s="218"/>
      <c r="AW96" s="218"/>
      <c r="AX96" s="218"/>
      <c r="AY96" s="218"/>
      <c r="AZ96" s="218"/>
      <c r="BA96" s="218"/>
      <c r="BB96" s="218"/>
      <c r="BC96" s="218"/>
      <c r="BD96" s="218"/>
      <c r="BE96" s="218"/>
      <c r="BF96" s="218"/>
      <c r="BG96" s="218"/>
      <c r="BH96" s="218"/>
      <c r="BI96" s="218"/>
      <c r="BJ96" s="218"/>
      <c r="BK96" s="218"/>
    </row>
    <row r="97" spans="1:63" s="78" customFormat="1">
      <c r="A97" s="156"/>
      <c r="B97" s="88"/>
      <c r="C97" s="88"/>
      <c r="D97" s="88"/>
      <c r="E97" s="88"/>
      <c r="H97" s="217"/>
      <c r="I97" s="217"/>
      <c r="J97" s="217"/>
      <c r="K97" s="217"/>
      <c r="L97" s="218" t="s">
        <v>496</v>
      </c>
      <c r="M97" s="218"/>
      <c r="N97" s="218"/>
      <c r="O97" s="218"/>
      <c r="P97" s="218"/>
      <c r="Q97" s="218"/>
      <c r="R97" s="218"/>
      <c r="S97" s="218"/>
      <c r="T97" s="218"/>
      <c r="U97" s="218"/>
      <c r="V97" s="218"/>
      <c r="W97" s="218"/>
      <c r="X97" s="218"/>
      <c r="Y97" s="218"/>
      <c r="Z97" s="218"/>
      <c r="AA97" s="218"/>
      <c r="AB97" s="218"/>
      <c r="AC97" s="218"/>
      <c r="AD97" s="218"/>
      <c r="AE97" s="218"/>
      <c r="AF97" s="218"/>
      <c r="AG97" s="218"/>
      <c r="AH97" s="218"/>
      <c r="AI97" s="218"/>
      <c r="AJ97" s="218"/>
      <c r="AK97" s="218"/>
      <c r="AL97" s="218"/>
      <c r="AM97" s="218"/>
      <c r="AN97" s="218"/>
      <c r="AO97" s="218"/>
      <c r="AP97" s="218"/>
      <c r="AQ97" s="218"/>
      <c r="AR97" s="218"/>
      <c r="AS97" s="218"/>
      <c r="AT97" s="218"/>
      <c r="AU97" s="218"/>
      <c r="AV97" s="218"/>
      <c r="AW97" s="218"/>
      <c r="AX97" s="218"/>
      <c r="AY97" s="218"/>
      <c r="AZ97" s="218"/>
      <c r="BA97" s="218"/>
      <c r="BB97" s="218"/>
      <c r="BC97" s="218"/>
      <c r="BD97" s="218"/>
      <c r="BE97" s="218"/>
      <c r="BF97" s="218"/>
      <c r="BG97" s="218"/>
      <c r="BH97" s="218"/>
      <c r="BI97" s="218"/>
      <c r="BJ97" s="218"/>
      <c r="BK97" s="218"/>
    </row>
    <row r="98" spans="1:63" s="78" customFormat="1">
      <c r="A98" s="156"/>
      <c r="B98" s="88"/>
      <c r="C98" s="88"/>
      <c r="D98" s="88"/>
      <c r="E98" s="88"/>
      <c r="H98" s="217"/>
      <c r="I98" s="217"/>
      <c r="J98" s="217"/>
      <c r="K98" s="217"/>
      <c r="L98" s="218" t="s">
        <v>491</v>
      </c>
      <c r="M98" s="218"/>
      <c r="N98" s="218"/>
      <c r="O98" s="218"/>
      <c r="P98" s="218"/>
      <c r="Q98" s="218"/>
      <c r="R98" s="218"/>
      <c r="S98" s="218"/>
      <c r="T98" s="218"/>
      <c r="U98" s="218"/>
      <c r="V98" s="218"/>
      <c r="W98" s="218"/>
      <c r="X98" s="218"/>
      <c r="Y98" s="218"/>
      <c r="Z98" s="218"/>
      <c r="AA98" s="218"/>
      <c r="AB98" s="218"/>
      <c r="AC98" s="218"/>
      <c r="AD98" s="218"/>
      <c r="AE98" s="218"/>
      <c r="AF98" s="218"/>
      <c r="AG98" s="218"/>
      <c r="AH98" s="218"/>
      <c r="AI98" s="218"/>
      <c r="AJ98" s="218"/>
      <c r="AK98" s="218"/>
      <c r="AL98" s="218"/>
      <c r="AM98" s="218"/>
      <c r="AN98" s="218"/>
      <c r="AO98" s="218"/>
      <c r="AP98" s="218"/>
      <c r="AQ98" s="218"/>
      <c r="AR98" s="218"/>
      <c r="AS98" s="218"/>
      <c r="AT98" s="218"/>
      <c r="AU98" s="218"/>
      <c r="AV98" s="218"/>
      <c r="AW98" s="218"/>
      <c r="AX98" s="218"/>
      <c r="AY98" s="218"/>
      <c r="AZ98" s="218"/>
      <c r="BA98" s="218"/>
      <c r="BB98" s="218"/>
      <c r="BC98" s="218"/>
      <c r="BD98" s="218"/>
      <c r="BE98" s="218"/>
      <c r="BF98" s="218"/>
      <c r="BG98" s="218"/>
      <c r="BH98" s="218"/>
      <c r="BI98" s="218"/>
      <c r="BJ98" s="218"/>
      <c r="BK98" s="218"/>
    </row>
    <row r="99" spans="1:63" s="78" customFormat="1" ht="39" customHeight="1">
      <c r="A99" s="156"/>
      <c r="B99" s="88"/>
      <c r="C99" s="88"/>
      <c r="D99" s="88"/>
      <c r="E99" s="88"/>
      <c r="L99" s="187"/>
      <c r="M99" s="187"/>
      <c r="N99" s="187"/>
      <c r="O99" s="187"/>
      <c r="P99" s="187"/>
      <c r="Q99" s="187"/>
      <c r="R99" s="187"/>
      <c r="S99" s="187"/>
      <c r="T99" s="187"/>
      <c r="U99" s="187"/>
      <c r="V99" s="187"/>
      <c r="W99" s="187"/>
      <c r="X99" s="187"/>
      <c r="Y99" s="187"/>
      <c r="Z99" s="187"/>
      <c r="AA99" s="187"/>
      <c r="AB99" s="187"/>
      <c r="AC99" s="187"/>
      <c r="AD99" s="187"/>
      <c r="AE99" s="187"/>
      <c r="AF99" s="187"/>
      <c r="AG99" s="187"/>
      <c r="AH99" s="187"/>
      <c r="AI99" s="187"/>
      <c r="AJ99" s="187"/>
      <c r="AK99" s="187"/>
      <c r="AL99" s="187"/>
      <c r="AM99" s="187"/>
      <c r="AN99" s="187"/>
      <c r="AO99" s="187"/>
      <c r="AP99" s="187"/>
      <c r="AQ99" s="187"/>
      <c r="AR99" s="187"/>
      <c r="AS99" s="187"/>
      <c r="AT99" s="187"/>
      <c r="AU99" s="187"/>
      <c r="AV99" s="187"/>
      <c r="AW99" s="187"/>
      <c r="AX99" s="187"/>
      <c r="AY99" s="187"/>
      <c r="AZ99" s="187"/>
      <c r="BA99" s="187"/>
      <c r="BB99" s="187"/>
      <c r="BC99" s="187"/>
      <c r="BD99" s="187"/>
      <c r="BE99" s="187"/>
      <c r="BF99" s="187"/>
      <c r="BG99" s="187"/>
      <c r="BH99" s="187"/>
      <c r="BI99" s="187"/>
      <c r="BJ99" s="187"/>
      <c r="BK99" s="187"/>
    </row>
    <row r="100" spans="1:63" ht="18">
      <c r="A100" s="78"/>
      <c r="D100" s="478" t="s">
        <v>189</v>
      </c>
      <c r="E100" s="478"/>
      <c r="F100" s="478"/>
      <c r="G100" s="478"/>
      <c r="H100" s="478"/>
      <c r="I100" s="478"/>
      <c r="J100" s="478"/>
      <c r="K100" s="478"/>
      <c r="L100" s="478"/>
      <c r="M100" s="478"/>
      <c r="N100" s="478"/>
      <c r="O100" s="478"/>
      <c r="P100" s="478"/>
      <c r="Q100" s="478"/>
      <c r="R100" s="478"/>
    </row>
    <row r="101" spans="1:63">
      <c r="A101" s="78"/>
    </row>
    <row r="102" spans="1:63">
      <c r="A102" s="78"/>
      <c r="L102" s="401" t="s">
        <v>122</v>
      </c>
      <c r="M102" s="401"/>
      <c r="N102" s="401"/>
      <c r="O102" s="401"/>
      <c r="P102" s="401"/>
      <c r="Q102" s="401"/>
      <c r="R102" s="401"/>
      <c r="S102" s="401"/>
      <c r="T102" s="401"/>
      <c r="U102" s="401"/>
      <c r="V102" s="401"/>
      <c r="W102" s="401"/>
      <c r="X102" s="401"/>
      <c r="Y102" s="401"/>
      <c r="Z102" s="401"/>
      <c r="AA102" s="401"/>
      <c r="AB102" s="401"/>
      <c r="AC102" s="401"/>
      <c r="AD102" s="401"/>
      <c r="AE102" s="401"/>
      <c r="AF102" s="401"/>
      <c r="AG102" s="401"/>
      <c r="AH102" s="401"/>
      <c r="AI102" s="401"/>
      <c r="AJ102" s="401"/>
      <c r="AK102" s="401"/>
      <c r="AL102" s="401"/>
      <c r="AM102" s="401"/>
      <c r="AN102" s="401"/>
      <c r="AO102" s="401"/>
      <c r="AP102" s="401"/>
      <c r="AQ102" s="401"/>
      <c r="AR102" s="401"/>
      <c r="AS102" s="401"/>
      <c r="AT102" s="401"/>
      <c r="AU102" s="401"/>
      <c r="AV102" s="401"/>
      <c r="AW102" s="401"/>
      <c r="AX102" s="401"/>
      <c r="AY102" s="401"/>
    </row>
    <row r="103" spans="1:63">
      <c r="A103" s="78"/>
      <c r="L103" s="593"/>
      <c r="M103" s="594"/>
      <c r="N103" s="594"/>
      <c r="O103" s="594"/>
      <c r="P103" s="594"/>
      <c r="Q103" s="594"/>
      <c r="R103" s="594"/>
      <c r="S103" s="594"/>
      <c r="T103" s="594"/>
      <c r="U103" s="594"/>
      <c r="V103" s="594"/>
      <c r="W103" s="594"/>
      <c r="X103" s="594"/>
      <c r="Y103" s="594"/>
      <c r="Z103" s="594"/>
      <c r="AA103" s="594"/>
      <c r="AB103" s="594"/>
      <c r="AC103" s="594"/>
      <c r="AD103" s="594"/>
      <c r="AE103" s="594"/>
      <c r="AF103" s="594"/>
      <c r="AG103" s="594"/>
      <c r="AH103" s="594"/>
      <c r="AI103" s="594"/>
      <c r="AJ103" s="594"/>
      <c r="AK103" s="594"/>
      <c r="AL103" s="594"/>
      <c r="AM103" s="595"/>
      <c r="AN103" s="401" t="s">
        <v>123</v>
      </c>
      <c r="AO103" s="401"/>
      <c r="AP103" s="401"/>
      <c r="AQ103" s="401"/>
      <c r="AR103" s="401"/>
      <c r="AS103" s="401"/>
      <c r="AT103" s="581" t="s">
        <v>53</v>
      </c>
      <c r="AU103" s="582"/>
      <c r="AV103" s="582"/>
      <c r="AW103" s="582"/>
      <c r="AX103" s="582"/>
      <c r="AY103" s="583"/>
    </row>
    <row r="104" spans="1:63">
      <c r="L104" s="569" t="s">
        <v>116</v>
      </c>
      <c r="M104" s="570"/>
      <c r="N104" s="570"/>
      <c r="O104" s="570"/>
      <c r="P104" s="571"/>
      <c r="Q104" s="569" t="s">
        <v>39</v>
      </c>
      <c r="R104" s="570"/>
      <c r="S104" s="570"/>
      <c r="T104" s="570"/>
      <c r="U104" s="570"/>
      <c r="V104" s="570"/>
      <c r="W104" s="571"/>
      <c r="X104" s="563" t="s">
        <v>40</v>
      </c>
      <c r="Y104" s="564"/>
      <c r="Z104" s="564"/>
      <c r="AA104" s="564"/>
      <c r="AB104" s="564"/>
      <c r="AC104" s="564"/>
      <c r="AD104" s="564"/>
      <c r="AE104" s="564"/>
      <c r="AF104" s="564"/>
      <c r="AG104" s="564"/>
      <c r="AH104" s="564"/>
      <c r="AI104" s="564"/>
      <c r="AJ104" s="564"/>
      <c r="AK104" s="564"/>
      <c r="AL104" s="564"/>
      <c r="AM104" s="565"/>
      <c r="AN104" s="402">
        <v>1</v>
      </c>
      <c r="AO104" s="402"/>
      <c r="AP104" s="402"/>
      <c r="AQ104" s="402"/>
      <c r="AR104" s="402"/>
      <c r="AS104" s="402"/>
      <c r="AT104" s="402">
        <v>1</v>
      </c>
      <c r="AU104" s="402"/>
      <c r="AV104" s="402"/>
      <c r="AW104" s="402"/>
      <c r="AX104" s="402"/>
      <c r="AY104" s="402"/>
    </row>
    <row r="105" spans="1:63">
      <c r="L105" s="572"/>
      <c r="M105" s="573"/>
      <c r="N105" s="573"/>
      <c r="O105" s="573"/>
      <c r="P105" s="574"/>
      <c r="Q105" s="584"/>
      <c r="R105" s="585"/>
      <c r="S105" s="585"/>
      <c r="T105" s="585"/>
      <c r="U105" s="585"/>
      <c r="V105" s="585"/>
      <c r="W105" s="586"/>
      <c r="X105" s="563" t="s">
        <v>83</v>
      </c>
      <c r="Y105" s="564"/>
      <c r="Z105" s="564"/>
      <c r="AA105" s="564"/>
      <c r="AB105" s="564"/>
      <c r="AC105" s="564"/>
      <c r="AD105" s="564"/>
      <c r="AE105" s="564"/>
      <c r="AF105" s="564"/>
      <c r="AG105" s="564"/>
      <c r="AH105" s="564"/>
      <c r="AI105" s="564"/>
      <c r="AJ105" s="564"/>
      <c r="AK105" s="564"/>
      <c r="AL105" s="564"/>
      <c r="AM105" s="565"/>
      <c r="AN105" s="402">
        <v>2</v>
      </c>
      <c r="AO105" s="402"/>
      <c r="AP105" s="402"/>
      <c r="AQ105" s="402"/>
      <c r="AR105" s="402"/>
      <c r="AS105" s="402"/>
      <c r="AT105" s="402">
        <v>2</v>
      </c>
      <c r="AU105" s="402"/>
      <c r="AV105" s="402"/>
      <c r="AW105" s="402"/>
      <c r="AX105" s="402"/>
      <c r="AY105" s="402"/>
    </row>
    <row r="106" spans="1:63">
      <c r="L106" s="572"/>
      <c r="M106" s="573"/>
      <c r="N106" s="573"/>
      <c r="O106" s="573"/>
      <c r="P106" s="574"/>
      <c r="Q106" s="569" t="s">
        <v>38</v>
      </c>
      <c r="R106" s="570"/>
      <c r="S106" s="570"/>
      <c r="T106" s="570"/>
      <c r="U106" s="570"/>
      <c r="V106" s="570"/>
      <c r="W106" s="571"/>
      <c r="X106" s="563" t="s">
        <v>41</v>
      </c>
      <c r="Y106" s="564"/>
      <c r="Z106" s="564"/>
      <c r="AA106" s="564"/>
      <c r="AB106" s="564"/>
      <c r="AC106" s="564"/>
      <c r="AD106" s="564"/>
      <c r="AE106" s="564"/>
      <c r="AF106" s="564"/>
      <c r="AG106" s="564"/>
      <c r="AH106" s="564"/>
      <c r="AI106" s="564"/>
      <c r="AJ106" s="564"/>
      <c r="AK106" s="564"/>
      <c r="AL106" s="564"/>
      <c r="AM106" s="565"/>
      <c r="AN106" s="402">
        <v>1</v>
      </c>
      <c r="AO106" s="402"/>
      <c r="AP106" s="402"/>
      <c r="AQ106" s="402"/>
      <c r="AR106" s="402"/>
      <c r="AS106" s="402"/>
      <c r="AT106" s="402">
        <v>1</v>
      </c>
      <c r="AU106" s="402"/>
      <c r="AV106" s="402"/>
      <c r="AW106" s="402"/>
      <c r="AX106" s="402"/>
      <c r="AY106" s="402"/>
    </row>
    <row r="107" spans="1:63">
      <c r="L107" s="572"/>
      <c r="M107" s="573"/>
      <c r="N107" s="573"/>
      <c r="O107" s="573"/>
      <c r="P107" s="574"/>
      <c r="Q107" s="572"/>
      <c r="R107" s="573"/>
      <c r="S107" s="573"/>
      <c r="T107" s="573"/>
      <c r="U107" s="573"/>
      <c r="V107" s="573"/>
      <c r="W107" s="574"/>
      <c r="X107" s="563" t="s">
        <v>42</v>
      </c>
      <c r="Y107" s="564"/>
      <c r="Z107" s="564"/>
      <c r="AA107" s="564"/>
      <c r="AB107" s="564"/>
      <c r="AC107" s="564"/>
      <c r="AD107" s="564"/>
      <c r="AE107" s="564"/>
      <c r="AF107" s="564"/>
      <c r="AG107" s="564"/>
      <c r="AH107" s="564"/>
      <c r="AI107" s="564"/>
      <c r="AJ107" s="564"/>
      <c r="AK107" s="564"/>
      <c r="AL107" s="564"/>
      <c r="AM107" s="565"/>
      <c r="AN107" s="402">
        <v>2</v>
      </c>
      <c r="AO107" s="402"/>
      <c r="AP107" s="402"/>
      <c r="AQ107" s="402"/>
      <c r="AR107" s="402"/>
      <c r="AS107" s="402"/>
      <c r="AT107" s="402">
        <v>2</v>
      </c>
      <c r="AU107" s="402"/>
      <c r="AV107" s="402"/>
      <c r="AW107" s="402"/>
      <c r="AX107" s="402"/>
      <c r="AY107" s="402"/>
    </row>
    <row r="108" spans="1:63">
      <c r="L108" s="572"/>
      <c r="M108" s="573"/>
      <c r="N108" s="573"/>
      <c r="O108" s="573"/>
      <c r="P108" s="574"/>
      <c r="Q108" s="572"/>
      <c r="R108" s="573"/>
      <c r="S108" s="573"/>
      <c r="T108" s="573"/>
      <c r="U108" s="573"/>
      <c r="V108" s="573"/>
      <c r="W108" s="574"/>
      <c r="X108" s="563" t="s">
        <v>214</v>
      </c>
      <c r="Y108" s="564"/>
      <c r="Z108" s="564"/>
      <c r="AA108" s="564"/>
      <c r="AB108" s="564"/>
      <c r="AC108" s="564"/>
      <c r="AD108" s="564"/>
      <c r="AE108" s="564"/>
      <c r="AF108" s="564"/>
      <c r="AG108" s="564"/>
      <c r="AH108" s="564"/>
      <c r="AI108" s="564"/>
      <c r="AJ108" s="564"/>
      <c r="AK108" s="564"/>
      <c r="AL108" s="564"/>
      <c r="AM108" s="565"/>
      <c r="AN108" s="402">
        <v>1</v>
      </c>
      <c r="AO108" s="402"/>
      <c r="AP108" s="402"/>
      <c r="AQ108" s="402"/>
      <c r="AR108" s="402"/>
      <c r="AS108" s="402"/>
      <c r="AT108" s="402">
        <v>1</v>
      </c>
      <c r="AU108" s="402"/>
      <c r="AV108" s="402"/>
      <c r="AW108" s="402"/>
      <c r="AX108" s="402"/>
      <c r="AY108" s="402"/>
    </row>
    <row r="109" spans="1:63">
      <c r="L109" s="572"/>
      <c r="M109" s="573"/>
      <c r="N109" s="573"/>
      <c r="O109" s="573"/>
      <c r="P109" s="574"/>
      <c r="Q109" s="580" t="s">
        <v>21</v>
      </c>
      <c r="R109" s="580"/>
      <c r="S109" s="580"/>
      <c r="T109" s="580"/>
      <c r="U109" s="580"/>
      <c r="V109" s="580"/>
      <c r="W109" s="580"/>
      <c r="X109" s="563" t="s">
        <v>142</v>
      </c>
      <c r="Y109" s="564"/>
      <c r="Z109" s="564"/>
      <c r="AA109" s="564"/>
      <c r="AB109" s="564"/>
      <c r="AC109" s="564"/>
      <c r="AD109" s="564"/>
      <c r="AE109" s="564"/>
      <c r="AF109" s="564"/>
      <c r="AG109" s="564"/>
      <c r="AH109" s="564"/>
      <c r="AI109" s="564"/>
      <c r="AJ109" s="564"/>
      <c r="AK109" s="564"/>
      <c r="AL109" s="564"/>
      <c r="AM109" s="565"/>
      <c r="AN109" s="402">
        <v>1</v>
      </c>
      <c r="AO109" s="402"/>
      <c r="AP109" s="402"/>
      <c r="AQ109" s="402"/>
      <c r="AR109" s="402"/>
      <c r="AS109" s="402"/>
      <c r="AT109" s="402">
        <v>1</v>
      </c>
      <c r="AU109" s="402"/>
      <c r="AV109" s="402"/>
      <c r="AW109" s="402"/>
      <c r="AX109" s="402"/>
      <c r="AY109" s="402"/>
    </row>
    <row r="110" spans="1:63">
      <c r="L110" s="572"/>
      <c r="M110" s="573"/>
      <c r="N110" s="573"/>
      <c r="O110" s="573"/>
      <c r="P110" s="574"/>
      <c r="Q110" s="580"/>
      <c r="R110" s="580"/>
      <c r="S110" s="580"/>
      <c r="T110" s="580"/>
      <c r="U110" s="580"/>
      <c r="V110" s="580"/>
      <c r="W110" s="580"/>
      <c r="X110" s="563" t="s">
        <v>143</v>
      </c>
      <c r="Y110" s="564"/>
      <c r="Z110" s="564"/>
      <c r="AA110" s="564"/>
      <c r="AB110" s="564"/>
      <c r="AC110" s="564"/>
      <c r="AD110" s="564"/>
      <c r="AE110" s="564"/>
      <c r="AF110" s="564"/>
      <c r="AG110" s="564"/>
      <c r="AH110" s="564"/>
      <c r="AI110" s="564"/>
      <c r="AJ110" s="564"/>
      <c r="AK110" s="564"/>
      <c r="AL110" s="564"/>
      <c r="AM110" s="565"/>
      <c r="AN110" s="402">
        <v>1</v>
      </c>
      <c r="AO110" s="402"/>
      <c r="AP110" s="402"/>
      <c r="AQ110" s="402"/>
      <c r="AR110" s="402"/>
      <c r="AS110" s="402"/>
      <c r="AT110" s="402">
        <v>1</v>
      </c>
      <c r="AU110" s="402"/>
      <c r="AV110" s="402"/>
      <c r="AW110" s="402"/>
      <c r="AX110" s="402"/>
      <c r="AY110" s="402"/>
    </row>
    <row r="111" spans="1:63">
      <c r="L111" s="572"/>
      <c r="M111" s="573"/>
      <c r="N111" s="573"/>
      <c r="O111" s="573"/>
      <c r="P111" s="574"/>
      <c r="Q111" s="580"/>
      <c r="R111" s="580"/>
      <c r="S111" s="580"/>
      <c r="T111" s="580"/>
      <c r="U111" s="580"/>
      <c r="V111" s="580"/>
      <c r="W111" s="580"/>
      <c r="X111" s="563" t="s">
        <v>144</v>
      </c>
      <c r="Y111" s="564"/>
      <c r="Z111" s="564"/>
      <c r="AA111" s="564"/>
      <c r="AB111" s="564"/>
      <c r="AC111" s="564"/>
      <c r="AD111" s="564"/>
      <c r="AE111" s="564"/>
      <c r="AF111" s="564"/>
      <c r="AG111" s="564"/>
      <c r="AH111" s="564"/>
      <c r="AI111" s="564"/>
      <c r="AJ111" s="564"/>
      <c r="AK111" s="564"/>
      <c r="AL111" s="564"/>
      <c r="AM111" s="565"/>
      <c r="AN111" s="402">
        <v>2</v>
      </c>
      <c r="AO111" s="402"/>
      <c r="AP111" s="402"/>
      <c r="AQ111" s="402"/>
      <c r="AR111" s="402"/>
      <c r="AS111" s="402"/>
      <c r="AT111" s="402">
        <v>2</v>
      </c>
      <c r="AU111" s="402"/>
      <c r="AV111" s="402"/>
      <c r="AW111" s="402"/>
      <c r="AX111" s="402"/>
      <c r="AY111" s="402"/>
    </row>
    <row r="112" spans="1:63">
      <c r="L112" s="584"/>
      <c r="M112" s="585"/>
      <c r="N112" s="585"/>
      <c r="O112" s="585"/>
      <c r="P112" s="586"/>
      <c r="Q112" s="580"/>
      <c r="R112" s="580"/>
      <c r="S112" s="580"/>
      <c r="T112" s="580"/>
      <c r="U112" s="580"/>
      <c r="V112" s="580"/>
      <c r="W112" s="580"/>
      <c r="X112" s="563" t="s">
        <v>145</v>
      </c>
      <c r="Y112" s="564"/>
      <c r="Z112" s="564"/>
      <c r="AA112" s="564"/>
      <c r="AB112" s="564"/>
      <c r="AC112" s="564"/>
      <c r="AD112" s="564"/>
      <c r="AE112" s="564"/>
      <c r="AF112" s="564"/>
      <c r="AG112" s="564"/>
      <c r="AH112" s="564"/>
      <c r="AI112" s="564"/>
      <c r="AJ112" s="564"/>
      <c r="AK112" s="564"/>
      <c r="AL112" s="564"/>
      <c r="AM112" s="565"/>
      <c r="AN112" s="402">
        <v>1</v>
      </c>
      <c r="AO112" s="402"/>
      <c r="AP112" s="402"/>
      <c r="AQ112" s="402"/>
      <c r="AR112" s="402"/>
      <c r="AS112" s="402"/>
      <c r="AT112" s="402">
        <v>1</v>
      </c>
      <c r="AU112" s="402"/>
      <c r="AV112" s="402"/>
      <c r="AW112" s="402"/>
      <c r="AX112" s="402"/>
      <c r="AY112" s="402"/>
    </row>
    <row r="113" spans="4:63">
      <c r="K113" s="78"/>
      <c r="L113" s="218"/>
      <c r="M113" s="568"/>
      <c r="N113" s="568"/>
      <c r="O113" s="568"/>
      <c r="P113" s="568"/>
      <c r="Q113" s="568"/>
      <c r="R113" s="568"/>
      <c r="S113" s="568"/>
      <c r="T113" s="568"/>
      <c r="U113" s="568"/>
      <c r="V113" s="568"/>
      <c r="W113" s="568"/>
      <c r="X113" s="568"/>
      <c r="Y113" s="568"/>
      <c r="Z113" s="568"/>
      <c r="AA113" s="568"/>
      <c r="AB113" s="568"/>
      <c r="AC113" s="568"/>
      <c r="AD113" s="568"/>
      <c r="AE113" s="568"/>
      <c r="AF113" s="568"/>
      <c r="AG113" s="568"/>
      <c r="AH113" s="568"/>
      <c r="AI113" s="568"/>
      <c r="AJ113" s="568"/>
      <c r="AK113" s="568"/>
      <c r="AL113" s="568"/>
      <c r="AM113" s="568"/>
      <c r="AN113" s="568"/>
      <c r="AO113" s="568"/>
      <c r="AP113" s="568"/>
      <c r="AQ113" s="568"/>
      <c r="AR113" s="568"/>
      <c r="AS113" s="568"/>
      <c r="AT113" s="568"/>
      <c r="AU113" s="568"/>
      <c r="AV113" s="568"/>
      <c r="AW113" s="568"/>
      <c r="AX113" s="568"/>
      <c r="AY113" s="568"/>
      <c r="AZ113" s="568"/>
      <c r="BA113" s="568"/>
      <c r="BB113" s="568"/>
      <c r="BC113" s="568"/>
      <c r="BD113" s="568"/>
      <c r="BE113" s="568"/>
      <c r="BF113" s="568"/>
      <c r="BG113" s="568"/>
      <c r="BH113" s="568"/>
      <c r="BI113" s="568"/>
      <c r="BJ113" s="568"/>
      <c r="BK113" s="568"/>
    </row>
    <row r="114" spans="4:63" ht="15" customHeight="1">
      <c r="K114" s="78"/>
      <c r="L114" s="107"/>
      <c r="M114" s="107"/>
      <c r="N114" s="107"/>
      <c r="O114" s="107"/>
      <c r="P114" s="107"/>
      <c r="Q114" s="107"/>
      <c r="R114" s="107"/>
      <c r="S114" s="107"/>
      <c r="T114" s="107"/>
      <c r="U114" s="107"/>
      <c r="V114" s="107"/>
      <c r="W114" s="107"/>
      <c r="X114" s="79"/>
      <c r="Y114" s="80"/>
      <c r="Z114" s="80"/>
      <c r="AA114" s="80"/>
      <c r="AB114" s="80"/>
      <c r="AC114" s="80"/>
      <c r="AD114" s="80"/>
      <c r="AE114" s="80"/>
      <c r="AF114" s="80"/>
      <c r="AG114" s="80"/>
      <c r="AH114" s="80"/>
      <c r="AI114" s="80"/>
      <c r="AJ114" s="80"/>
      <c r="AK114" s="80"/>
      <c r="AL114" s="80"/>
      <c r="AM114" s="79"/>
      <c r="AN114" s="96"/>
      <c r="AO114" s="96"/>
      <c r="AP114" s="96"/>
      <c r="AQ114" s="96"/>
      <c r="AR114" s="96"/>
      <c r="AS114" s="96"/>
      <c r="AT114" s="96"/>
      <c r="AU114" s="96"/>
      <c r="AV114" s="96"/>
      <c r="AW114" s="96"/>
      <c r="AX114" s="96"/>
      <c r="AY114" s="96"/>
      <c r="AZ114" s="78"/>
    </row>
    <row r="115" spans="4:63" ht="15" customHeight="1">
      <c r="K115" s="78"/>
      <c r="L115" s="107"/>
      <c r="M115" s="107"/>
      <c r="N115" s="107"/>
      <c r="O115" s="107"/>
      <c r="P115" s="107"/>
      <c r="Q115" s="107"/>
      <c r="R115" s="107"/>
      <c r="S115" s="107"/>
      <c r="T115" s="107"/>
      <c r="U115" s="107"/>
      <c r="V115" s="107"/>
      <c r="W115" s="107"/>
      <c r="X115" s="79"/>
      <c r="Y115" s="80"/>
      <c r="Z115" s="80"/>
      <c r="AA115" s="80"/>
      <c r="AB115" s="80"/>
      <c r="AC115" s="80"/>
      <c r="AD115" s="80"/>
      <c r="AE115" s="80"/>
      <c r="AF115" s="80"/>
      <c r="AG115" s="80"/>
      <c r="AH115" s="80"/>
      <c r="AI115" s="80"/>
      <c r="AJ115" s="80"/>
      <c r="AK115" s="80"/>
      <c r="AL115" s="80"/>
      <c r="AM115" s="79"/>
      <c r="AN115" s="96"/>
      <c r="AO115" s="96"/>
      <c r="AP115" s="96"/>
      <c r="AQ115" s="96"/>
      <c r="AR115" s="96"/>
      <c r="AS115" s="96"/>
      <c r="AT115" s="96"/>
      <c r="AU115" s="96"/>
      <c r="AV115" s="96"/>
      <c r="AW115" s="96"/>
      <c r="AX115" s="96"/>
      <c r="AY115" s="96"/>
      <c r="AZ115" s="78"/>
    </row>
    <row r="116" spans="4:63" ht="15" customHeight="1">
      <c r="K116" s="78"/>
      <c r="L116" s="107"/>
      <c r="M116" s="107"/>
      <c r="N116" s="107"/>
      <c r="O116" s="107"/>
      <c r="P116" s="107"/>
      <c r="Q116" s="107"/>
      <c r="R116" s="107"/>
      <c r="S116" s="107"/>
      <c r="T116" s="107"/>
      <c r="U116" s="107"/>
      <c r="V116" s="107"/>
      <c r="W116" s="107"/>
      <c r="X116" s="79"/>
      <c r="Y116" s="80"/>
      <c r="Z116" s="80"/>
      <c r="AA116" s="80"/>
      <c r="AB116" s="80"/>
      <c r="AC116" s="80"/>
      <c r="AD116" s="80"/>
      <c r="AE116" s="80"/>
      <c r="AF116" s="80"/>
      <c r="AG116" s="80"/>
      <c r="AH116" s="80"/>
      <c r="AI116" s="80"/>
      <c r="AJ116" s="80"/>
      <c r="AK116" s="80"/>
      <c r="AL116" s="80"/>
      <c r="AM116" s="79"/>
      <c r="AN116" s="96"/>
      <c r="AO116" s="96"/>
      <c r="AP116" s="96"/>
      <c r="AQ116" s="96"/>
      <c r="AR116" s="96"/>
      <c r="AS116" s="96"/>
      <c r="AT116" s="96"/>
      <c r="AU116" s="96"/>
      <c r="AV116" s="96"/>
      <c r="AW116" s="96"/>
      <c r="AX116" s="96"/>
      <c r="AY116" s="96"/>
      <c r="AZ116" s="78"/>
    </row>
    <row r="117" spans="4:63" ht="15" customHeight="1">
      <c r="K117" s="78"/>
      <c r="L117" s="107"/>
      <c r="M117" s="107"/>
      <c r="N117" s="107"/>
      <c r="O117" s="107"/>
      <c r="P117" s="107"/>
      <c r="Q117" s="107"/>
      <c r="R117" s="107"/>
      <c r="S117" s="107"/>
      <c r="T117" s="107"/>
      <c r="U117" s="107"/>
      <c r="V117" s="107"/>
      <c r="W117" s="107"/>
      <c r="X117" s="79"/>
      <c r="Y117" s="80"/>
      <c r="Z117" s="80"/>
      <c r="AA117" s="80"/>
      <c r="AB117" s="80"/>
      <c r="AC117" s="80"/>
      <c r="AD117" s="80"/>
      <c r="AE117" s="80"/>
      <c r="AF117" s="80"/>
      <c r="AG117" s="80"/>
      <c r="AH117" s="80"/>
      <c r="AI117" s="80"/>
      <c r="AJ117" s="80"/>
      <c r="AK117" s="80"/>
      <c r="AL117" s="80"/>
      <c r="AM117" s="79"/>
      <c r="AN117" s="96"/>
      <c r="AO117" s="96"/>
      <c r="AP117" s="96"/>
      <c r="AQ117" s="96"/>
      <c r="AR117" s="96"/>
      <c r="AS117" s="96"/>
      <c r="AT117" s="96"/>
      <c r="AU117" s="96"/>
      <c r="AV117" s="96"/>
      <c r="AW117" s="96"/>
      <c r="AX117" s="96"/>
      <c r="AY117" s="96"/>
      <c r="AZ117" s="78"/>
    </row>
    <row r="118" spans="4:63" ht="15" customHeight="1">
      <c r="K118" s="78"/>
      <c r="L118" s="107"/>
      <c r="M118" s="107"/>
      <c r="N118" s="107"/>
      <c r="O118" s="107"/>
      <c r="P118" s="107"/>
      <c r="Q118" s="107"/>
      <c r="R118" s="107"/>
      <c r="S118" s="107"/>
      <c r="T118" s="107"/>
      <c r="U118" s="107"/>
      <c r="V118" s="107"/>
      <c r="W118" s="107"/>
      <c r="X118" s="79"/>
      <c r="Y118" s="80"/>
      <c r="Z118" s="80"/>
      <c r="AA118" s="80"/>
      <c r="AB118" s="80"/>
      <c r="AC118" s="80"/>
      <c r="AD118" s="80"/>
      <c r="AE118" s="80"/>
      <c r="AF118" s="80"/>
      <c r="AG118" s="80"/>
      <c r="AH118" s="80"/>
      <c r="AI118" s="80"/>
      <c r="AJ118" s="80"/>
      <c r="AK118" s="80"/>
      <c r="AL118" s="80"/>
      <c r="AM118" s="80"/>
      <c r="AN118" s="108"/>
      <c r="AO118" s="108"/>
      <c r="AP118" s="108"/>
      <c r="AQ118" s="108"/>
      <c r="AR118" s="108"/>
      <c r="AS118" s="108"/>
      <c r="AT118" s="108"/>
      <c r="AU118" s="108"/>
      <c r="AV118" s="108"/>
      <c r="AW118" s="108"/>
      <c r="AX118" s="108"/>
      <c r="AY118" s="108"/>
    </row>
    <row r="119" spans="4:63" ht="15" customHeight="1">
      <c r="K119" s="78"/>
      <c r="L119" s="107"/>
      <c r="M119" s="107"/>
      <c r="N119" s="107"/>
      <c r="O119" s="107"/>
      <c r="P119" s="107"/>
      <c r="Q119" s="107"/>
      <c r="R119" s="107"/>
      <c r="S119" s="107"/>
      <c r="T119" s="107"/>
      <c r="U119" s="107"/>
      <c r="V119" s="107"/>
      <c r="W119" s="107"/>
      <c r="X119" s="79"/>
      <c r="Y119" s="80"/>
      <c r="Z119" s="80"/>
      <c r="AA119" s="80"/>
      <c r="AB119" s="80"/>
      <c r="AC119" s="80"/>
      <c r="AD119" s="80"/>
      <c r="AE119" s="80"/>
      <c r="AF119" s="80"/>
      <c r="AG119" s="80"/>
      <c r="AH119" s="80"/>
      <c r="AI119" s="80"/>
      <c r="AJ119" s="80"/>
      <c r="AK119" s="80"/>
      <c r="AL119" s="80"/>
      <c r="AM119" s="80"/>
      <c r="AN119" s="173"/>
      <c r="AO119" s="173"/>
      <c r="AP119" s="173"/>
      <c r="AQ119" s="173"/>
      <c r="AR119" s="173"/>
      <c r="AS119" s="173"/>
      <c r="AT119" s="173"/>
      <c r="AU119" s="173"/>
      <c r="AV119" s="173"/>
      <c r="AW119" s="173"/>
      <c r="AX119" s="173"/>
      <c r="AY119" s="173"/>
    </row>
    <row r="120" spans="4:63" ht="15" customHeight="1">
      <c r="K120" s="78"/>
      <c r="L120" s="107"/>
      <c r="M120" s="107"/>
      <c r="N120" s="107"/>
      <c r="O120" s="107"/>
      <c r="P120" s="107"/>
      <c r="Q120" s="107"/>
      <c r="R120" s="107"/>
      <c r="S120" s="107"/>
      <c r="T120" s="107"/>
      <c r="U120" s="107"/>
      <c r="V120" s="107"/>
      <c r="W120" s="107"/>
      <c r="X120" s="79"/>
      <c r="Y120" s="80"/>
      <c r="Z120" s="80"/>
      <c r="AA120" s="80"/>
      <c r="AB120" s="80"/>
      <c r="AC120" s="80"/>
      <c r="AD120" s="80"/>
      <c r="AE120" s="80"/>
      <c r="AF120" s="80"/>
      <c r="AG120" s="80"/>
      <c r="AH120" s="80"/>
      <c r="AI120" s="80"/>
      <c r="AJ120" s="80"/>
      <c r="AK120" s="80"/>
      <c r="AL120" s="80"/>
      <c r="AM120" s="80"/>
      <c r="AN120" s="173"/>
      <c r="AO120" s="173"/>
      <c r="AP120" s="173"/>
      <c r="AQ120" s="173"/>
      <c r="AR120" s="173"/>
      <c r="AS120" s="173"/>
      <c r="AT120" s="173"/>
      <c r="AU120" s="173"/>
      <c r="AV120" s="173"/>
      <c r="AW120" s="173"/>
      <c r="AX120" s="173"/>
      <c r="AY120" s="173"/>
    </row>
    <row r="121" spans="4:63" ht="25.5" customHeight="1">
      <c r="D121" s="106" t="s">
        <v>201</v>
      </c>
    </row>
    <row r="122" spans="4:63" ht="9.75" customHeight="1"/>
    <row r="123" spans="4:63">
      <c r="D123" s="81" t="s">
        <v>120</v>
      </c>
    </row>
    <row r="124" spans="4:63" ht="12" customHeight="1" thickBot="1"/>
    <row r="125" spans="4:63">
      <c r="D125" s="587" t="s">
        <v>17</v>
      </c>
      <c r="E125" s="588"/>
      <c r="F125" s="588"/>
      <c r="G125" s="589"/>
      <c r="H125" s="596" t="s">
        <v>20</v>
      </c>
      <c r="I125" s="588"/>
      <c r="J125" s="588"/>
      <c r="K125" s="588"/>
      <c r="L125" s="588"/>
      <c r="M125" s="588"/>
      <c r="N125" s="578" t="s">
        <v>115</v>
      </c>
      <c r="O125" s="578"/>
      <c r="P125" s="578"/>
      <c r="Q125" s="578"/>
      <c r="R125" s="578"/>
      <c r="S125" s="578"/>
      <c r="T125" s="578"/>
      <c r="U125" s="578"/>
      <c r="V125" s="578"/>
      <c r="W125" s="578"/>
      <c r="X125" s="578"/>
      <c r="Y125" s="578"/>
      <c r="Z125" s="578"/>
      <c r="AA125" s="578"/>
      <c r="AB125" s="578"/>
      <c r="AC125" s="578"/>
      <c r="AD125" s="578"/>
      <c r="AE125" s="599" t="s">
        <v>123</v>
      </c>
      <c r="AF125" s="588"/>
      <c r="AG125" s="588"/>
      <c r="AH125" s="588"/>
      <c r="AI125" s="588"/>
      <c r="AJ125" s="588"/>
      <c r="AK125" s="588"/>
      <c r="AL125" s="588"/>
      <c r="AM125" s="588"/>
      <c r="AN125" s="588"/>
      <c r="AO125" s="588"/>
      <c r="AP125" s="588"/>
      <c r="AQ125" s="588"/>
      <c r="AR125" s="589"/>
      <c r="AS125" s="575" t="s">
        <v>53</v>
      </c>
      <c r="AT125" s="576"/>
      <c r="AU125" s="576"/>
      <c r="AV125" s="576"/>
      <c r="AW125" s="576"/>
      <c r="AX125" s="576"/>
      <c r="AY125" s="576"/>
      <c r="AZ125" s="576"/>
      <c r="BA125" s="576"/>
      <c r="BB125" s="576"/>
      <c r="BC125" s="576"/>
      <c r="BD125" s="576"/>
      <c r="BE125" s="576"/>
      <c r="BF125" s="577"/>
    </row>
    <row r="126" spans="4:63" ht="15.75" thickBot="1">
      <c r="D126" s="590"/>
      <c r="E126" s="591"/>
      <c r="F126" s="591"/>
      <c r="G126" s="592"/>
      <c r="H126" s="597"/>
      <c r="I126" s="591"/>
      <c r="J126" s="591"/>
      <c r="K126" s="591"/>
      <c r="L126" s="591"/>
      <c r="M126" s="591"/>
      <c r="N126" s="579"/>
      <c r="O126" s="579"/>
      <c r="P126" s="579"/>
      <c r="Q126" s="579"/>
      <c r="R126" s="579"/>
      <c r="S126" s="579"/>
      <c r="T126" s="579"/>
      <c r="U126" s="579"/>
      <c r="V126" s="579"/>
      <c r="W126" s="579"/>
      <c r="X126" s="579"/>
      <c r="Y126" s="579"/>
      <c r="Z126" s="579"/>
      <c r="AA126" s="579"/>
      <c r="AB126" s="579"/>
      <c r="AC126" s="579"/>
      <c r="AD126" s="579"/>
      <c r="AE126" s="598" t="s">
        <v>18</v>
      </c>
      <c r="AF126" s="566"/>
      <c r="AG126" s="566"/>
      <c r="AH126" s="566"/>
      <c r="AI126" s="566"/>
      <c r="AJ126" s="566"/>
      <c r="AK126" s="566"/>
      <c r="AL126" s="566" t="s">
        <v>19</v>
      </c>
      <c r="AM126" s="566"/>
      <c r="AN126" s="566"/>
      <c r="AO126" s="566"/>
      <c r="AP126" s="566"/>
      <c r="AQ126" s="566"/>
      <c r="AR126" s="567"/>
      <c r="AS126" s="598" t="s">
        <v>18</v>
      </c>
      <c r="AT126" s="566"/>
      <c r="AU126" s="566"/>
      <c r="AV126" s="566"/>
      <c r="AW126" s="566"/>
      <c r="AX126" s="566"/>
      <c r="AY126" s="566"/>
      <c r="AZ126" s="566" t="s">
        <v>19</v>
      </c>
      <c r="BA126" s="566"/>
      <c r="BB126" s="566"/>
      <c r="BC126" s="566"/>
      <c r="BD126" s="566"/>
      <c r="BE126" s="566"/>
      <c r="BF126" s="567"/>
    </row>
    <row r="127" spans="4:63">
      <c r="D127" s="645" t="s">
        <v>21</v>
      </c>
      <c r="E127" s="646"/>
      <c r="F127" s="646"/>
      <c r="G127" s="646"/>
      <c r="H127" s="657" t="s">
        <v>116</v>
      </c>
      <c r="I127" s="578"/>
      <c r="J127" s="578"/>
      <c r="K127" s="578"/>
      <c r="L127" s="578"/>
      <c r="M127" s="658"/>
      <c r="N127" s="664" t="str">
        <f>'Config Lines'!A4</f>
        <v>Albertville - Rondissone 1</v>
      </c>
      <c r="O127" s="665"/>
      <c r="P127" s="665"/>
      <c r="Q127" s="665"/>
      <c r="R127" s="665"/>
      <c r="S127" s="665"/>
      <c r="T127" s="665"/>
      <c r="U127" s="665"/>
      <c r="V127" s="665"/>
      <c r="W127" s="665"/>
      <c r="X127" s="665"/>
      <c r="Y127" s="665"/>
      <c r="Z127" s="665"/>
      <c r="AA127" s="665"/>
      <c r="AB127" s="665"/>
      <c r="AC127" s="665"/>
      <c r="AD127" s="665"/>
      <c r="AE127" s="654">
        <f>IF(ISERROR(VLOOKUP('Config Lines'!D4,'N State Flows Data'!$A$4:$D$50,4,FALSE))=FALSE,VLOOKUP('Config Lines'!D4,'N State Flows Data'!$A$4:$D$50,4,FALSE),VLOOKUP('Config Lines'!H4,'N State Flows Data'!$A$4:$D$50,4,FALSE))</f>
        <v>2370</v>
      </c>
      <c r="AF127" s="631"/>
      <c r="AG127" s="631"/>
      <c r="AH127" s="631"/>
      <c r="AI127" s="631"/>
      <c r="AJ127" s="631"/>
      <c r="AK127" s="631"/>
      <c r="AL127" s="631">
        <f>IF(IF(ISERROR(VLOOKUP('Config Lines'!D4,'N State Flows Data'!$A$4:$D$50,3,FALSE))=FALSE,VLOOKUP('Config Lines'!D4,'N State Flows Data'!$A$4:$D$50,3,FALSE),VLOOKUP('Config Lines'!H4,'N State Flows Data'!$A$4:$D$50,3,FALSE))&lt;&gt;"Inv",IF(ISERROR(VLOOKUP('Config Lines'!D4,'N State Flows Data'!$A$4:$D$50,3,FALSE))=FALSE,VLOOKUP('Config Lines'!D4,'N State Flows Data'!$A$4:$D$50,3,FALSE),VLOOKUP('Config Lines'!H4,'N State Flows Data'!$A$4:$D$50,3,FALSE)),0)</f>
        <v>37</v>
      </c>
      <c r="AM127" s="631"/>
      <c r="AN127" s="631"/>
      <c r="AO127" s="631"/>
      <c r="AP127" s="631"/>
      <c r="AQ127" s="631"/>
      <c r="AR127" s="638"/>
      <c r="AS127" s="633">
        <f>IF(ISERROR(VLOOKUP('Config Lines'!D4,'N State Flows Data'!$F$4:$I$50,4,FALSE))=FALSE,VLOOKUP('Config Lines'!D4,'N State Flows Data'!$F$4:$I$50,4,FALSE),VLOOKUP('Config Lines'!H4,'N State Flows Data'!$F$4:$I$50,4,FALSE))</f>
        <v>2370</v>
      </c>
      <c r="AT127" s="634"/>
      <c r="AU127" s="634"/>
      <c r="AV127" s="634"/>
      <c r="AW127" s="634"/>
      <c r="AX127" s="634"/>
      <c r="AY127" s="634"/>
      <c r="AZ127" s="631">
        <f>IF(IF(ISERROR(VLOOKUP('Config Lines'!D4,'N State Flows Data'!$F$4:$I$50,3,FALSE))=FALSE,VLOOKUP('Config Lines'!D4,'N State Flows Data'!$F$4:$I$50,3,FALSE),VLOOKUP('Config Lines'!H4,'N State Flows Data'!$F$4:$I$50,3,FALSE))&lt;&gt;"Inv",IF(ISERROR(VLOOKUP('Config Lines'!D4,'N State Flows Data'!$F$4:$I$50,3,FALSE))=FALSE,VLOOKUP('Config Lines'!D4,'N State Flows Data'!$F$4:$I$50,3,FALSE),VLOOKUP('Config Lines'!H4,'N State Flows Data'!$F$4:$I$50,3,FALSE)),0)</f>
        <v>38</v>
      </c>
      <c r="BA127" s="631"/>
      <c r="BB127" s="631"/>
      <c r="BC127" s="631"/>
      <c r="BD127" s="631"/>
      <c r="BE127" s="631"/>
      <c r="BF127" s="632"/>
    </row>
    <row r="128" spans="4:63">
      <c r="D128" s="647"/>
      <c r="E128" s="573"/>
      <c r="F128" s="573"/>
      <c r="G128" s="573"/>
      <c r="H128" s="659"/>
      <c r="I128" s="660"/>
      <c r="J128" s="660"/>
      <c r="K128" s="660"/>
      <c r="L128" s="660"/>
      <c r="M128" s="661"/>
      <c r="N128" s="662" t="str">
        <f>'Config Lines'!A5</f>
        <v>Albertville - Rondissone 2</v>
      </c>
      <c r="O128" s="663"/>
      <c r="P128" s="663"/>
      <c r="Q128" s="663"/>
      <c r="R128" s="663"/>
      <c r="S128" s="663"/>
      <c r="T128" s="663"/>
      <c r="U128" s="663"/>
      <c r="V128" s="663"/>
      <c r="W128" s="663"/>
      <c r="X128" s="663"/>
      <c r="Y128" s="663"/>
      <c r="Z128" s="663"/>
      <c r="AA128" s="663"/>
      <c r="AB128" s="663"/>
      <c r="AC128" s="663"/>
      <c r="AD128" s="663"/>
      <c r="AE128" s="635">
        <f>IF(ISERROR(VLOOKUP('Config Lines'!D5,'N State Flows Data'!$A$4:$D$50,4,FALSE))=FALSE,VLOOKUP('Config Lines'!D5,'N State Flows Data'!$A$4:$D$50,4,FALSE),VLOOKUP('Config Lines'!H5,'N State Flows Data'!$A$4:$D$50,4,FALSE))</f>
        <v>2370</v>
      </c>
      <c r="AF128" s="628"/>
      <c r="AG128" s="628"/>
      <c r="AH128" s="628"/>
      <c r="AI128" s="628"/>
      <c r="AJ128" s="628"/>
      <c r="AK128" s="628"/>
      <c r="AL128" s="628">
        <f>IF(IF(ISERROR(VLOOKUP('Config Lines'!D5,'N State Flows Data'!$A$4:$D$50,3,FALSE))=FALSE,VLOOKUP('Config Lines'!D5,'N State Flows Data'!$A$4:$D$50,3,FALSE),VLOOKUP('Config Lines'!H5,'N State Flows Data'!$A$4:$D$50,3,FALSE))&lt;&gt;"Inv",IF(ISERROR(VLOOKUP('Config Lines'!D5,'N State Flows Data'!$A$4:$D$50,3,FALSE))=FALSE,VLOOKUP('Config Lines'!D5,'N State Flows Data'!$A$4:$D$50,3,FALSE),VLOOKUP('Config Lines'!H5,'N State Flows Data'!$A$4:$D$50,3,FALSE)),0)</f>
        <v>38</v>
      </c>
      <c r="AM128" s="628"/>
      <c r="AN128" s="628"/>
      <c r="AO128" s="628"/>
      <c r="AP128" s="628"/>
      <c r="AQ128" s="628"/>
      <c r="AR128" s="630"/>
      <c r="AS128" s="636">
        <f>IF(ISERROR(VLOOKUP('Config Lines'!D5,'N State Flows Data'!$F$4:$I$50,4,FALSE))=FALSE,VLOOKUP('Config Lines'!D5,'N State Flows Data'!$F$4:$I$50,4,FALSE),VLOOKUP('Config Lines'!H5,'N State Flows Data'!$F$4:$I$50,4,FALSE))</f>
        <v>2370</v>
      </c>
      <c r="AT128" s="637"/>
      <c r="AU128" s="637"/>
      <c r="AV128" s="637"/>
      <c r="AW128" s="637"/>
      <c r="AX128" s="637"/>
      <c r="AY128" s="637"/>
      <c r="AZ128" s="628">
        <f>IF(IF(ISERROR(VLOOKUP('Config Lines'!D5,'N State Flows Data'!$F$4:$I$50,3,FALSE))=FALSE,VLOOKUP('Config Lines'!D5,'N State Flows Data'!$F$4:$I$50,3,FALSE),VLOOKUP('Config Lines'!H5,'N State Flows Data'!$F$4:$I$50,3,FALSE))&lt;&gt;"Inv",IF(ISERROR(VLOOKUP('Config Lines'!D5,'N State Flows Data'!$F$4:$I$50,3,FALSE))=FALSE,VLOOKUP('Config Lines'!D5,'N State Flows Data'!$F$4:$I$50,3,FALSE),VLOOKUP('Config Lines'!H5,'N State Flows Data'!$F$4:$I$50,3,FALSE)),0)</f>
        <v>39</v>
      </c>
      <c r="BA128" s="628"/>
      <c r="BB128" s="628"/>
      <c r="BC128" s="628"/>
      <c r="BD128" s="628"/>
      <c r="BE128" s="628"/>
      <c r="BF128" s="629"/>
    </row>
    <row r="129" spans="4:58">
      <c r="D129" s="647"/>
      <c r="E129" s="573"/>
      <c r="F129" s="573"/>
      <c r="G129" s="573"/>
      <c r="H129" s="659"/>
      <c r="I129" s="660"/>
      <c r="J129" s="660"/>
      <c r="K129" s="660"/>
      <c r="L129" s="660"/>
      <c r="M129" s="661"/>
      <c r="N129" s="662" t="str">
        <f>'Config Lines'!A6</f>
        <v>Bulciago - Soazza</v>
      </c>
      <c r="O129" s="663"/>
      <c r="P129" s="663"/>
      <c r="Q129" s="663"/>
      <c r="R129" s="663"/>
      <c r="S129" s="663"/>
      <c r="T129" s="663"/>
      <c r="U129" s="663"/>
      <c r="V129" s="663"/>
      <c r="W129" s="663"/>
      <c r="X129" s="663"/>
      <c r="Y129" s="663"/>
      <c r="Z129" s="663"/>
      <c r="AA129" s="663"/>
      <c r="AB129" s="663"/>
      <c r="AC129" s="663"/>
      <c r="AD129" s="663"/>
      <c r="AE129" s="635">
        <f>IF(ISERROR(VLOOKUP('Config Lines'!D6,'N State Flows Data'!$A$4:$D$50,4,FALSE))=FALSE,VLOOKUP('Config Lines'!D6,'N State Flows Data'!$A$4:$D$50,4,FALSE),VLOOKUP('Config Lines'!H6,'N State Flows Data'!$A$4:$D$50,4,FALSE))</f>
        <v>2300</v>
      </c>
      <c r="AF129" s="628"/>
      <c r="AG129" s="628"/>
      <c r="AH129" s="628"/>
      <c r="AI129" s="628"/>
      <c r="AJ129" s="628"/>
      <c r="AK129" s="628"/>
      <c r="AL129" s="628">
        <f>IF(IF(ISERROR(VLOOKUP('Config Lines'!D6,'N State Flows Data'!$A$4:$D$50,3,FALSE))=FALSE,VLOOKUP('Config Lines'!D6,'N State Flows Data'!$A$4:$D$50,3,FALSE),VLOOKUP('Config Lines'!H6,'N State Flows Data'!$A$4:$D$50,3,FALSE))&lt;&gt;"Inv",IF(ISERROR(VLOOKUP('Config Lines'!D6,'N State Flows Data'!$A$4:$D$50,3,FALSE))=FALSE,VLOOKUP('Config Lines'!D6,'N State Flows Data'!$A$4:$D$50,3,FALSE),VLOOKUP('Config Lines'!H6,'N State Flows Data'!$A$4:$D$50,3,FALSE)),0)</f>
        <v>7</v>
      </c>
      <c r="AM129" s="628"/>
      <c r="AN129" s="628"/>
      <c r="AO129" s="628"/>
      <c r="AP129" s="628"/>
      <c r="AQ129" s="628"/>
      <c r="AR129" s="630"/>
      <c r="AS129" s="636">
        <f>IF(ISERROR(VLOOKUP('Config Lines'!D6,'N State Flows Data'!$F$4:$I$50,4,FALSE))=FALSE,VLOOKUP('Config Lines'!D6,'N State Flows Data'!$F$4:$I$50,4,FALSE),VLOOKUP('Config Lines'!H6,'N State Flows Data'!$F$4:$I$50,4,FALSE))</f>
        <v>2300</v>
      </c>
      <c r="AT129" s="637"/>
      <c r="AU129" s="637"/>
      <c r="AV129" s="637"/>
      <c r="AW129" s="637"/>
      <c r="AX129" s="637"/>
      <c r="AY129" s="637"/>
      <c r="AZ129" s="628">
        <f>IF(IF(ISERROR(VLOOKUP('Config Lines'!D6,'N State Flows Data'!$F$4:$I$50,3,FALSE))=FALSE,VLOOKUP('Config Lines'!D6,'N State Flows Data'!$F$4:$I$50,3,FALSE),VLOOKUP('Config Lines'!H6,'N State Flows Data'!$F$4:$I$50,3,FALSE))&lt;&gt;"Inv",IF(ISERROR(VLOOKUP('Config Lines'!D6,'N State Flows Data'!$F$4:$I$50,3,FALSE))=FALSE,VLOOKUP('Config Lines'!D6,'N State Flows Data'!$F$4:$I$50,3,FALSE),VLOOKUP('Config Lines'!H6,'N State Flows Data'!$F$4:$I$50,3,FALSE)),0)</f>
        <v>6</v>
      </c>
      <c r="BA129" s="628"/>
      <c r="BB129" s="628"/>
      <c r="BC129" s="628"/>
      <c r="BD129" s="628"/>
      <c r="BE129" s="628"/>
      <c r="BF129" s="629"/>
    </row>
    <row r="130" spans="4:58">
      <c r="D130" s="647"/>
      <c r="E130" s="573"/>
      <c r="F130" s="573"/>
      <c r="G130" s="573"/>
      <c r="H130" s="659"/>
      <c r="I130" s="660"/>
      <c r="J130" s="660"/>
      <c r="K130" s="660"/>
      <c r="L130" s="660"/>
      <c r="M130" s="661"/>
      <c r="N130" s="662" t="str">
        <f>'Config Lines'!A7</f>
        <v>Cagno - Mendrisio</v>
      </c>
      <c r="O130" s="663"/>
      <c r="P130" s="663"/>
      <c r="Q130" s="663"/>
      <c r="R130" s="663"/>
      <c r="S130" s="663"/>
      <c r="T130" s="663"/>
      <c r="U130" s="663"/>
      <c r="V130" s="663"/>
      <c r="W130" s="663"/>
      <c r="X130" s="663"/>
      <c r="Y130" s="663"/>
      <c r="Z130" s="663"/>
      <c r="AA130" s="663"/>
      <c r="AB130" s="663"/>
      <c r="AC130" s="663"/>
      <c r="AD130" s="663"/>
      <c r="AE130" s="635">
        <f>IF(ISERROR(VLOOKUP('Config Lines'!D7,'N State Flows Data'!$A$4:$D$50,4,FALSE))=FALSE,VLOOKUP('Config Lines'!D7,'N State Flows Data'!$A$4:$D$50,4,FALSE),VLOOKUP('Config Lines'!H7,'N State Flows Data'!$A$4:$D$50,4,FALSE))</f>
        <v>855</v>
      </c>
      <c r="AF130" s="628"/>
      <c r="AG130" s="628"/>
      <c r="AH130" s="628"/>
      <c r="AI130" s="628"/>
      <c r="AJ130" s="628"/>
      <c r="AK130" s="628"/>
      <c r="AL130" s="628">
        <f>IF(IF(ISERROR(VLOOKUP('Config Lines'!D7,'N State Flows Data'!$A$4:$D$50,3,FALSE))=FALSE,VLOOKUP('Config Lines'!D7,'N State Flows Data'!$A$4:$D$50,3,FALSE),VLOOKUP('Config Lines'!H7,'N State Flows Data'!$A$4:$D$50,3,FALSE))&lt;&gt;"Inv",IF(ISERROR(VLOOKUP('Config Lines'!D7,'N State Flows Data'!$A$4:$D$50,3,FALSE))=FALSE,VLOOKUP('Config Lines'!D7,'N State Flows Data'!$A$4:$D$50,3,FALSE),VLOOKUP('Config Lines'!H7,'N State Flows Data'!$A$4:$D$50,3,FALSE)),0)</f>
        <v>30</v>
      </c>
      <c r="AM130" s="628"/>
      <c r="AN130" s="628"/>
      <c r="AO130" s="628"/>
      <c r="AP130" s="628"/>
      <c r="AQ130" s="628"/>
      <c r="AR130" s="630"/>
      <c r="AS130" s="636">
        <f>IF(ISERROR(VLOOKUP('Config Lines'!D7,'N State Flows Data'!$F$4:$I$50,4,FALSE))=FALSE,VLOOKUP('Config Lines'!D7,'N State Flows Data'!$F$4:$I$50,4,FALSE),VLOOKUP('Config Lines'!H7,'N State Flows Data'!$F$4:$I$50,4,FALSE))</f>
        <v>855</v>
      </c>
      <c r="AT130" s="637"/>
      <c r="AU130" s="637"/>
      <c r="AV130" s="637"/>
      <c r="AW130" s="637"/>
      <c r="AX130" s="637"/>
      <c r="AY130" s="637"/>
      <c r="AZ130" s="628">
        <f>IF(IF(ISERROR(VLOOKUP('Config Lines'!D7,'N State Flows Data'!$F$4:$I$50,3,FALSE))=FALSE,VLOOKUP('Config Lines'!D7,'N State Flows Data'!$F$4:$I$50,3,FALSE),VLOOKUP('Config Lines'!H7,'N State Flows Data'!$F$4:$I$50,3,FALSE))&lt;&gt;"Inv",IF(ISERROR(VLOOKUP('Config Lines'!D7,'N State Flows Data'!$F$4:$I$50,3,FALSE))=FALSE,VLOOKUP('Config Lines'!D7,'N State Flows Data'!$F$4:$I$50,3,FALSE),VLOOKUP('Config Lines'!H7,'N State Flows Data'!$F$4:$I$50,3,FALSE)),0)</f>
        <v>38</v>
      </c>
      <c r="BA130" s="628"/>
      <c r="BB130" s="628"/>
      <c r="BC130" s="628"/>
      <c r="BD130" s="628"/>
      <c r="BE130" s="628"/>
      <c r="BF130" s="629"/>
    </row>
    <row r="131" spans="4:58">
      <c r="D131" s="647"/>
      <c r="E131" s="573"/>
      <c r="F131" s="573"/>
      <c r="G131" s="573"/>
      <c r="H131" s="659"/>
      <c r="I131" s="660"/>
      <c r="J131" s="660"/>
      <c r="K131" s="660"/>
      <c r="L131" s="660"/>
      <c r="M131" s="661"/>
      <c r="N131" s="662" t="str">
        <f>'Config Lines'!A8</f>
        <v>Musignano - Lavorgo</v>
      </c>
      <c r="O131" s="663"/>
      <c r="P131" s="663"/>
      <c r="Q131" s="663"/>
      <c r="R131" s="663"/>
      <c r="S131" s="663"/>
      <c r="T131" s="663"/>
      <c r="U131" s="663"/>
      <c r="V131" s="663"/>
      <c r="W131" s="663"/>
      <c r="X131" s="663"/>
      <c r="Y131" s="663"/>
      <c r="Z131" s="663"/>
      <c r="AA131" s="663"/>
      <c r="AB131" s="663"/>
      <c r="AC131" s="663"/>
      <c r="AD131" s="663"/>
      <c r="AE131" s="635">
        <f>IF(ISERROR(VLOOKUP('Config Lines'!D8,'N State Flows Data'!$A$4:$D$50,4,FALSE))=FALSE,VLOOKUP('Config Lines'!D8,'N State Flows Data'!$A$4:$D$50,4,FALSE),VLOOKUP('Config Lines'!H8,'N State Flows Data'!$A$4:$D$50,4,FALSE))</f>
        <v>2270</v>
      </c>
      <c r="AF131" s="628"/>
      <c r="AG131" s="628"/>
      <c r="AH131" s="628"/>
      <c r="AI131" s="628"/>
      <c r="AJ131" s="628"/>
      <c r="AK131" s="628"/>
      <c r="AL131" s="628">
        <f>IF(IF(ISERROR(VLOOKUP('Config Lines'!D8,'N State Flows Data'!$A$4:$D$50,3,FALSE))=FALSE,VLOOKUP('Config Lines'!D8,'N State Flows Data'!$A$4:$D$50,3,FALSE),VLOOKUP('Config Lines'!H8,'N State Flows Data'!$A$4:$D$50,3,FALSE))&lt;&gt;"Inv",IF(ISERROR(VLOOKUP('Config Lines'!D8,'N State Flows Data'!$A$4:$D$50,3,FALSE))=FALSE,VLOOKUP('Config Lines'!D8,'N State Flows Data'!$A$4:$D$50,3,FALSE),VLOOKUP('Config Lines'!H8,'N State Flows Data'!$A$4:$D$50,3,FALSE)),0)</f>
        <v>62</v>
      </c>
      <c r="AM131" s="628"/>
      <c r="AN131" s="628"/>
      <c r="AO131" s="628"/>
      <c r="AP131" s="628"/>
      <c r="AQ131" s="628"/>
      <c r="AR131" s="630"/>
      <c r="AS131" s="636">
        <f>IF(ISERROR(VLOOKUP('Config Lines'!D8,'N State Flows Data'!$F$4:$I$50,4,FALSE))=FALSE,VLOOKUP('Config Lines'!D8,'N State Flows Data'!$F$4:$I$50,4,FALSE),VLOOKUP('Config Lines'!H8,'N State Flows Data'!$F$4:$I$50,4,FALSE))</f>
        <v>2270</v>
      </c>
      <c r="AT131" s="637"/>
      <c r="AU131" s="637"/>
      <c r="AV131" s="637"/>
      <c r="AW131" s="637"/>
      <c r="AX131" s="637"/>
      <c r="AY131" s="637"/>
      <c r="AZ131" s="628">
        <f>IF(IF(ISERROR(VLOOKUP('Config Lines'!D8,'N State Flows Data'!$F$4:$I$50,3,FALSE))=FALSE,VLOOKUP('Config Lines'!D8,'N State Flows Data'!$F$4:$I$50,3,FALSE),VLOOKUP('Config Lines'!H8,'N State Flows Data'!$F$4:$I$50,3,FALSE))&lt;&gt;"Inv",IF(ISERROR(VLOOKUP('Config Lines'!D8,'N State Flows Data'!$F$4:$I$50,3,FALSE))=FALSE,VLOOKUP('Config Lines'!D8,'N State Flows Data'!$F$4:$I$50,3,FALSE),VLOOKUP('Config Lines'!H8,'N State Flows Data'!$F$4:$I$50,3,FALSE)),0)</f>
        <v>63</v>
      </c>
      <c r="BA131" s="628"/>
      <c r="BB131" s="628"/>
      <c r="BC131" s="628"/>
      <c r="BD131" s="628"/>
      <c r="BE131" s="628"/>
      <c r="BF131" s="629"/>
    </row>
    <row r="132" spans="4:58">
      <c r="D132" s="647"/>
      <c r="E132" s="573"/>
      <c r="F132" s="573"/>
      <c r="G132" s="573"/>
      <c r="H132" s="659"/>
      <c r="I132" s="660"/>
      <c r="J132" s="660"/>
      <c r="K132" s="660"/>
      <c r="L132" s="660"/>
      <c r="M132" s="661"/>
      <c r="N132" s="662" t="str">
        <f>'Config Lines'!A9</f>
        <v>Redipuglia - Divaca</v>
      </c>
      <c r="O132" s="663"/>
      <c r="P132" s="663"/>
      <c r="Q132" s="663"/>
      <c r="R132" s="663"/>
      <c r="S132" s="663"/>
      <c r="T132" s="663"/>
      <c r="U132" s="663"/>
      <c r="V132" s="663"/>
      <c r="W132" s="663"/>
      <c r="X132" s="663"/>
      <c r="Y132" s="663"/>
      <c r="Z132" s="663"/>
      <c r="AA132" s="663"/>
      <c r="AB132" s="663"/>
      <c r="AC132" s="663"/>
      <c r="AD132" s="663"/>
      <c r="AE132" s="635">
        <f>IF(ISERROR(VLOOKUP('Config Lines'!D9,'N State Flows Data'!$A$4:$D$50,4,FALSE))=FALSE,VLOOKUP('Config Lines'!D9,'N State Flows Data'!$A$4:$D$50,4,FALSE),VLOOKUP('Config Lines'!H9,'N State Flows Data'!$A$4:$D$50,4,FALSE))</f>
        <v>2700</v>
      </c>
      <c r="AF132" s="628"/>
      <c r="AG132" s="628"/>
      <c r="AH132" s="628"/>
      <c r="AI132" s="628"/>
      <c r="AJ132" s="628"/>
      <c r="AK132" s="628"/>
      <c r="AL132" s="628">
        <f>IF(IF(ISERROR(VLOOKUP('Config Lines'!D9,'N State Flows Data'!$A$4:$D$50,3,FALSE))=FALSE,VLOOKUP('Config Lines'!D9,'N State Flows Data'!$A$4:$D$50,3,FALSE),VLOOKUP('Config Lines'!H9,'N State Flows Data'!$A$4:$D$50,3,FALSE))&lt;&gt;"Inv",IF(ISERROR(VLOOKUP('Config Lines'!D9,'N State Flows Data'!$A$4:$D$50,3,FALSE))=FALSE,VLOOKUP('Config Lines'!D9,'N State Flows Data'!$A$4:$D$50,3,FALSE),VLOOKUP('Config Lines'!H9,'N State Flows Data'!$A$4:$D$50,3,FALSE)),0)</f>
        <v>54</v>
      </c>
      <c r="AM132" s="628"/>
      <c r="AN132" s="628"/>
      <c r="AO132" s="628"/>
      <c r="AP132" s="628"/>
      <c r="AQ132" s="628"/>
      <c r="AR132" s="630"/>
      <c r="AS132" s="636">
        <f>IF(ISERROR(VLOOKUP('Config Lines'!D9,'N State Flows Data'!$F$4:$I$50,4,FALSE))=FALSE,VLOOKUP('Config Lines'!D9,'N State Flows Data'!$F$4:$I$50,4,FALSE),VLOOKUP('Config Lines'!H9,'N State Flows Data'!$F$4:$I$50,4,FALSE))</f>
        <v>2700</v>
      </c>
      <c r="AT132" s="637"/>
      <c r="AU132" s="637"/>
      <c r="AV132" s="637"/>
      <c r="AW132" s="637"/>
      <c r="AX132" s="637"/>
      <c r="AY132" s="637"/>
      <c r="AZ132" s="628">
        <f>IF(IF(ISERROR(VLOOKUP('Config Lines'!D9,'N State Flows Data'!$F$4:$I$50,3,FALSE))=FALSE,VLOOKUP('Config Lines'!D9,'N State Flows Data'!$F$4:$I$50,3,FALSE),VLOOKUP('Config Lines'!H9,'N State Flows Data'!$F$4:$I$50,3,FALSE))&lt;&gt;"Inv",IF(ISERROR(VLOOKUP('Config Lines'!D9,'N State Flows Data'!$F$4:$I$50,3,FALSE))=FALSE,VLOOKUP('Config Lines'!D9,'N State Flows Data'!$F$4:$I$50,3,FALSE),VLOOKUP('Config Lines'!H9,'N State Flows Data'!$F$4:$I$50,3,FALSE)),0)</f>
        <v>47</v>
      </c>
      <c r="BA132" s="628"/>
      <c r="BB132" s="628"/>
      <c r="BC132" s="628"/>
      <c r="BD132" s="628"/>
      <c r="BE132" s="628"/>
      <c r="BF132" s="629"/>
    </row>
    <row r="133" spans="4:58">
      <c r="D133" s="647"/>
      <c r="E133" s="573"/>
      <c r="F133" s="573"/>
      <c r="G133" s="573"/>
      <c r="H133" s="659"/>
      <c r="I133" s="660"/>
      <c r="J133" s="660"/>
      <c r="K133" s="660"/>
      <c r="L133" s="660"/>
      <c r="M133" s="661"/>
      <c r="N133" s="662" t="str">
        <f>'Config Lines'!A10</f>
        <v>Robbia - San Fiorano</v>
      </c>
      <c r="O133" s="663"/>
      <c r="P133" s="663"/>
      <c r="Q133" s="663"/>
      <c r="R133" s="663"/>
      <c r="S133" s="663"/>
      <c r="T133" s="663"/>
      <c r="U133" s="663"/>
      <c r="V133" s="663"/>
      <c r="W133" s="663"/>
      <c r="X133" s="663"/>
      <c r="Y133" s="663"/>
      <c r="Z133" s="663"/>
      <c r="AA133" s="663"/>
      <c r="AB133" s="663"/>
      <c r="AC133" s="663"/>
      <c r="AD133" s="663"/>
      <c r="AE133" s="635">
        <f>IF(ISERROR(VLOOKUP('Config Lines'!D10,'N State Flows Data'!$A$4:$D$50,4,FALSE))=FALSE,VLOOKUP('Config Lines'!D10,'N State Flows Data'!$A$4:$D$50,4,FALSE),VLOOKUP('Config Lines'!H10,'N State Flows Data'!$A$4:$D$50,4,FALSE))</f>
        <v>2530</v>
      </c>
      <c r="AF133" s="628"/>
      <c r="AG133" s="628"/>
      <c r="AH133" s="628"/>
      <c r="AI133" s="628"/>
      <c r="AJ133" s="628"/>
      <c r="AK133" s="628"/>
      <c r="AL133" s="628">
        <f>IF(IF(ISERROR(VLOOKUP('Config Lines'!D10,'N State Flows Data'!$A$4:$D$50,3,FALSE))=FALSE,VLOOKUP('Config Lines'!D10,'N State Flows Data'!$A$4:$D$50,3,FALSE),VLOOKUP('Config Lines'!H10,'N State Flows Data'!$A$4:$D$50,3,FALSE))&lt;&gt;"Inv",IF(ISERROR(VLOOKUP('Config Lines'!D10,'N State Flows Data'!$A$4:$D$50,3,FALSE))=FALSE,VLOOKUP('Config Lines'!D10,'N State Flows Data'!$A$4:$D$50,3,FALSE),VLOOKUP('Config Lines'!H10,'N State Flows Data'!$A$4:$D$50,3,FALSE)),0)</f>
        <v>60</v>
      </c>
      <c r="AM133" s="628"/>
      <c r="AN133" s="628"/>
      <c r="AO133" s="628"/>
      <c r="AP133" s="628"/>
      <c r="AQ133" s="628"/>
      <c r="AR133" s="630"/>
      <c r="AS133" s="636">
        <f>IF(ISERROR(VLOOKUP('Config Lines'!D10,'N State Flows Data'!$F$4:$I$50,4,FALSE))=FALSE,VLOOKUP('Config Lines'!D10,'N State Flows Data'!$F$4:$I$50,4,FALSE),VLOOKUP('Config Lines'!H10,'N State Flows Data'!$F$4:$I$50,4,FALSE))</f>
        <v>2530</v>
      </c>
      <c r="AT133" s="637"/>
      <c r="AU133" s="637"/>
      <c r="AV133" s="637"/>
      <c r="AW133" s="637"/>
      <c r="AX133" s="637"/>
      <c r="AY133" s="637"/>
      <c r="AZ133" s="628">
        <f>IF(IF(ISERROR(VLOOKUP('Config Lines'!D10,'N State Flows Data'!$F$4:$I$50,3,FALSE))=FALSE,VLOOKUP('Config Lines'!D10,'N State Flows Data'!$F$4:$I$50,3,FALSE),VLOOKUP('Config Lines'!H10,'N State Flows Data'!$F$4:$I$50,3,FALSE))&lt;&gt;"Inv",IF(ISERROR(VLOOKUP('Config Lines'!D10,'N State Flows Data'!$F$4:$I$50,3,FALSE))=FALSE,VLOOKUP('Config Lines'!D10,'N State Flows Data'!$F$4:$I$50,3,FALSE),VLOOKUP('Config Lines'!H10,'N State Flows Data'!$F$4:$I$50,3,FALSE)),0)</f>
        <v>62</v>
      </c>
      <c r="BA133" s="628"/>
      <c r="BB133" s="628"/>
      <c r="BC133" s="628"/>
      <c r="BD133" s="628"/>
      <c r="BE133" s="628"/>
      <c r="BF133" s="629"/>
    </row>
    <row r="134" spans="4:58">
      <c r="D134" s="647"/>
      <c r="E134" s="573"/>
      <c r="F134" s="573"/>
      <c r="G134" s="573"/>
      <c r="H134" s="659"/>
      <c r="I134" s="660"/>
      <c r="J134" s="660"/>
      <c r="K134" s="660"/>
      <c r="L134" s="660"/>
      <c r="M134" s="661"/>
      <c r="N134" s="662" t="str">
        <f>'Config Lines'!A11</f>
        <v>Robbia - Gorlago</v>
      </c>
      <c r="O134" s="663"/>
      <c r="P134" s="663"/>
      <c r="Q134" s="663"/>
      <c r="R134" s="663"/>
      <c r="S134" s="663"/>
      <c r="T134" s="663"/>
      <c r="U134" s="663"/>
      <c r="V134" s="663"/>
      <c r="W134" s="663"/>
      <c r="X134" s="663"/>
      <c r="Y134" s="663"/>
      <c r="Z134" s="663"/>
      <c r="AA134" s="663"/>
      <c r="AB134" s="663"/>
      <c r="AC134" s="663"/>
      <c r="AD134" s="663"/>
      <c r="AE134" s="635">
        <f>IF(ISERROR(VLOOKUP('Config Lines'!D11,'N State Flows Data'!$A$4:$D$50,4,FALSE))=FALSE,VLOOKUP('Config Lines'!D11,'N State Flows Data'!$A$4:$D$50,4,FALSE),VLOOKUP('Config Lines'!H11,'N State Flows Data'!$A$4:$D$50,4,FALSE))</f>
        <v>2530</v>
      </c>
      <c r="AF134" s="628"/>
      <c r="AG134" s="628"/>
      <c r="AH134" s="628"/>
      <c r="AI134" s="628"/>
      <c r="AJ134" s="628"/>
      <c r="AK134" s="628"/>
      <c r="AL134" s="628">
        <f>IF(IF(ISERROR(VLOOKUP('Config Lines'!D11,'N State Flows Data'!$A$4:$D$50,3,FALSE))=FALSE,VLOOKUP('Config Lines'!D11,'N State Flows Data'!$A$4:$D$50,3,FALSE),VLOOKUP('Config Lines'!H11,'N State Flows Data'!$A$4:$D$50,3,FALSE))&lt;&gt;"Inv",IF(ISERROR(VLOOKUP('Config Lines'!D11,'N State Flows Data'!$A$4:$D$50,3,FALSE))=FALSE,VLOOKUP('Config Lines'!D11,'N State Flows Data'!$A$4:$D$50,3,FALSE),VLOOKUP('Config Lines'!H11,'N State Flows Data'!$A$4:$D$50,3,FALSE)),0)</f>
        <v>66</v>
      </c>
      <c r="AM134" s="628"/>
      <c r="AN134" s="628"/>
      <c r="AO134" s="628"/>
      <c r="AP134" s="628"/>
      <c r="AQ134" s="628"/>
      <c r="AR134" s="630"/>
      <c r="AS134" s="636">
        <f>IF(ISERROR(VLOOKUP('Config Lines'!D11,'N State Flows Data'!$F$4:$I$50,4,FALSE))=FALSE,VLOOKUP('Config Lines'!D11,'N State Flows Data'!$F$4:$I$50,4,FALSE),VLOOKUP('Config Lines'!H11,'N State Flows Data'!$F$4:$I$50,4,FALSE))</f>
        <v>2530</v>
      </c>
      <c r="AT134" s="637"/>
      <c r="AU134" s="637"/>
      <c r="AV134" s="637"/>
      <c r="AW134" s="637"/>
      <c r="AX134" s="637"/>
      <c r="AY134" s="637"/>
      <c r="AZ134" s="628">
        <f>IF(IF(ISERROR(VLOOKUP('Config Lines'!D11,'N State Flows Data'!$F$4:$I$50,3,FALSE))=FALSE,VLOOKUP('Config Lines'!D11,'N State Flows Data'!$F$4:$I$50,3,FALSE),VLOOKUP('Config Lines'!H11,'N State Flows Data'!$F$4:$I$50,3,FALSE))&lt;&gt;"Inv",IF(ISERROR(VLOOKUP('Config Lines'!D11,'N State Flows Data'!$F$4:$I$50,3,FALSE))=FALSE,VLOOKUP('Config Lines'!D11,'N State Flows Data'!$F$4:$I$50,3,FALSE),VLOOKUP('Config Lines'!H11,'N State Flows Data'!$F$4:$I$50,3,FALSE)),0)</f>
        <v>68</v>
      </c>
      <c r="BA134" s="628"/>
      <c r="BB134" s="628"/>
      <c r="BC134" s="628"/>
      <c r="BD134" s="628"/>
      <c r="BE134" s="628"/>
      <c r="BF134" s="629"/>
    </row>
    <row r="135" spans="4:58" ht="15.75" thickBot="1">
      <c r="D135" s="647"/>
      <c r="E135" s="573"/>
      <c r="F135" s="573"/>
      <c r="G135" s="573"/>
      <c r="H135" s="659"/>
      <c r="I135" s="660"/>
      <c r="J135" s="660"/>
      <c r="K135" s="660"/>
      <c r="L135" s="660"/>
      <c r="M135" s="661"/>
      <c r="N135" s="655" t="str">
        <f>'Config Lines'!A12</f>
        <v>Venaus - Villarodin</v>
      </c>
      <c r="O135" s="656"/>
      <c r="P135" s="656"/>
      <c r="Q135" s="656"/>
      <c r="R135" s="656"/>
      <c r="S135" s="656"/>
      <c r="T135" s="656"/>
      <c r="U135" s="656"/>
      <c r="V135" s="656"/>
      <c r="W135" s="656"/>
      <c r="X135" s="656"/>
      <c r="Y135" s="656"/>
      <c r="Z135" s="656"/>
      <c r="AA135" s="656"/>
      <c r="AB135" s="656"/>
      <c r="AC135" s="656"/>
      <c r="AD135" s="656"/>
      <c r="AE135" s="666">
        <f>IF(ISERROR(VLOOKUP('Config Lines'!D12,'N State Flows Data'!$A$4:$D$50,4,FALSE))=FALSE,VLOOKUP('Config Lines'!D12,'N State Flows Data'!$A$4:$D$50,4,FALSE),VLOOKUP('Config Lines'!H12,'N State Flows Data'!$A$4:$D$50,4,FALSE))</f>
        <v>2715</v>
      </c>
      <c r="AF135" s="650"/>
      <c r="AG135" s="650"/>
      <c r="AH135" s="650"/>
      <c r="AI135" s="650"/>
      <c r="AJ135" s="650"/>
      <c r="AK135" s="650"/>
      <c r="AL135" s="650">
        <f>IF(IF(ISERROR(VLOOKUP('Config Lines'!D12,'N State Flows Data'!$A$4:$D$50,3,FALSE))=FALSE,VLOOKUP('Config Lines'!D12,'N State Flows Data'!$A$4:$D$50,3,FALSE),VLOOKUP('Config Lines'!H12,'N State Flows Data'!$A$4:$D$50,3,FALSE))&lt;&gt;"Inv",IF(ISERROR(VLOOKUP('Config Lines'!D12,'N State Flows Data'!$A$4:$D$50,3,FALSE))=FALSE,VLOOKUP('Config Lines'!D12,'N State Flows Data'!$A$4:$D$50,3,FALSE),VLOOKUP('Config Lines'!H12,'N State Flows Data'!$A$4:$D$50,3,FALSE)),0)</f>
        <v>21</v>
      </c>
      <c r="AM135" s="650"/>
      <c r="AN135" s="650"/>
      <c r="AO135" s="650"/>
      <c r="AP135" s="650"/>
      <c r="AQ135" s="650"/>
      <c r="AR135" s="667"/>
      <c r="AS135" s="652">
        <f>IF(ISERROR(VLOOKUP('Config Lines'!D12,'N State Flows Data'!$F$4:$I$50,4,FALSE))=FALSE,VLOOKUP('Config Lines'!D12,'N State Flows Data'!$F$4:$I$50,4,FALSE),VLOOKUP('Config Lines'!H12,'N State Flows Data'!$F$4:$I$50,4,FALSE))</f>
        <v>2715</v>
      </c>
      <c r="AT135" s="653"/>
      <c r="AU135" s="653"/>
      <c r="AV135" s="653"/>
      <c r="AW135" s="653"/>
      <c r="AX135" s="653"/>
      <c r="AY135" s="653"/>
      <c r="AZ135" s="650">
        <f>IF(IF(ISERROR(VLOOKUP('Config Lines'!D12,'N State Flows Data'!$F$4:$I$50,3,FALSE))=FALSE,VLOOKUP('Config Lines'!D12,'N State Flows Data'!$F$4:$I$50,3,FALSE),VLOOKUP('Config Lines'!H12,'N State Flows Data'!$F$4:$I$50,3,FALSE))&lt;&gt;"Inv",IF(ISERROR(VLOOKUP('Config Lines'!D12,'N State Flows Data'!$F$4:$I$50,3,FALSE))=FALSE,VLOOKUP('Config Lines'!D12,'N State Flows Data'!$F$4:$I$50,3,FALSE),VLOOKUP('Config Lines'!H12,'N State Flows Data'!$F$4:$I$50,3,FALSE)),0)</f>
        <v>22</v>
      </c>
      <c r="BA135" s="650"/>
      <c r="BB135" s="650"/>
      <c r="BC135" s="650"/>
      <c r="BD135" s="650"/>
      <c r="BE135" s="650"/>
      <c r="BF135" s="651"/>
    </row>
    <row r="136" spans="4:58">
      <c r="D136" s="647"/>
      <c r="E136" s="573"/>
      <c r="F136" s="573"/>
      <c r="G136" s="573"/>
      <c r="H136" s="657" t="s">
        <v>117</v>
      </c>
      <c r="I136" s="578"/>
      <c r="J136" s="578"/>
      <c r="K136" s="578"/>
      <c r="L136" s="578"/>
      <c r="M136" s="658"/>
      <c r="N136" s="664" t="str">
        <f>'Config Lines'!A13</f>
        <v>Airolo - Ponte</v>
      </c>
      <c r="O136" s="665"/>
      <c r="P136" s="665"/>
      <c r="Q136" s="665"/>
      <c r="R136" s="665"/>
      <c r="S136" s="665"/>
      <c r="T136" s="665"/>
      <c r="U136" s="665"/>
      <c r="V136" s="665"/>
      <c r="W136" s="665"/>
      <c r="X136" s="665"/>
      <c r="Y136" s="665"/>
      <c r="Z136" s="665"/>
      <c r="AA136" s="665"/>
      <c r="AB136" s="665"/>
      <c r="AC136" s="665"/>
      <c r="AD136" s="665"/>
      <c r="AE136" s="654">
        <f>IF(ISERROR(VLOOKUP('Config Lines'!D13,'N State Flows Data'!$A$4:$D$50,4,FALSE))=FALSE,VLOOKUP('Config Lines'!D13,'N State Flows Data'!$A$4:$D$50,4,FALSE),VLOOKUP('Config Lines'!H13,'N State Flows Data'!$A$4:$D$50,4,FALSE))</f>
        <v>900</v>
      </c>
      <c r="AF136" s="631"/>
      <c r="AG136" s="631"/>
      <c r="AH136" s="631"/>
      <c r="AI136" s="631"/>
      <c r="AJ136" s="631"/>
      <c r="AK136" s="631"/>
      <c r="AL136" s="631">
        <f>IF(IF(ISERROR(VLOOKUP('Config Lines'!D13,'N State Flows Data'!$A$4:$D$50,3,FALSE))=FALSE,VLOOKUP('Config Lines'!D13,'N State Flows Data'!$A$4:$D$50,3,FALSE),VLOOKUP('Config Lines'!H13,'N State Flows Data'!$A$4:$D$50,3,FALSE))&lt;&gt;"Inv",IF(ISERROR(VLOOKUP('Config Lines'!D13,'N State Flows Data'!$A$4:$D$50,3,FALSE))=FALSE,VLOOKUP('Config Lines'!D13,'N State Flows Data'!$A$4:$D$50,3,FALSE),VLOOKUP('Config Lines'!H13,'N State Flows Data'!$A$4:$D$50,3,FALSE)),0)</f>
        <v>0</v>
      </c>
      <c r="AM136" s="631"/>
      <c r="AN136" s="631"/>
      <c r="AO136" s="631"/>
      <c r="AP136" s="631"/>
      <c r="AQ136" s="631"/>
      <c r="AR136" s="638"/>
      <c r="AS136" s="633">
        <f>IF(ISERROR(VLOOKUP('Config Lines'!D13,'N State Flows Data'!$F$4:$I$50,4,FALSE))=FALSE,VLOOKUP('Config Lines'!D13,'N State Flows Data'!$F$4:$I$50,4,FALSE),VLOOKUP('Config Lines'!H13,'N State Flows Data'!$F$4:$I$50,4,FALSE))</f>
        <v>900</v>
      </c>
      <c r="AT136" s="634"/>
      <c r="AU136" s="634"/>
      <c r="AV136" s="634"/>
      <c r="AW136" s="634"/>
      <c r="AX136" s="634"/>
      <c r="AY136" s="634"/>
      <c r="AZ136" s="631">
        <f>IF(IF(ISERROR(VLOOKUP('Config Lines'!D13,'N State Flows Data'!$F$4:$I$50,3,FALSE))=FALSE,VLOOKUP('Config Lines'!D13,'N State Flows Data'!$F$4:$I$50,3,FALSE),VLOOKUP('Config Lines'!H13,'N State Flows Data'!$F$4:$I$50,3,FALSE))&lt;&gt;"Inv",IF(ISERROR(VLOOKUP('Config Lines'!D13,'N State Flows Data'!$F$4:$I$50,3,FALSE))=FALSE,VLOOKUP('Config Lines'!D13,'N State Flows Data'!$F$4:$I$50,3,FALSE),VLOOKUP('Config Lines'!H13,'N State Flows Data'!$F$4:$I$50,3,FALSE)),0)</f>
        <v>0</v>
      </c>
      <c r="BA136" s="631"/>
      <c r="BB136" s="631"/>
      <c r="BC136" s="631"/>
      <c r="BD136" s="631"/>
      <c r="BE136" s="631"/>
      <c r="BF136" s="632"/>
    </row>
    <row r="137" spans="4:58">
      <c r="D137" s="647"/>
      <c r="E137" s="573"/>
      <c r="F137" s="573"/>
      <c r="G137" s="573"/>
      <c r="H137" s="659"/>
      <c r="I137" s="660"/>
      <c r="J137" s="660"/>
      <c r="K137" s="660"/>
      <c r="L137" s="660"/>
      <c r="M137" s="661"/>
      <c r="N137" s="662" t="str">
        <f>'Config Lines'!A14</f>
        <v>Lienz - Soverzene</v>
      </c>
      <c r="O137" s="663"/>
      <c r="P137" s="663"/>
      <c r="Q137" s="663"/>
      <c r="R137" s="663"/>
      <c r="S137" s="663"/>
      <c r="T137" s="663"/>
      <c r="U137" s="663"/>
      <c r="V137" s="663"/>
      <c r="W137" s="663"/>
      <c r="X137" s="663"/>
      <c r="Y137" s="663"/>
      <c r="Z137" s="663"/>
      <c r="AA137" s="663"/>
      <c r="AB137" s="663"/>
      <c r="AC137" s="663"/>
      <c r="AD137" s="663"/>
      <c r="AE137" s="635">
        <f>IF(ISERROR(VLOOKUP('Config Lines'!D14,'N State Flows Data'!$A$4:$D$50,4,FALSE))=FALSE,VLOOKUP('Config Lines'!D14,'N State Flows Data'!$A$4:$D$50,4,FALSE),VLOOKUP('Config Lines'!H14,'N State Flows Data'!$A$4:$D$50,4,FALSE))</f>
        <v>750</v>
      </c>
      <c r="AF137" s="628"/>
      <c r="AG137" s="628"/>
      <c r="AH137" s="628"/>
      <c r="AI137" s="628"/>
      <c r="AJ137" s="628"/>
      <c r="AK137" s="628"/>
      <c r="AL137" s="628">
        <f>IF(IF(ISERROR(VLOOKUP('Config Lines'!D14,'N State Flows Data'!$A$4:$D$50,3,FALSE))=FALSE,VLOOKUP('Config Lines'!D14,'N State Flows Data'!$A$4:$D$50,3,FALSE),VLOOKUP('Config Lines'!H14,'N State Flows Data'!$A$4:$D$50,3,FALSE))&lt;&gt;"Inv",IF(ISERROR(VLOOKUP('Config Lines'!D14,'N State Flows Data'!$A$4:$D$50,3,FALSE))=FALSE,VLOOKUP('Config Lines'!D14,'N State Flows Data'!$A$4:$D$50,3,FALSE),VLOOKUP('Config Lines'!H14,'N State Flows Data'!$A$4:$D$50,3,FALSE)),0)</f>
        <v>47</v>
      </c>
      <c r="AM137" s="628"/>
      <c r="AN137" s="628"/>
      <c r="AO137" s="628"/>
      <c r="AP137" s="628"/>
      <c r="AQ137" s="628"/>
      <c r="AR137" s="630"/>
      <c r="AS137" s="636">
        <f>IF(ISERROR(VLOOKUP('Config Lines'!D14,'N State Flows Data'!$F$4:$I$50,4,FALSE))=FALSE,VLOOKUP('Config Lines'!D14,'N State Flows Data'!$F$4:$I$50,4,FALSE),VLOOKUP('Config Lines'!H14,'N State Flows Data'!$F$4:$I$50,4,FALSE))</f>
        <v>750</v>
      </c>
      <c r="AT137" s="637"/>
      <c r="AU137" s="637"/>
      <c r="AV137" s="637"/>
      <c r="AW137" s="637"/>
      <c r="AX137" s="637"/>
      <c r="AY137" s="637"/>
      <c r="AZ137" s="628">
        <f>IF(IF(ISERROR(VLOOKUP('Config Lines'!D14,'N State Flows Data'!$F$4:$I$50,3,FALSE))=FALSE,VLOOKUP('Config Lines'!D14,'N State Flows Data'!$F$4:$I$50,3,FALSE),VLOOKUP('Config Lines'!H14,'N State Flows Data'!$F$4:$I$50,3,FALSE))&lt;&gt;"Inv",IF(ISERROR(VLOOKUP('Config Lines'!D14,'N State Flows Data'!$F$4:$I$50,3,FALSE))=FALSE,VLOOKUP('Config Lines'!D14,'N State Flows Data'!$F$4:$I$50,3,FALSE),VLOOKUP('Config Lines'!H14,'N State Flows Data'!$F$4:$I$50,3,FALSE)),0)</f>
        <v>43</v>
      </c>
      <c r="BA137" s="628"/>
      <c r="BB137" s="628"/>
      <c r="BC137" s="628"/>
      <c r="BD137" s="628"/>
      <c r="BE137" s="628"/>
      <c r="BF137" s="629"/>
    </row>
    <row r="138" spans="4:58">
      <c r="D138" s="647"/>
      <c r="E138" s="573"/>
      <c r="F138" s="573"/>
      <c r="G138" s="573"/>
      <c r="H138" s="659"/>
      <c r="I138" s="660"/>
      <c r="J138" s="660"/>
      <c r="K138" s="660"/>
      <c r="L138" s="660"/>
      <c r="M138" s="661"/>
      <c r="N138" s="662" t="str">
        <f>'Config Lines'!A15</f>
        <v>Menton - Campo Rosso</v>
      </c>
      <c r="O138" s="663"/>
      <c r="P138" s="663"/>
      <c r="Q138" s="663"/>
      <c r="R138" s="663"/>
      <c r="S138" s="663"/>
      <c r="T138" s="663"/>
      <c r="U138" s="663"/>
      <c r="V138" s="663"/>
      <c r="W138" s="663"/>
      <c r="X138" s="663"/>
      <c r="Y138" s="663"/>
      <c r="Z138" s="663"/>
      <c r="AA138" s="663"/>
      <c r="AB138" s="663"/>
      <c r="AC138" s="663"/>
      <c r="AD138" s="663"/>
      <c r="AE138" s="635">
        <f>IF(ISERROR(VLOOKUP('Config Lines'!D15,'N State Flows Data'!$A$4:$D$50,4,FALSE))=FALSE,VLOOKUP('Config Lines'!D15,'N State Flows Data'!$A$4:$D$50,4,FALSE),VLOOKUP('Config Lines'!H15,'N State Flows Data'!$A$4:$D$50,4,FALSE))</f>
        <v>1165</v>
      </c>
      <c r="AF138" s="628"/>
      <c r="AG138" s="628"/>
      <c r="AH138" s="628"/>
      <c r="AI138" s="628"/>
      <c r="AJ138" s="628"/>
      <c r="AK138" s="628"/>
      <c r="AL138" s="628">
        <f>IF(IF(ISERROR(VLOOKUP('Config Lines'!D15,'N State Flows Data'!$A$4:$D$50,3,FALSE))=FALSE,VLOOKUP('Config Lines'!D15,'N State Flows Data'!$A$4:$D$50,3,FALSE),VLOOKUP('Config Lines'!H15,'N State Flows Data'!$A$4:$D$50,3,FALSE))&lt;&gt;"Inv",IF(ISERROR(VLOOKUP('Config Lines'!D15,'N State Flows Data'!$A$4:$D$50,3,FALSE))=FALSE,VLOOKUP('Config Lines'!D15,'N State Flows Data'!$A$4:$D$50,3,FALSE),VLOOKUP('Config Lines'!H15,'N State Flows Data'!$A$4:$D$50,3,FALSE)),0)</f>
        <v>44</v>
      </c>
      <c r="AM138" s="628"/>
      <c r="AN138" s="628"/>
      <c r="AO138" s="628"/>
      <c r="AP138" s="628"/>
      <c r="AQ138" s="628"/>
      <c r="AR138" s="630"/>
      <c r="AS138" s="636">
        <f>IF(ISERROR(VLOOKUP('Config Lines'!D15,'N State Flows Data'!$F$4:$I$50,4,FALSE))=FALSE,VLOOKUP('Config Lines'!D15,'N State Flows Data'!$F$4:$I$50,4,FALSE),VLOOKUP('Config Lines'!H15,'N State Flows Data'!$F$4:$I$50,4,FALSE))</f>
        <v>1165</v>
      </c>
      <c r="AT138" s="637"/>
      <c r="AU138" s="637"/>
      <c r="AV138" s="637"/>
      <c r="AW138" s="637"/>
      <c r="AX138" s="637"/>
      <c r="AY138" s="637"/>
      <c r="AZ138" s="628">
        <f>IF(IF(ISERROR(VLOOKUP('Config Lines'!D15,'N State Flows Data'!$F$4:$I$50,3,FALSE))=FALSE,VLOOKUP('Config Lines'!D15,'N State Flows Data'!$F$4:$I$50,3,FALSE),VLOOKUP('Config Lines'!H15,'N State Flows Data'!$F$4:$I$50,3,FALSE))&lt;&gt;"Inv",IF(ISERROR(VLOOKUP('Config Lines'!D15,'N State Flows Data'!$F$4:$I$50,3,FALSE))=FALSE,VLOOKUP('Config Lines'!D15,'N State Flows Data'!$F$4:$I$50,3,FALSE),VLOOKUP('Config Lines'!H15,'N State Flows Data'!$F$4:$I$50,3,FALSE)),0)</f>
        <v>34</v>
      </c>
      <c r="BA138" s="628"/>
      <c r="BB138" s="628"/>
      <c r="BC138" s="628"/>
      <c r="BD138" s="628"/>
      <c r="BE138" s="628"/>
      <c r="BF138" s="629"/>
    </row>
    <row r="139" spans="4:58">
      <c r="D139" s="647"/>
      <c r="E139" s="573"/>
      <c r="F139" s="573"/>
      <c r="G139" s="573"/>
      <c r="H139" s="659"/>
      <c r="I139" s="660"/>
      <c r="J139" s="660"/>
      <c r="K139" s="660"/>
      <c r="L139" s="660"/>
      <c r="M139" s="661"/>
      <c r="N139" s="662" t="str">
        <f>'Config Lines'!A16</f>
        <v>Padriciano - Divaca</v>
      </c>
      <c r="O139" s="663"/>
      <c r="P139" s="663"/>
      <c r="Q139" s="663"/>
      <c r="R139" s="663"/>
      <c r="S139" s="663"/>
      <c r="T139" s="663"/>
      <c r="U139" s="663"/>
      <c r="V139" s="663"/>
      <c r="W139" s="663"/>
      <c r="X139" s="663"/>
      <c r="Y139" s="663"/>
      <c r="Z139" s="663"/>
      <c r="AA139" s="663"/>
      <c r="AB139" s="663"/>
      <c r="AC139" s="663"/>
      <c r="AD139" s="663"/>
      <c r="AE139" s="635">
        <f>IF(ISERROR(VLOOKUP('Config Lines'!D16,'N State Flows Data'!$A$4:$D$50,4,FALSE))=FALSE,VLOOKUP('Config Lines'!D16,'N State Flows Data'!$A$4:$D$50,4,FALSE),VLOOKUP('Config Lines'!H16,'N State Flows Data'!$A$4:$D$50,4,FALSE))</f>
        <v>960</v>
      </c>
      <c r="AF139" s="628"/>
      <c r="AG139" s="628"/>
      <c r="AH139" s="628"/>
      <c r="AI139" s="628"/>
      <c r="AJ139" s="628"/>
      <c r="AK139" s="628"/>
      <c r="AL139" s="628">
        <f>IF(IF(ISERROR(VLOOKUP('Config Lines'!D16,'N State Flows Data'!$A$4:$D$50,3,FALSE))=FALSE,VLOOKUP('Config Lines'!D16,'N State Flows Data'!$A$4:$D$50,3,FALSE),VLOOKUP('Config Lines'!H16,'N State Flows Data'!$A$4:$D$50,3,FALSE))&lt;&gt;"Inv",IF(ISERROR(VLOOKUP('Config Lines'!D16,'N State Flows Data'!$A$4:$D$50,3,FALSE))=FALSE,VLOOKUP('Config Lines'!D16,'N State Flows Data'!$A$4:$D$50,3,FALSE),VLOOKUP('Config Lines'!H16,'N State Flows Data'!$A$4:$D$50,3,FALSE)),0)</f>
        <v>50</v>
      </c>
      <c r="AM139" s="628"/>
      <c r="AN139" s="628"/>
      <c r="AO139" s="628"/>
      <c r="AP139" s="628"/>
      <c r="AQ139" s="628"/>
      <c r="AR139" s="630"/>
      <c r="AS139" s="636">
        <f>IF(ISERROR(VLOOKUP('Config Lines'!D16,'N State Flows Data'!$F$4:$I$50,4,FALSE))=FALSE,VLOOKUP('Config Lines'!D16,'N State Flows Data'!$F$4:$I$50,4,FALSE),VLOOKUP('Config Lines'!H16,'N State Flows Data'!$F$4:$I$50,4,FALSE))</f>
        <v>960</v>
      </c>
      <c r="AT139" s="637"/>
      <c r="AU139" s="637"/>
      <c r="AV139" s="637"/>
      <c r="AW139" s="637"/>
      <c r="AX139" s="637"/>
      <c r="AY139" s="637"/>
      <c r="AZ139" s="628">
        <f>IF(IF(ISERROR(VLOOKUP('Config Lines'!D16,'N State Flows Data'!$F$4:$I$50,3,FALSE))=FALSE,VLOOKUP('Config Lines'!D16,'N State Flows Data'!$F$4:$I$50,3,FALSE),VLOOKUP('Config Lines'!H16,'N State Flows Data'!$F$4:$I$50,3,FALSE))&lt;&gt;"Inv",IF(ISERROR(VLOOKUP('Config Lines'!D16,'N State Flows Data'!$F$4:$I$50,3,FALSE))=FALSE,VLOOKUP('Config Lines'!D16,'N State Flows Data'!$F$4:$I$50,3,FALSE),VLOOKUP('Config Lines'!H16,'N State Flows Data'!$F$4:$I$50,3,FALSE)),0)</f>
        <v>49</v>
      </c>
      <c r="BA139" s="628"/>
      <c r="BB139" s="628"/>
      <c r="BC139" s="628"/>
      <c r="BD139" s="628"/>
      <c r="BE139" s="628"/>
      <c r="BF139" s="629"/>
    </row>
    <row r="140" spans="4:58">
      <c r="D140" s="647"/>
      <c r="E140" s="573"/>
      <c r="F140" s="573"/>
      <c r="G140" s="573"/>
      <c r="H140" s="659"/>
      <c r="I140" s="660"/>
      <c r="J140" s="660"/>
      <c r="K140" s="660"/>
      <c r="L140" s="660"/>
      <c r="M140" s="661"/>
      <c r="N140" s="662" t="str">
        <f>'Config Lines'!A17</f>
        <v>Riddes - Avise</v>
      </c>
      <c r="O140" s="663"/>
      <c r="P140" s="663"/>
      <c r="Q140" s="663"/>
      <c r="R140" s="663"/>
      <c r="S140" s="663"/>
      <c r="T140" s="663"/>
      <c r="U140" s="663"/>
      <c r="V140" s="663"/>
      <c r="W140" s="663"/>
      <c r="X140" s="663"/>
      <c r="Y140" s="663"/>
      <c r="Z140" s="663"/>
      <c r="AA140" s="663"/>
      <c r="AB140" s="663"/>
      <c r="AC140" s="663"/>
      <c r="AD140" s="663"/>
      <c r="AE140" s="635">
        <f>IF(ISERROR(VLOOKUP('Config Lines'!D17,'N State Flows Data'!$A$4:$D$50,4,FALSE))=FALSE,VLOOKUP('Config Lines'!D17,'N State Flows Data'!$A$4:$D$50,4,FALSE),VLOOKUP('Config Lines'!H17,'N State Flows Data'!$A$4:$D$50,4,FALSE))</f>
        <v>1010</v>
      </c>
      <c r="AF140" s="628"/>
      <c r="AG140" s="628"/>
      <c r="AH140" s="628"/>
      <c r="AI140" s="628"/>
      <c r="AJ140" s="628"/>
      <c r="AK140" s="628"/>
      <c r="AL140" s="628">
        <f>IF(IF(ISERROR(VLOOKUP('Config Lines'!D17,'N State Flows Data'!$A$4:$D$50,3,FALSE))=FALSE,VLOOKUP('Config Lines'!D17,'N State Flows Data'!$A$4:$D$50,3,FALSE),VLOOKUP('Config Lines'!H17,'N State Flows Data'!$A$4:$D$50,3,FALSE))&lt;&gt;"Inv",IF(ISERROR(VLOOKUP('Config Lines'!D17,'N State Flows Data'!$A$4:$D$50,3,FALSE))=FALSE,VLOOKUP('Config Lines'!D17,'N State Flows Data'!$A$4:$D$50,3,FALSE),VLOOKUP('Config Lines'!H17,'N State Flows Data'!$A$4:$D$50,3,FALSE)),0)</f>
        <v>17</v>
      </c>
      <c r="AM140" s="628"/>
      <c r="AN140" s="628"/>
      <c r="AO140" s="628"/>
      <c r="AP140" s="628"/>
      <c r="AQ140" s="628"/>
      <c r="AR140" s="630"/>
      <c r="AS140" s="636">
        <f>IF(ISERROR(VLOOKUP('Config Lines'!D17,'N State Flows Data'!$F$4:$I$50,4,FALSE))=FALSE,VLOOKUP('Config Lines'!D17,'N State Flows Data'!$F$4:$I$50,4,FALSE),VLOOKUP('Config Lines'!H17,'N State Flows Data'!$F$4:$I$50,4,FALSE))</f>
        <v>1010</v>
      </c>
      <c r="AT140" s="637"/>
      <c r="AU140" s="637"/>
      <c r="AV140" s="637"/>
      <c r="AW140" s="637"/>
      <c r="AX140" s="637"/>
      <c r="AY140" s="637"/>
      <c r="AZ140" s="628">
        <f>IF(IF(ISERROR(VLOOKUP('Config Lines'!D17,'N State Flows Data'!$F$4:$I$50,3,FALSE))=FALSE,VLOOKUP('Config Lines'!D17,'N State Flows Data'!$F$4:$I$50,3,FALSE),VLOOKUP('Config Lines'!H17,'N State Flows Data'!$F$4:$I$50,3,FALSE))&lt;&gt;"Inv",IF(ISERROR(VLOOKUP('Config Lines'!D17,'N State Flows Data'!$F$4:$I$50,3,FALSE))=FALSE,VLOOKUP('Config Lines'!D17,'N State Flows Data'!$F$4:$I$50,3,FALSE),VLOOKUP('Config Lines'!H17,'N State Flows Data'!$F$4:$I$50,3,FALSE)),0)</f>
        <v>18</v>
      </c>
      <c r="BA140" s="628"/>
      <c r="BB140" s="628"/>
      <c r="BC140" s="628"/>
      <c r="BD140" s="628"/>
      <c r="BE140" s="628"/>
      <c r="BF140" s="629"/>
    </row>
    <row r="141" spans="4:58">
      <c r="D141" s="647"/>
      <c r="E141" s="573"/>
      <c r="F141" s="573"/>
      <c r="G141" s="573"/>
      <c r="H141" s="659"/>
      <c r="I141" s="660"/>
      <c r="J141" s="660"/>
      <c r="K141" s="660"/>
      <c r="L141" s="660"/>
      <c r="M141" s="661"/>
      <c r="N141" s="662" t="str">
        <f>'Config Lines'!A18</f>
        <v>Riddes - Valpelline</v>
      </c>
      <c r="O141" s="663"/>
      <c r="P141" s="663"/>
      <c r="Q141" s="663"/>
      <c r="R141" s="663"/>
      <c r="S141" s="663"/>
      <c r="T141" s="663"/>
      <c r="U141" s="663"/>
      <c r="V141" s="663"/>
      <c r="W141" s="663"/>
      <c r="X141" s="663"/>
      <c r="Y141" s="663"/>
      <c r="Z141" s="663"/>
      <c r="AA141" s="663"/>
      <c r="AB141" s="663"/>
      <c r="AC141" s="663"/>
      <c r="AD141" s="663"/>
      <c r="AE141" s="635">
        <f>IF(ISERROR(VLOOKUP('Config Lines'!D18,'N State Flows Data'!$A$4:$D$50,4,FALSE))=FALSE,VLOOKUP('Config Lines'!D18,'N State Flows Data'!$A$4:$D$50,4,FALSE),VLOOKUP('Config Lines'!H18,'N State Flows Data'!$A$4:$D$50,4,FALSE))</f>
        <v>1010</v>
      </c>
      <c r="AF141" s="628"/>
      <c r="AG141" s="628"/>
      <c r="AH141" s="628"/>
      <c r="AI141" s="628"/>
      <c r="AJ141" s="628"/>
      <c r="AK141" s="628"/>
      <c r="AL141" s="628">
        <f>IF(IF(ISERROR(VLOOKUP('Config Lines'!D18,'N State Flows Data'!$A$4:$D$50,3,FALSE))=FALSE,VLOOKUP('Config Lines'!D18,'N State Flows Data'!$A$4:$D$50,3,FALSE),VLOOKUP('Config Lines'!H18,'N State Flows Data'!$A$4:$D$50,3,FALSE))&lt;&gt;"Inv",IF(ISERROR(VLOOKUP('Config Lines'!D18,'N State Flows Data'!$A$4:$D$50,3,FALSE))=FALSE,VLOOKUP('Config Lines'!D18,'N State Flows Data'!$A$4:$D$50,3,FALSE),VLOOKUP('Config Lines'!H18,'N State Flows Data'!$A$4:$D$50,3,FALSE)),0)</f>
        <v>20</v>
      </c>
      <c r="AM141" s="628"/>
      <c r="AN141" s="628"/>
      <c r="AO141" s="628"/>
      <c r="AP141" s="628"/>
      <c r="AQ141" s="628"/>
      <c r="AR141" s="630"/>
      <c r="AS141" s="636">
        <f>IF(ISERROR(VLOOKUP('Config Lines'!D18,'N State Flows Data'!$F$4:$I$50,4,FALSE))=FALSE,VLOOKUP('Config Lines'!D18,'N State Flows Data'!$F$4:$I$50,4,FALSE),VLOOKUP('Config Lines'!H18,'N State Flows Data'!$F$4:$I$50,4,FALSE))</f>
        <v>1010</v>
      </c>
      <c r="AT141" s="637"/>
      <c r="AU141" s="637"/>
      <c r="AV141" s="637"/>
      <c r="AW141" s="637"/>
      <c r="AX141" s="637"/>
      <c r="AY141" s="637"/>
      <c r="AZ141" s="628">
        <f>IF(IF(ISERROR(VLOOKUP('Config Lines'!D18,'N State Flows Data'!$F$4:$I$50,3,FALSE))=FALSE,VLOOKUP('Config Lines'!D18,'N State Flows Data'!$F$4:$I$50,3,FALSE),VLOOKUP('Config Lines'!H18,'N State Flows Data'!$F$4:$I$50,3,FALSE))&lt;&gt;"Inv",IF(ISERROR(VLOOKUP('Config Lines'!D18,'N State Flows Data'!$F$4:$I$50,3,FALSE))=FALSE,VLOOKUP('Config Lines'!D18,'N State Flows Data'!$F$4:$I$50,3,FALSE),VLOOKUP('Config Lines'!H18,'N State Flows Data'!$F$4:$I$50,3,FALSE)),0)</f>
        <v>22</v>
      </c>
      <c r="BA141" s="628"/>
      <c r="BB141" s="628"/>
      <c r="BC141" s="628"/>
      <c r="BD141" s="628"/>
      <c r="BE141" s="628"/>
      <c r="BF141" s="629"/>
    </row>
    <row r="142" spans="4:58" ht="15.75" thickBot="1">
      <c r="D142" s="648"/>
      <c r="E142" s="649"/>
      <c r="F142" s="649"/>
      <c r="G142" s="649"/>
      <c r="H142" s="668"/>
      <c r="I142" s="579"/>
      <c r="J142" s="579"/>
      <c r="K142" s="579"/>
      <c r="L142" s="579"/>
      <c r="M142" s="669"/>
      <c r="N142" s="655" t="str">
        <f>'Config Lines'!A19</f>
        <v>Serra - Pallanzeno</v>
      </c>
      <c r="O142" s="656"/>
      <c r="P142" s="656"/>
      <c r="Q142" s="656"/>
      <c r="R142" s="656"/>
      <c r="S142" s="656"/>
      <c r="T142" s="656"/>
      <c r="U142" s="656"/>
      <c r="V142" s="656"/>
      <c r="W142" s="656"/>
      <c r="X142" s="656"/>
      <c r="Y142" s="656"/>
      <c r="Z142" s="656"/>
      <c r="AA142" s="656"/>
      <c r="AB142" s="656"/>
      <c r="AC142" s="656"/>
      <c r="AD142" s="656"/>
      <c r="AE142" s="641">
        <f>IF(ISERROR(VLOOKUP('Config Lines'!D19,'N State Flows Data'!$A$4:$D$50,4,FALSE))=FALSE,VLOOKUP('Config Lines'!D19,'N State Flows Data'!$A$4:$D$50,4,FALSE),VLOOKUP('Config Lines'!H19,'N State Flows Data'!$A$4:$D$50,4,FALSE))</f>
        <v>900</v>
      </c>
      <c r="AF142" s="639"/>
      <c r="AG142" s="639"/>
      <c r="AH142" s="639"/>
      <c r="AI142" s="639"/>
      <c r="AJ142" s="639"/>
      <c r="AK142" s="639"/>
      <c r="AL142" s="639">
        <f>IF(IF(ISERROR(VLOOKUP('Config Lines'!D19,'N State Flows Data'!$A$4:$D$50,3,FALSE))=FALSE,VLOOKUP('Config Lines'!D19,'N State Flows Data'!$A$4:$D$50,3,FALSE),VLOOKUP('Config Lines'!H19,'N State Flows Data'!$A$4:$D$50,3,FALSE))&lt;&gt;"Inv",IF(ISERROR(VLOOKUP('Config Lines'!D19,'N State Flows Data'!$A$4:$D$50,3,FALSE))=FALSE,VLOOKUP('Config Lines'!D19,'N State Flows Data'!$A$4:$D$50,3,FALSE),VLOOKUP('Config Lines'!H19,'N State Flows Data'!$A$4:$D$50,3,FALSE)),0)</f>
        <v>0</v>
      </c>
      <c r="AM142" s="639"/>
      <c r="AN142" s="639"/>
      <c r="AO142" s="639"/>
      <c r="AP142" s="639"/>
      <c r="AQ142" s="639"/>
      <c r="AR142" s="642"/>
      <c r="AS142" s="643">
        <f>IF(ISERROR(VLOOKUP('Config Lines'!D19,'N State Flows Data'!$F$4:$I$50,4,FALSE))=FALSE,VLOOKUP('Config Lines'!D19,'N State Flows Data'!$F$4:$I$50,4,FALSE),VLOOKUP('Config Lines'!H19,'N State Flows Data'!$F$4:$I$50,4,FALSE))</f>
        <v>900</v>
      </c>
      <c r="AT142" s="644"/>
      <c r="AU142" s="644"/>
      <c r="AV142" s="644"/>
      <c r="AW142" s="644"/>
      <c r="AX142" s="644"/>
      <c r="AY142" s="644"/>
      <c r="AZ142" s="639">
        <f>IF(IF(ISERROR(VLOOKUP('Config Lines'!D19,'N State Flows Data'!$F$4:$I$50,3,FALSE))=FALSE,VLOOKUP('Config Lines'!D19,'N State Flows Data'!$F$4:$I$50,3,FALSE),VLOOKUP('Config Lines'!H19,'N State Flows Data'!$F$4:$I$50,3,FALSE))&lt;&gt;"Inv",IF(ISERROR(VLOOKUP('Config Lines'!D19,'N State Flows Data'!$F$4:$I$50,3,FALSE))=FALSE,VLOOKUP('Config Lines'!D19,'N State Flows Data'!$F$4:$I$50,3,FALSE),VLOOKUP('Config Lines'!H19,'N State Flows Data'!$F$4:$I$50,3,FALSE)),0)</f>
        <v>0</v>
      </c>
      <c r="BA142" s="639"/>
      <c r="BB142" s="639"/>
      <c r="BC142" s="639"/>
      <c r="BD142" s="639"/>
      <c r="BE142" s="639"/>
      <c r="BF142" s="640"/>
    </row>
    <row r="144" spans="4:58" ht="15" customHeight="1">
      <c r="D144" s="82" t="s">
        <v>121</v>
      </c>
    </row>
    <row r="145" spans="1:67">
      <c r="G145" s="343"/>
      <c r="H145" s="344"/>
      <c r="I145" s="344"/>
      <c r="J145" s="344"/>
      <c r="K145" s="345"/>
      <c r="M145" s="66" t="s">
        <v>181</v>
      </c>
      <c r="W145" s="350"/>
      <c r="X145" s="351"/>
      <c r="Y145" s="351"/>
      <c r="Z145" s="351"/>
      <c r="AA145" s="352"/>
      <c r="AC145" s="66" t="s">
        <v>182</v>
      </c>
      <c r="AQ145" s="358"/>
      <c r="AR145" s="359"/>
      <c r="AS145" s="359"/>
      <c r="AT145" s="359"/>
      <c r="AU145" s="360"/>
      <c r="AW145" s="66" t="s">
        <v>197</v>
      </c>
    </row>
    <row r="146" spans="1:67" ht="19.5" customHeight="1">
      <c r="BL146" s="78"/>
      <c r="BM146" s="78"/>
      <c r="BN146" s="78"/>
      <c r="BO146" s="78"/>
    </row>
    <row r="147" spans="1:67" ht="19.5" customHeight="1"/>
    <row r="148" spans="1:67" s="78" customFormat="1" ht="18.75" customHeight="1">
      <c r="D148" s="170" t="s">
        <v>52</v>
      </c>
      <c r="BK148" s="88"/>
    </row>
    <row r="149" spans="1:67" ht="27" customHeight="1">
      <c r="D149" s="342" t="s">
        <v>71</v>
      </c>
      <c r="E149" s="342"/>
      <c r="F149" s="342"/>
      <c r="G149" s="342"/>
      <c r="H149" s="342"/>
      <c r="I149" s="342"/>
      <c r="J149" s="342"/>
      <c r="K149" s="342"/>
      <c r="L149" s="342"/>
      <c r="M149" s="342"/>
      <c r="N149" s="342"/>
      <c r="O149" s="342"/>
      <c r="P149" s="342"/>
      <c r="Q149" s="342"/>
      <c r="R149" s="342"/>
      <c r="S149" s="342"/>
      <c r="T149" s="342"/>
      <c r="U149" s="342"/>
      <c r="V149" s="342"/>
      <c r="W149" s="342"/>
      <c r="X149" s="342"/>
      <c r="Y149" s="342"/>
      <c r="Z149" s="342"/>
      <c r="AA149" s="342"/>
      <c r="AB149" s="342"/>
      <c r="AC149" s="342"/>
      <c r="AD149" s="342"/>
      <c r="AE149" s="342"/>
      <c r="AF149" s="342"/>
      <c r="AG149" s="342"/>
      <c r="AH149" s="342"/>
      <c r="AI149" s="342"/>
      <c r="AJ149" s="342"/>
      <c r="AK149" s="342"/>
      <c r="AL149" s="342"/>
      <c r="AM149" s="342"/>
      <c r="AN149" s="342"/>
      <c r="AO149" s="342"/>
      <c r="AP149" s="342"/>
      <c r="AQ149" s="342"/>
      <c r="AR149" s="342"/>
      <c r="AS149" s="342"/>
      <c r="AT149" s="342"/>
      <c r="AU149" s="342"/>
      <c r="AV149" s="342"/>
      <c r="AW149" s="342"/>
      <c r="AX149" s="342"/>
      <c r="AY149" s="342"/>
      <c r="AZ149" s="342"/>
      <c r="BA149" s="342"/>
      <c r="BB149" s="342"/>
      <c r="BC149" s="342"/>
      <c r="BD149" s="342"/>
      <c r="BE149" s="342"/>
      <c r="BF149" s="342"/>
      <c r="BG149" s="342"/>
      <c r="BH149" s="342"/>
    </row>
    <row r="150" spans="1:67" s="78" customFormat="1" ht="5.25" customHeight="1" thickBot="1">
      <c r="A150" s="66"/>
      <c r="B150" s="66"/>
      <c r="C150" s="66"/>
      <c r="D150" s="66"/>
      <c r="E150" s="66"/>
      <c r="F150" s="66"/>
      <c r="G150" s="66"/>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c r="AE150" s="66"/>
      <c r="AF150" s="66"/>
      <c r="AG150" s="66"/>
      <c r="AH150" s="66"/>
      <c r="AI150" s="66"/>
      <c r="AJ150" s="66"/>
      <c r="AK150" s="66"/>
      <c r="AL150" s="66"/>
      <c r="AM150" s="66"/>
      <c r="AN150" s="66"/>
      <c r="AO150" s="66"/>
      <c r="AP150" s="66"/>
      <c r="AQ150" s="66"/>
      <c r="AR150" s="66"/>
      <c r="AS150" s="66"/>
      <c r="AT150" s="66"/>
      <c r="AU150" s="66"/>
      <c r="AV150" s="66"/>
      <c r="AW150" s="66"/>
      <c r="AX150" s="66"/>
      <c r="AY150" s="66"/>
      <c r="AZ150" s="66"/>
      <c r="BA150" s="66"/>
      <c r="BB150" s="66"/>
      <c r="BC150" s="66"/>
      <c r="BD150" s="66"/>
      <c r="BE150" s="66"/>
      <c r="BF150" s="66"/>
      <c r="BG150" s="66"/>
      <c r="BH150" s="66"/>
      <c r="BI150" s="66"/>
      <c r="BJ150" s="66"/>
      <c r="BK150" s="161"/>
      <c r="BL150" s="66"/>
      <c r="BM150" s="66"/>
      <c r="BN150" s="66"/>
      <c r="BO150" s="66"/>
    </row>
    <row r="151" spans="1:67" ht="24.75" customHeight="1" thickBot="1">
      <c r="G151" s="346"/>
      <c r="H151" s="346"/>
      <c r="I151" s="346"/>
      <c r="J151" s="346"/>
      <c r="K151" s="346"/>
      <c r="L151" s="346"/>
      <c r="M151" s="346"/>
      <c r="N151" s="346"/>
      <c r="O151" s="346"/>
      <c r="P151" s="346"/>
      <c r="Q151" s="346"/>
      <c r="R151" s="346"/>
      <c r="S151" s="346"/>
      <c r="T151" s="346"/>
      <c r="U151" s="346"/>
      <c r="V151" s="346"/>
      <c r="W151" s="346"/>
      <c r="X151" s="348" t="s">
        <v>147</v>
      </c>
      <c r="Y151" s="349"/>
      <c r="Z151" s="349"/>
      <c r="AA151" s="349"/>
      <c r="AB151" s="349"/>
      <c r="AC151" s="349"/>
      <c r="AD151" s="349"/>
      <c r="AE151" s="349"/>
      <c r="AF151" s="339" t="s">
        <v>148</v>
      </c>
      <c r="AG151" s="340"/>
      <c r="AH151" s="340"/>
      <c r="AI151" s="340"/>
      <c r="AJ151" s="340"/>
      <c r="AK151" s="340"/>
      <c r="AL151" s="340"/>
      <c r="AM151" s="341"/>
      <c r="AN151" s="339" t="s">
        <v>149</v>
      </c>
      <c r="AO151" s="340"/>
      <c r="AP151" s="340"/>
      <c r="AQ151" s="340"/>
      <c r="AR151" s="340"/>
      <c r="AS151" s="340"/>
      <c r="AT151" s="340"/>
      <c r="AU151" s="341"/>
      <c r="AV151" s="355" t="s">
        <v>150</v>
      </c>
      <c r="AW151" s="356"/>
      <c r="AX151" s="356"/>
      <c r="AY151" s="356"/>
      <c r="AZ151" s="356"/>
      <c r="BA151" s="356"/>
      <c r="BB151" s="356"/>
      <c r="BC151" s="357"/>
    </row>
    <row r="152" spans="1:67" ht="24.75" customHeight="1">
      <c r="G152" s="272" t="s">
        <v>123</v>
      </c>
      <c r="H152" s="273"/>
      <c r="I152" s="273"/>
      <c r="J152" s="273"/>
      <c r="K152" s="273"/>
      <c r="L152" s="347" t="s">
        <v>151</v>
      </c>
      <c r="M152" s="347"/>
      <c r="N152" s="347"/>
      <c r="O152" s="347"/>
      <c r="P152" s="347"/>
      <c r="Q152" s="347"/>
      <c r="R152" s="347"/>
      <c r="S152" s="347"/>
      <c r="T152" s="347"/>
      <c r="U152" s="347"/>
      <c r="V152" s="347"/>
      <c r="W152" s="347"/>
      <c r="X152" s="278">
        <f>'Terna Sensitivity Data'!C7</f>
        <v>1862</v>
      </c>
      <c r="Y152" s="278"/>
      <c r="Z152" s="278"/>
      <c r="AA152" s="278"/>
      <c r="AB152" s="278"/>
      <c r="AC152" s="278"/>
      <c r="AD152" s="278"/>
      <c r="AE152" s="278"/>
      <c r="AF152" s="278">
        <f>'Terna Sensitivity Data'!D7</f>
        <v>3735</v>
      </c>
      <c r="AG152" s="278"/>
      <c r="AH152" s="278"/>
      <c r="AI152" s="278"/>
      <c r="AJ152" s="278"/>
      <c r="AK152" s="278"/>
      <c r="AL152" s="278"/>
      <c r="AM152" s="278"/>
      <c r="AN152" s="278">
        <f>'Terna Sensitivity Data'!E7</f>
        <v>101</v>
      </c>
      <c r="AO152" s="278"/>
      <c r="AP152" s="278"/>
      <c r="AQ152" s="278"/>
      <c r="AR152" s="278"/>
      <c r="AS152" s="278"/>
      <c r="AT152" s="278"/>
      <c r="AU152" s="278"/>
      <c r="AV152" s="676">
        <f>'Terna Sensitivity Data'!F7</f>
        <v>1046</v>
      </c>
      <c r="AW152" s="676"/>
      <c r="AX152" s="676"/>
      <c r="AY152" s="676"/>
      <c r="AZ152" s="676"/>
      <c r="BA152" s="676"/>
      <c r="BB152" s="676"/>
      <c r="BC152" s="677"/>
    </row>
    <row r="153" spans="1:67" ht="24.75" customHeight="1">
      <c r="G153" s="274"/>
      <c r="H153" s="275"/>
      <c r="I153" s="275"/>
      <c r="J153" s="275"/>
      <c r="K153" s="275"/>
      <c r="L153" s="280" t="s">
        <v>152</v>
      </c>
      <c r="M153" s="280"/>
      <c r="N153" s="280"/>
      <c r="O153" s="280"/>
      <c r="P153" s="280"/>
      <c r="Q153" s="280"/>
      <c r="R153" s="280"/>
      <c r="S153" s="280"/>
      <c r="T153" s="280"/>
      <c r="U153" s="280"/>
      <c r="V153" s="280"/>
      <c r="W153" s="280"/>
      <c r="X153" s="279">
        <f>IF('Terna Sensitivity Data'!$G$13=0,0,'Terna Sensitivity Data'!C13/'Terna Sensitivity Data'!$G$13)</f>
        <v>0.39060693641618499</v>
      </c>
      <c r="Y153" s="279"/>
      <c r="Z153" s="279"/>
      <c r="AA153" s="279"/>
      <c r="AB153" s="279"/>
      <c r="AC153" s="279"/>
      <c r="AD153" s="279"/>
      <c r="AE153" s="279"/>
      <c r="AF153" s="279">
        <f>IF('Terna Sensitivity Data'!$G$13=0,0,'Terna Sensitivity Data'!D13/'Terna Sensitivity Data'!$G$13)</f>
        <v>0.48887283236994222</v>
      </c>
      <c r="AG153" s="279"/>
      <c r="AH153" s="279"/>
      <c r="AI153" s="279"/>
      <c r="AJ153" s="279"/>
      <c r="AK153" s="279"/>
      <c r="AL153" s="279"/>
      <c r="AM153" s="279"/>
      <c r="AN153" s="279">
        <f>IF('Terna Sensitivity Data'!$G$13=0,0,'Terna Sensitivity Data'!E13/'Terna Sensitivity Data'!$G$13)</f>
        <v>3.9595375722543354E-2</v>
      </c>
      <c r="AO153" s="279"/>
      <c r="AP153" s="279"/>
      <c r="AQ153" s="279"/>
      <c r="AR153" s="279"/>
      <c r="AS153" s="279"/>
      <c r="AT153" s="279"/>
      <c r="AU153" s="279"/>
      <c r="AV153" s="353">
        <f>IF('Terna Sensitivity Data'!$G$13=0,0,'Terna Sensitivity Data'!F13/'Terna Sensitivity Data'!$G$13)</f>
        <v>8.0924855491329481E-2</v>
      </c>
      <c r="AW153" s="353"/>
      <c r="AX153" s="353"/>
      <c r="AY153" s="353"/>
      <c r="AZ153" s="353"/>
      <c r="BA153" s="353"/>
      <c r="BB153" s="353"/>
      <c r="BC153" s="354"/>
    </row>
    <row r="154" spans="1:67" ht="24.75" customHeight="1" thickBot="1">
      <c r="G154" s="276"/>
      <c r="H154" s="277"/>
      <c r="I154" s="277"/>
      <c r="J154" s="277"/>
      <c r="K154" s="277"/>
      <c r="L154" s="270" t="s">
        <v>153</v>
      </c>
      <c r="M154" s="270"/>
      <c r="N154" s="270"/>
      <c r="O154" s="270"/>
      <c r="P154" s="270"/>
      <c r="Q154" s="270"/>
      <c r="R154" s="270"/>
      <c r="S154" s="270"/>
      <c r="T154" s="270"/>
      <c r="U154" s="270"/>
      <c r="V154" s="270"/>
      <c r="W154" s="270"/>
      <c r="X154" s="268">
        <f>IF('Terna Sensitivity Data'!$H$7=0,0,('Terna Sensitivity Data'!C8-'Terna Sensitivity Data'!C7)/'Terna Sensitivity Data'!$H$7)</f>
        <v>-0.28853754940711462</v>
      </c>
      <c r="Y154" s="268"/>
      <c r="Z154" s="268"/>
      <c r="AA154" s="268"/>
      <c r="AB154" s="268"/>
      <c r="AC154" s="268"/>
      <c r="AD154" s="268"/>
      <c r="AE154" s="268"/>
      <c r="AF154" s="268">
        <f>IF('Terna Sensitivity Data'!$H$7=0,0,('Terna Sensitivity Data'!D8-'Terna Sensitivity Data'!D7)/'Terna Sensitivity Data'!$H$7)</f>
        <v>-0.52173913043478259</v>
      </c>
      <c r="AG154" s="268"/>
      <c r="AH154" s="268"/>
      <c r="AI154" s="268"/>
      <c r="AJ154" s="268"/>
      <c r="AK154" s="268"/>
      <c r="AL154" s="268"/>
      <c r="AM154" s="268"/>
      <c r="AN154" s="268">
        <f>IF('Terna Sensitivity Data'!$H$7=0,0,('Terna Sensitivity Data'!E8-'Terna Sensitivity Data'!E7)/'Terna Sensitivity Data'!$H$7)</f>
        <v>-3.9525691699604744E-2</v>
      </c>
      <c r="AO154" s="268"/>
      <c r="AP154" s="268"/>
      <c r="AQ154" s="268"/>
      <c r="AR154" s="268"/>
      <c r="AS154" s="268"/>
      <c r="AT154" s="268"/>
      <c r="AU154" s="268"/>
      <c r="AV154" s="673">
        <f>IF('Terna Sensitivity Data'!$H$7=0,0,('Terna Sensitivity Data'!F8-'Terna Sensitivity Data'!F7)/'Terna Sensitivity Data'!$H$7)</f>
        <v>-0.15019762845849802</v>
      </c>
      <c r="AW154" s="673"/>
      <c r="AX154" s="673"/>
      <c r="AY154" s="673"/>
      <c r="AZ154" s="673"/>
      <c r="BA154" s="673"/>
      <c r="BB154" s="673"/>
      <c r="BC154" s="674"/>
    </row>
    <row r="155" spans="1:67" ht="24.75" customHeight="1">
      <c r="G155" s="289" t="s">
        <v>53</v>
      </c>
      <c r="H155" s="290"/>
      <c r="I155" s="290"/>
      <c r="J155" s="290"/>
      <c r="K155" s="290"/>
      <c r="L155" s="670" t="s">
        <v>151</v>
      </c>
      <c r="M155" s="670"/>
      <c r="N155" s="670"/>
      <c r="O155" s="670"/>
      <c r="P155" s="670"/>
      <c r="Q155" s="670"/>
      <c r="R155" s="670"/>
      <c r="S155" s="670"/>
      <c r="T155" s="670"/>
      <c r="U155" s="670"/>
      <c r="V155" s="670"/>
      <c r="W155" s="670"/>
      <c r="X155" s="675">
        <f>'Terna Sensitivity Data'!C5</f>
        <v>2856</v>
      </c>
      <c r="Y155" s="675"/>
      <c r="Z155" s="675"/>
      <c r="AA155" s="675"/>
      <c r="AB155" s="675"/>
      <c r="AC155" s="675"/>
      <c r="AD155" s="675"/>
      <c r="AE155" s="675"/>
      <c r="AF155" s="675">
        <f>'Terna Sensitivity Data'!D5</f>
        <v>2741</v>
      </c>
      <c r="AG155" s="675"/>
      <c r="AH155" s="675"/>
      <c r="AI155" s="675"/>
      <c r="AJ155" s="675"/>
      <c r="AK155" s="675"/>
      <c r="AL155" s="675"/>
      <c r="AM155" s="675"/>
      <c r="AN155" s="675">
        <f>'Terna Sensitivity Data'!E5</f>
        <v>119</v>
      </c>
      <c r="AO155" s="675"/>
      <c r="AP155" s="675"/>
      <c r="AQ155" s="675"/>
      <c r="AR155" s="675"/>
      <c r="AS155" s="675"/>
      <c r="AT155" s="675"/>
      <c r="AU155" s="675"/>
      <c r="AV155" s="287">
        <f>'Terna Sensitivity Data'!F5</f>
        <v>1095</v>
      </c>
      <c r="AW155" s="287"/>
      <c r="AX155" s="287"/>
      <c r="AY155" s="287"/>
      <c r="AZ155" s="287"/>
      <c r="BA155" s="287"/>
      <c r="BB155" s="287"/>
      <c r="BC155" s="288"/>
    </row>
    <row r="156" spans="1:67" ht="24.75" customHeight="1">
      <c r="G156" s="291"/>
      <c r="H156" s="292"/>
      <c r="I156" s="292"/>
      <c r="J156" s="292"/>
      <c r="K156" s="292"/>
      <c r="L156" s="283" t="s">
        <v>152</v>
      </c>
      <c r="M156" s="283"/>
      <c r="N156" s="283"/>
      <c r="O156" s="283"/>
      <c r="P156" s="283"/>
      <c r="Q156" s="283"/>
      <c r="R156" s="283"/>
      <c r="S156" s="283"/>
      <c r="T156" s="283"/>
      <c r="U156" s="283"/>
      <c r="V156" s="283"/>
      <c r="W156" s="283"/>
      <c r="X156" s="269">
        <f>IF('Terna Sensitivity Data'!$G$12=0,0,'Terna Sensitivity Data'!C12/'Terna Sensitivity Data'!$G$12)</f>
        <v>0.454256395432866</v>
      </c>
      <c r="Y156" s="269"/>
      <c r="Z156" s="269"/>
      <c r="AA156" s="269"/>
      <c r="AB156" s="269"/>
      <c r="AC156" s="269"/>
      <c r="AD156" s="269"/>
      <c r="AE156" s="269"/>
      <c r="AF156" s="269">
        <f>IF('Terna Sensitivity Data'!$G$12=0,0,'Terna Sensitivity Data'!D12/'Terna Sensitivity Data'!$G$12)</f>
        <v>0.39514380690851281</v>
      </c>
      <c r="AG156" s="269"/>
      <c r="AH156" s="269"/>
      <c r="AI156" s="269"/>
      <c r="AJ156" s="269"/>
      <c r="AK156" s="269"/>
      <c r="AL156" s="269"/>
      <c r="AM156" s="269"/>
      <c r="AN156" s="269">
        <f>IF('Terna Sensitivity Data'!$G$12=0,0,'Terna Sensitivity Data'!E12/'Terna Sensitivity Data'!$G$12)</f>
        <v>4.5382280676398323E-2</v>
      </c>
      <c r="AO156" s="269"/>
      <c r="AP156" s="269"/>
      <c r="AQ156" s="269"/>
      <c r="AR156" s="269"/>
      <c r="AS156" s="269"/>
      <c r="AT156" s="269"/>
      <c r="AU156" s="269"/>
      <c r="AV156" s="266">
        <f>IF('Terna Sensitivity Data'!$G$12=0,0,'Terna Sensitivity Data'!F12/'Terna Sensitivity Data'!$G$12)</f>
        <v>0.10521751698222287</v>
      </c>
      <c r="AW156" s="266"/>
      <c r="AX156" s="266"/>
      <c r="AY156" s="266"/>
      <c r="AZ156" s="266"/>
      <c r="BA156" s="266"/>
      <c r="BB156" s="266"/>
      <c r="BC156" s="267"/>
    </row>
    <row r="157" spans="1:67" ht="24.75" customHeight="1" thickBot="1">
      <c r="G157" s="293"/>
      <c r="H157" s="294"/>
      <c r="I157" s="294"/>
      <c r="J157" s="294"/>
      <c r="K157" s="294"/>
      <c r="L157" s="281" t="s">
        <v>153</v>
      </c>
      <c r="M157" s="281"/>
      <c r="N157" s="281"/>
      <c r="O157" s="281"/>
      <c r="P157" s="281"/>
      <c r="Q157" s="281"/>
      <c r="R157" s="281"/>
      <c r="S157" s="281"/>
      <c r="T157" s="281"/>
      <c r="U157" s="281"/>
      <c r="V157" s="281"/>
      <c r="W157" s="281"/>
      <c r="X157" s="282">
        <f>IF('Terna Sensitivity Data'!$H$5=0,0,('Terna Sensitivity Data'!C6-'Terna Sensitivity Data'!C5)/'Terna Sensitivity Data'!$H$5)</f>
        <v>-0.28388998035363455</v>
      </c>
      <c r="Y157" s="282"/>
      <c r="Z157" s="282"/>
      <c r="AA157" s="282"/>
      <c r="AB157" s="282"/>
      <c r="AC157" s="282"/>
      <c r="AD157" s="282"/>
      <c r="AE157" s="282"/>
      <c r="AF157" s="282">
        <f>IF('Terna Sensitivity Data'!$H$5=0,0,('Terna Sensitivity Data'!D6-'Terna Sensitivity Data'!D5)/'Terna Sensitivity Data'!$H$5)</f>
        <v>-0.51571709233791752</v>
      </c>
      <c r="AG157" s="282"/>
      <c r="AH157" s="282"/>
      <c r="AI157" s="282"/>
      <c r="AJ157" s="282"/>
      <c r="AK157" s="282"/>
      <c r="AL157" s="282"/>
      <c r="AM157" s="282"/>
      <c r="AN157" s="282">
        <f>IF('Terna Sensitivity Data'!$H$5=0,0,('Terna Sensitivity Data'!E6-'Terna Sensitivity Data'!E5)/'Terna Sensitivity Data'!$H$5)</f>
        <v>-4.0275049115913557E-2</v>
      </c>
      <c r="AO157" s="282"/>
      <c r="AP157" s="282"/>
      <c r="AQ157" s="282"/>
      <c r="AR157" s="282"/>
      <c r="AS157" s="282"/>
      <c r="AT157" s="282"/>
      <c r="AU157" s="282"/>
      <c r="AV157" s="671">
        <f>IF('Terna Sensitivity Data'!$H$5=0,0,('Terna Sensitivity Data'!F6-'Terna Sensitivity Data'!F5)/'Terna Sensitivity Data'!$H$5)</f>
        <v>-0.16011787819253437</v>
      </c>
      <c r="AW157" s="671"/>
      <c r="AX157" s="671"/>
      <c r="AY157" s="671"/>
      <c r="AZ157" s="671"/>
      <c r="BA157" s="671"/>
      <c r="BB157" s="671"/>
      <c r="BC157" s="672"/>
    </row>
    <row r="158" spans="1:67" ht="16.5" customHeight="1">
      <c r="F158" s="78"/>
      <c r="G158" s="163"/>
      <c r="H158" s="163"/>
      <c r="I158" s="163"/>
      <c r="J158" s="163"/>
      <c r="K158" s="163"/>
      <c r="L158" s="164"/>
      <c r="M158" s="164"/>
      <c r="N158" s="164"/>
      <c r="O158" s="164"/>
      <c r="P158" s="164"/>
      <c r="Q158" s="164"/>
      <c r="R158" s="164"/>
      <c r="S158" s="164"/>
      <c r="T158" s="164"/>
      <c r="U158" s="164"/>
      <c r="V158" s="164"/>
      <c r="W158" s="164"/>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c r="AU158" s="165"/>
      <c r="AV158" s="166"/>
      <c r="AW158" s="166"/>
      <c r="AX158" s="166"/>
      <c r="AY158" s="166"/>
      <c r="AZ158" s="166"/>
      <c r="BA158" s="166"/>
      <c r="BB158" s="166"/>
      <c r="BC158" s="166"/>
      <c r="BD158" s="78"/>
    </row>
    <row r="159" spans="1:67" ht="19.5" customHeight="1">
      <c r="D159" s="83" t="s">
        <v>199</v>
      </c>
    </row>
    <row r="160" spans="1:67" ht="18.75" customHeight="1">
      <c r="D160" s="271" t="s">
        <v>141</v>
      </c>
      <c r="E160" s="271"/>
      <c r="F160" s="271"/>
      <c r="G160" s="271"/>
      <c r="H160" s="271"/>
      <c r="I160" s="271"/>
      <c r="J160" s="271"/>
      <c r="K160" s="271"/>
      <c r="L160" s="271"/>
      <c r="M160" s="271"/>
      <c r="N160" s="271"/>
      <c r="O160" s="271"/>
      <c r="P160" s="271"/>
      <c r="Q160" s="271"/>
      <c r="R160" s="271"/>
      <c r="S160" s="271"/>
      <c r="T160" s="271"/>
      <c r="U160" s="271"/>
      <c r="V160" s="271"/>
      <c r="W160" s="271"/>
      <c r="X160" s="271"/>
      <c r="Y160" s="271"/>
      <c r="Z160" s="271"/>
      <c r="AA160" s="271"/>
      <c r="AB160" s="271"/>
      <c r="AC160" s="271"/>
      <c r="AD160" s="271"/>
      <c r="AE160" s="271"/>
      <c r="AF160" s="271"/>
      <c r="AG160" s="271"/>
      <c r="AH160" s="271"/>
      <c r="AI160" s="271"/>
      <c r="AJ160" s="271"/>
      <c r="AK160" s="271"/>
      <c r="AL160" s="271"/>
      <c r="AM160" s="271"/>
      <c r="AN160" s="271"/>
      <c r="AO160" s="271"/>
      <c r="AP160" s="271"/>
      <c r="AQ160" s="271"/>
      <c r="AR160" s="271"/>
      <c r="AS160" s="271"/>
      <c r="AT160" s="271"/>
      <c r="AU160" s="271"/>
      <c r="AV160" s="271"/>
      <c r="AW160" s="271"/>
      <c r="AX160" s="271"/>
      <c r="AY160" s="271"/>
      <c r="AZ160" s="271"/>
      <c r="BA160" s="271"/>
      <c r="BB160" s="271"/>
      <c r="BC160" s="271"/>
      <c r="BD160" s="271"/>
      <c r="BE160" s="271"/>
      <c r="BF160" s="271"/>
      <c r="BG160" s="271"/>
      <c r="BH160" s="271"/>
      <c r="BI160" s="271"/>
      <c r="BJ160" s="271"/>
      <c r="BK160" s="271"/>
    </row>
    <row r="161" spans="1:63" ht="8.25" customHeight="1">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60"/>
    </row>
    <row r="162" spans="1:63" s="88" customFormat="1" ht="15.75" customHeight="1">
      <c r="A162" s="66"/>
      <c r="B162" s="66"/>
      <c r="C162" s="188"/>
      <c r="D162" s="189"/>
      <c r="E162" s="189"/>
      <c r="F162" s="190"/>
      <c r="G162" s="258" t="s">
        <v>17</v>
      </c>
      <c r="H162" s="258"/>
      <c r="I162" s="258"/>
      <c r="J162" s="258"/>
      <c r="K162" s="258"/>
      <c r="L162" s="258"/>
      <c r="M162" s="258" t="s">
        <v>172</v>
      </c>
      <c r="N162" s="258"/>
      <c r="O162" s="258"/>
      <c r="P162" s="258"/>
      <c r="Q162" s="258"/>
      <c r="R162" s="258"/>
      <c r="S162" s="258"/>
      <c r="T162" s="258"/>
      <c r="U162" s="258"/>
      <c r="V162" s="258"/>
      <c r="W162" s="258"/>
      <c r="X162" s="258"/>
      <c r="Y162" s="258"/>
      <c r="Z162" s="258"/>
      <c r="AA162" s="258"/>
      <c r="AB162" s="258"/>
      <c r="AC162" s="258"/>
      <c r="AD162" s="258"/>
      <c r="AE162" s="258"/>
      <c r="AF162" s="258"/>
      <c r="AG162" s="258"/>
      <c r="AH162" s="258"/>
      <c r="AI162" s="258"/>
      <c r="AJ162" s="330" t="s">
        <v>43</v>
      </c>
      <c r="AK162" s="331"/>
      <c r="AL162" s="331"/>
      <c r="AM162" s="331"/>
      <c r="AN162" s="331"/>
      <c r="AO162" s="331"/>
      <c r="AP162" s="331"/>
      <c r="AQ162" s="331"/>
      <c r="AR162" s="331"/>
      <c r="AS162" s="331"/>
      <c r="AT162" s="331"/>
      <c r="AU162" s="331"/>
      <c r="AV162" s="331"/>
      <c r="AW162" s="331"/>
      <c r="AX162" s="331"/>
      <c r="AY162" s="331"/>
      <c r="AZ162" s="331"/>
      <c r="BA162" s="331"/>
      <c r="BB162" s="331"/>
      <c r="BC162" s="331"/>
      <c r="BD162" s="331"/>
      <c r="BE162" s="331"/>
      <c r="BF162" s="331"/>
      <c r="BG162" s="331"/>
      <c r="BH162" s="331"/>
      <c r="BI162" s="332"/>
      <c r="BJ162" s="66"/>
      <c r="BK162" s="161"/>
    </row>
    <row r="163" spans="1:63" s="88" customFormat="1" ht="15.75" customHeight="1">
      <c r="A163" s="66"/>
      <c r="B163" s="66"/>
      <c r="C163" s="191"/>
      <c r="D163" s="192"/>
      <c r="E163" s="192"/>
      <c r="F163" s="193"/>
      <c r="G163" s="258"/>
      <c r="H163" s="258"/>
      <c r="I163" s="258"/>
      <c r="J163" s="258"/>
      <c r="K163" s="258"/>
      <c r="L163" s="258"/>
      <c r="M163" s="258" t="s">
        <v>44</v>
      </c>
      <c r="N163" s="258"/>
      <c r="O163" s="258"/>
      <c r="P163" s="258" t="s">
        <v>45</v>
      </c>
      <c r="Q163" s="258"/>
      <c r="R163" s="258"/>
      <c r="S163" s="258"/>
      <c r="T163" s="258"/>
      <c r="U163" s="258"/>
      <c r="V163" s="258"/>
      <c r="W163" s="258"/>
      <c r="X163" s="258" t="s">
        <v>46</v>
      </c>
      <c r="Y163" s="258"/>
      <c r="Z163" s="258"/>
      <c r="AA163" s="258"/>
      <c r="AB163" s="258"/>
      <c r="AC163" s="258"/>
      <c r="AD163" s="258"/>
      <c r="AE163" s="258"/>
      <c r="AF163" s="258" t="s">
        <v>47</v>
      </c>
      <c r="AG163" s="258"/>
      <c r="AH163" s="258"/>
      <c r="AI163" s="258"/>
      <c r="AJ163" s="328" t="s">
        <v>48</v>
      </c>
      <c r="AK163" s="328"/>
      <c r="AL163" s="328"/>
      <c r="AM163" s="328"/>
      <c r="AN163" s="259" t="s">
        <v>44</v>
      </c>
      <c r="AO163" s="260"/>
      <c r="AP163" s="261"/>
      <c r="AQ163" s="258" t="s">
        <v>45</v>
      </c>
      <c r="AR163" s="258"/>
      <c r="AS163" s="258"/>
      <c r="AT163" s="258"/>
      <c r="AU163" s="258"/>
      <c r="AV163" s="258"/>
      <c r="AW163" s="258"/>
      <c r="AX163" s="258" t="s">
        <v>46</v>
      </c>
      <c r="AY163" s="258"/>
      <c r="AZ163" s="258"/>
      <c r="BA163" s="258"/>
      <c r="BB163" s="258"/>
      <c r="BC163" s="258"/>
      <c r="BD163" s="258"/>
      <c r="BE163" s="258" t="s">
        <v>47</v>
      </c>
      <c r="BF163" s="258"/>
      <c r="BG163" s="258"/>
      <c r="BH163" s="258"/>
      <c r="BI163" s="258"/>
      <c r="BJ163" s="66"/>
      <c r="BK163" s="161"/>
    </row>
    <row r="164" spans="1:63" s="88" customFormat="1" ht="27.75" customHeight="1">
      <c r="A164" s="66"/>
      <c r="B164" s="66"/>
      <c r="C164" s="237" t="s">
        <v>123</v>
      </c>
      <c r="D164" s="237"/>
      <c r="E164" s="237"/>
      <c r="F164" s="237"/>
      <c r="G164" s="678" t="s">
        <v>494</v>
      </c>
      <c r="H164" s="257"/>
      <c r="I164" s="257"/>
      <c r="J164" s="257"/>
      <c r="K164" s="257"/>
      <c r="L164" s="679"/>
      <c r="M164" s="249">
        <v>380</v>
      </c>
      <c r="N164" s="249"/>
      <c r="O164" s="249"/>
      <c r="P164" s="250" t="s">
        <v>493</v>
      </c>
      <c r="Q164" s="250"/>
      <c r="R164" s="250"/>
      <c r="S164" s="250"/>
      <c r="T164" s="250"/>
      <c r="U164" s="250"/>
      <c r="V164" s="250"/>
      <c r="W164" s="250"/>
      <c r="X164" s="250"/>
      <c r="Y164" s="250"/>
      <c r="Z164" s="250"/>
      <c r="AA164" s="250"/>
      <c r="AB164" s="250"/>
      <c r="AC164" s="250"/>
      <c r="AD164" s="250"/>
      <c r="AE164" s="250"/>
      <c r="AF164" s="249" t="s">
        <v>386</v>
      </c>
      <c r="AG164" s="249"/>
      <c r="AH164" s="249"/>
      <c r="AI164" s="249"/>
      <c r="AJ164" s="244">
        <v>1.0900000000000001</v>
      </c>
      <c r="AK164" s="244"/>
      <c r="AL164" s="244"/>
      <c r="AM164" s="245"/>
      <c r="AN164" s="238">
        <v>380</v>
      </c>
      <c r="AO164" s="239"/>
      <c r="AP164" s="240"/>
      <c r="AQ164" s="238" t="s">
        <v>165</v>
      </c>
      <c r="AR164" s="239"/>
      <c r="AS164" s="239"/>
      <c r="AT164" s="239"/>
      <c r="AU164" s="239"/>
      <c r="AV164" s="239"/>
      <c r="AW164" s="240"/>
      <c r="AX164" s="241" t="s">
        <v>164</v>
      </c>
      <c r="AY164" s="239"/>
      <c r="AZ164" s="239"/>
      <c r="BA164" s="239"/>
      <c r="BB164" s="239"/>
      <c r="BC164" s="239"/>
      <c r="BD164" s="240"/>
      <c r="BE164" s="246"/>
      <c r="BF164" s="247"/>
      <c r="BG164" s="247"/>
      <c r="BH164" s="247"/>
      <c r="BI164" s="248"/>
      <c r="BJ164" s="66"/>
      <c r="BK164" s="161"/>
    </row>
    <row r="165" spans="1:63" s="88" customFormat="1" ht="27.75" customHeight="1">
      <c r="A165" s="66"/>
      <c r="B165" s="66"/>
      <c r="C165" s="237"/>
      <c r="D165" s="237"/>
      <c r="E165" s="237"/>
      <c r="F165" s="237"/>
      <c r="G165" s="678"/>
      <c r="H165" s="257"/>
      <c r="I165" s="257"/>
      <c r="J165" s="257"/>
      <c r="K165" s="257"/>
      <c r="L165" s="679"/>
      <c r="M165" s="249"/>
      <c r="N165" s="249"/>
      <c r="O165" s="249"/>
      <c r="P165" s="250"/>
      <c r="Q165" s="250"/>
      <c r="R165" s="250"/>
      <c r="S165" s="250"/>
      <c r="T165" s="250"/>
      <c r="U165" s="250"/>
      <c r="V165" s="250"/>
      <c r="W165" s="250"/>
      <c r="X165" s="250"/>
      <c r="Y165" s="250"/>
      <c r="Z165" s="250"/>
      <c r="AA165" s="250"/>
      <c r="AB165" s="250"/>
      <c r="AC165" s="250"/>
      <c r="AD165" s="250"/>
      <c r="AE165" s="250"/>
      <c r="AF165" s="249"/>
      <c r="AG165" s="249"/>
      <c r="AH165" s="249"/>
      <c r="AI165" s="249"/>
      <c r="AJ165" s="244">
        <v>1.24</v>
      </c>
      <c r="AK165" s="244"/>
      <c r="AL165" s="244"/>
      <c r="AM165" s="245"/>
      <c r="AN165" s="238">
        <v>220</v>
      </c>
      <c r="AO165" s="239"/>
      <c r="AP165" s="240"/>
      <c r="AQ165" s="238" t="s">
        <v>508</v>
      </c>
      <c r="AR165" s="239"/>
      <c r="AS165" s="239"/>
      <c r="AT165" s="239"/>
      <c r="AU165" s="239"/>
      <c r="AV165" s="239"/>
      <c r="AW165" s="240"/>
      <c r="AX165" s="241" t="s">
        <v>495</v>
      </c>
      <c r="AY165" s="239"/>
      <c r="AZ165" s="239"/>
      <c r="BA165" s="239"/>
      <c r="BB165" s="239"/>
      <c r="BC165" s="239"/>
      <c r="BD165" s="240"/>
      <c r="BE165" s="246"/>
      <c r="BF165" s="247"/>
      <c r="BG165" s="247"/>
      <c r="BH165" s="247"/>
      <c r="BI165" s="248"/>
      <c r="BJ165" s="66"/>
      <c r="BK165" s="161"/>
    </row>
    <row r="166" spans="1:63" s="88" customFormat="1" ht="27.75" customHeight="1">
      <c r="A166" s="66"/>
      <c r="B166" s="66"/>
      <c r="C166" s="237"/>
      <c r="D166" s="237"/>
      <c r="E166" s="237"/>
      <c r="F166" s="237"/>
      <c r="G166" s="678"/>
      <c r="H166" s="257"/>
      <c r="I166" s="257"/>
      <c r="J166" s="257"/>
      <c r="K166" s="257"/>
      <c r="L166" s="679"/>
      <c r="M166" s="249"/>
      <c r="N166" s="249"/>
      <c r="O166" s="249"/>
      <c r="P166" s="250"/>
      <c r="Q166" s="250"/>
      <c r="R166" s="250"/>
      <c r="S166" s="250"/>
      <c r="T166" s="250"/>
      <c r="U166" s="250"/>
      <c r="V166" s="250"/>
      <c r="W166" s="250"/>
      <c r="X166" s="250"/>
      <c r="Y166" s="250"/>
      <c r="Z166" s="250"/>
      <c r="AA166" s="250"/>
      <c r="AB166" s="250"/>
      <c r="AC166" s="250"/>
      <c r="AD166" s="250"/>
      <c r="AE166" s="250"/>
      <c r="AF166" s="249"/>
      <c r="AG166" s="249"/>
      <c r="AH166" s="249"/>
      <c r="AI166" s="249"/>
      <c r="AJ166" s="265">
        <v>1.19</v>
      </c>
      <c r="AK166" s="244"/>
      <c r="AL166" s="244"/>
      <c r="AM166" s="245"/>
      <c r="AN166" s="238">
        <v>220</v>
      </c>
      <c r="AO166" s="239"/>
      <c r="AP166" s="240"/>
      <c r="AQ166" s="238" t="s">
        <v>158</v>
      </c>
      <c r="AR166" s="239"/>
      <c r="AS166" s="239"/>
      <c r="AT166" s="239"/>
      <c r="AU166" s="239"/>
      <c r="AV166" s="239"/>
      <c r="AW166" s="240"/>
      <c r="AX166" s="241" t="s">
        <v>146</v>
      </c>
      <c r="AY166" s="242"/>
      <c r="AZ166" s="242"/>
      <c r="BA166" s="242"/>
      <c r="BB166" s="242"/>
      <c r="BC166" s="242"/>
      <c r="BD166" s="243"/>
      <c r="BE166" s="238"/>
      <c r="BF166" s="239"/>
      <c r="BG166" s="239"/>
      <c r="BH166" s="239"/>
      <c r="BI166" s="240"/>
      <c r="BJ166" s="66"/>
      <c r="BK166" s="161"/>
    </row>
    <row r="167" spans="1:63" s="88" customFormat="1" ht="260.25" customHeight="1">
      <c r="A167" s="66"/>
      <c r="B167" s="66"/>
      <c r="C167" s="237"/>
      <c r="D167" s="237"/>
      <c r="E167" s="237"/>
      <c r="F167" s="237"/>
      <c r="G167" s="680"/>
      <c r="H167" s="681"/>
      <c r="I167" s="681"/>
      <c r="J167" s="681"/>
      <c r="K167" s="681"/>
      <c r="L167" s="681"/>
      <c r="M167" s="284" t="s">
        <v>510</v>
      </c>
      <c r="N167" s="285"/>
      <c r="O167" s="285"/>
      <c r="P167" s="285"/>
      <c r="Q167" s="285"/>
      <c r="R167" s="285"/>
      <c r="S167" s="285"/>
      <c r="T167" s="285"/>
      <c r="U167" s="285"/>
      <c r="V167" s="285"/>
      <c r="W167" s="285"/>
      <c r="X167" s="285"/>
      <c r="Y167" s="285"/>
      <c r="Z167" s="285"/>
      <c r="AA167" s="285"/>
      <c r="AB167" s="285"/>
      <c r="AC167" s="285"/>
      <c r="AD167" s="285"/>
      <c r="AE167" s="285"/>
      <c r="AF167" s="285"/>
      <c r="AG167" s="285"/>
      <c r="AH167" s="285"/>
      <c r="AI167" s="285"/>
      <c r="AJ167" s="285"/>
      <c r="AK167" s="285"/>
      <c r="AL167" s="285"/>
      <c r="AM167" s="285"/>
      <c r="AN167" s="285"/>
      <c r="AO167" s="285"/>
      <c r="AP167" s="285"/>
      <c r="AQ167" s="285"/>
      <c r="AR167" s="285"/>
      <c r="AS167" s="285"/>
      <c r="AT167" s="285"/>
      <c r="AU167" s="285"/>
      <c r="AV167" s="285"/>
      <c r="AW167" s="285"/>
      <c r="AX167" s="285"/>
      <c r="AY167" s="285"/>
      <c r="AZ167" s="285"/>
      <c r="BA167" s="285"/>
      <c r="BB167" s="285"/>
      <c r="BC167" s="285"/>
      <c r="BD167" s="285"/>
      <c r="BE167" s="285"/>
      <c r="BF167" s="285"/>
      <c r="BG167" s="285"/>
      <c r="BH167" s="285"/>
      <c r="BI167" s="286"/>
      <c r="BJ167" s="66"/>
      <c r="BK167" s="161"/>
    </row>
    <row r="168" spans="1:63" s="88" customFormat="1">
      <c r="C168" s="237"/>
      <c r="D168" s="237"/>
      <c r="E168" s="237"/>
      <c r="F168" s="237"/>
      <c r="G168" s="257" t="s">
        <v>502</v>
      </c>
      <c r="H168" s="257"/>
      <c r="I168" s="257"/>
      <c r="J168" s="257"/>
      <c r="K168" s="257"/>
      <c r="L168" s="257"/>
      <c r="M168" s="257"/>
      <c r="N168" s="257"/>
      <c r="O168" s="257"/>
      <c r="P168" s="257"/>
      <c r="Q168" s="257"/>
      <c r="R168" s="257"/>
      <c r="S168" s="257"/>
      <c r="T168" s="257"/>
      <c r="U168" s="257"/>
      <c r="V168" s="257"/>
      <c r="W168" s="257"/>
      <c r="X168" s="257"/>
      <c r="Y168" s="257"/>
      <c r="Z168" s="257"/>
      <c r="AA168" s="257"/>
      <c r="AB168" s="257"/>
      <c r="AC168" s="257"/>
      <c r="AD168" s="257"/>
      <c r="AE168" s="257"/>
      <c r="AF168" s="257"/>
      <c r="AG168" s="257"/>
      <c r="AH168" s="257"/>
      <c r="AI168" s="257"/>
      <c r="AJ168" s="257"/>
      <c r="AK168" s="257"/>
      <c r="AL168" s="257"/>
      <c r="AM168" s="257"/>
      <c r="AN168" s="257"/>
      <c r="AO168" s="257"/>
      <c r="AP168" s="257"/>
      <c r="AQ168" s="257"/>
      <c r="AR168" s="257"/>
      <c r="AS168" s="257"/>
      <c r="AT168" s="257"/>
      <c r="AU168" s="257"/>
      <c r="AV168" s="257"/>
      <c r="AW168" s="257"/>
      <c r="AX168" s="257"/>
      <c r="AY168" s="257"/>
      <c r="AZ168" s="257"/>
      <c r="BA168" s="257"/>
      <c r="BB168" s="257"/>
      <c r="BC168" s="257"/>
      <c r="BD168" s="257"/>
      <c r="BE168" s="257"/>
      <c r="BF168" s="257"/>
      <c r="BG168" s="257"/>
      <c r="BH168" s="257"/>
      <c r="BI168" s="257"/>
    </row>
    <row r="169" spans="1:63">
      <c r="A169" s="150"/>
      <c r="C169" s="237"/>
      <c r="D169" s="237"/>
      <c r="E169" s="237"/>
      <c r="F169" s="237"/>
      <c r="G169" s="225" t="s">
        <v>384</v>
      </c>
      <c r="H169" s="226"/>
      <c r="I169" s="226"/>
      <c r="J169" s="226"/>
      <c r="K169" s="226"/>
      <c r="L169" s="227"/>
      <c r="M169" s="219">
        <v>400</v>
      </c>
      <c r="N169" s="220"/>
      <c r="O169" s="221"/>
      <c r="P169" s="219" t="s">
        <v>385</v>
      </c>
      <c r="Q169" s="220"/>
      <c r="R169" s="220"/>
      <c r="S169" s="220"/>
      <c r="T169" s="220"/>
      <c r="U169" s="220"/>
      <c r="V169" s="220"/>
      <c r="W169" s="221"/>
      <c r="X169" s="219" t="s">
        <v>212</v>
      </c>
      <c r="Y169" s="220"/>
      <c r="Z169" s="220"/>
      <c r="AA169" s="220"/>
      <c r="AB169" s="220"/>
      <c r="AC169" s="220"/>
      <c r="AD169" s="220"/>
      <c r="AE169" s="221"/>
      <c r="AF169" s="219" t="s">
        <v>386</v>
      </c>
      <c r="AG169" s="220"/>
      <c r="AH169" s="220"/>
      <c r="AI169" s="221"/>
      <c r="AJ169" s="231">
        <v>1.08</v>
      </c>
      <c r="AK169" s="232"/>
      <c r="AL169" s="232"/>
      <c r="AM169" s="233"/>
      <c r="AN169" s="234">
        <v>220</v>
      </c>
      <c r="AO169" s="235"/>
      <c r="AP169" s="236"/>
      <c r="AQ169" s="234" t="s">
        <v>146</v>
      </c>
      <c r="AR169" s="235"/>
      <c r="AS169" s="235"/>
      <c r="AT169" s="235"/>
      <c r="AU169" s="235"/>
      <c r="AV169" s="235"/>
      <c r="AW169" s="236"/>
      <c r="AX169" s="234" t="s">
        <v>158</v>
      </c>
      <c r="AY169" s="235"/>
      <c r="AZ169" s="235"/>
      <c r="BA169" s="235"/>
      <c r="BB169" s="235"/>
      <c r="BC169" s="235"/>
      <c r="BD169" s="236"/>
      <c r="BE169" s="219"/>
      <c r="BF169" s="220"/>
      <c r="BG169" s="220"/>
      <c r="BH169" s="220"/>
      <c r="BI169" s="221"/>
      <c r="BK169" s="66"/>
    </row>
    <row r="170" spans="1:63">
      <c r="A170" s="150"/>
      <c r="C170" s="237"/>
      <c r="D170" s="237"/>
      <c r="E170" s="237"/>
      <c r="F170" s="237"/>
      <c r="G170" s="228"/>
      <c r="H170" s="229"/>
      <c r="I170" s="229"/>
      <c r="J170" s="229"/>
      <c r="K170" s="229"/>
      <c r="L170" s="230"/>
      <c r="M170" s="222" t="s">
        <v>511</v>
      </c>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223"/>
      <c r="AJ170" s="223"/>
      <c r="AK170" s="223"/>
      <c r="AL170" s="223"/>
      <c r="AM170" s="223"/>
      <c r="AN170" s="223"/>
      <c r="AO170" s="223"/>
      <c r="AP170" s="223"/>
      <c r="AQ170" s="223"/>
      <c r="AR170" s="223"/>
      <c r="AS170" s="223"/>
      <c r="AT170" s="223"/>
      <c r="AU170" s="223"/>
      <c r="AV170" s="223"/>
      <c r="AW170" s="223"/>
      <c r="AX170" s="223"/>
      <c r="AY170" s="223"/>
      <c r="AZ170" s="223"/>
      <c r="BA170" s="223"/>
      <c r="BB170" s="223"/>
      <c r="BC170" s="223"/>
      <c r="BD170" s="223"/>
      <c r="BE170" s="223"/>
      <c r="BF170" s="223"/>
      <c r="BG170" s="223"/>
      <c r="BH170" s="223"/>
      <c r="BI170" s="224"/>
      <c r="BK170" s="66"/>
    </row>
    <row r="171" spans="1:63" s="201" customFormat="1" ht="15.75" customHeight="1">
      <c r="A171" s="199"/>
      <c r="B171" s="199"/>
      <c r="C171" s="204"/>
      <c r="D171" s="204"/>
      <c r="E171" s="204"/>
      <c r="F171" s="204"/>
      <c r="G171" s="198"/>
      <c r="H171" s="198"/>
      <c r="I171" s="198"/>
      <c r="J171" s="198"/>
      <c r="K171" s="198"/>
      <c r="L171" s="198"/>
      <c r="M171" s="200"/>
      <c r="N171" s="200"/>
      <c r="O171" s="200"/>
      <c r="P171" s="200"/>
      <c r="Q171" s="200"/>
      <c r="R171" s="200"/>
      <c r="S171" s="200"/>
      <c r="T171" s="200"/>
      <c r="U171" s="200"/>
      <c r="V171" s="200"/>
      <c r="W171" s="200"/>
      <c r="X171" s="200"/>
      <c r="Y171" s="200"/>
      <c r="Z171" s="200"/>
      <c r="AA171" s="200"/>
      <c r="AB171" s="200"/>
      <c r="AC171" s="200"/>
      <c r="AD171" s="200"/>
      <c r="AE171" s="200"/>
      <c r="AF171" s="200"/>
      <c r="AG171" s="200"/>
      <c r="AH171" s="200"/>
      <c r="AI171" s="200"/>
      <c r="AJ171" s="200"/>
      <c r="AK171" s="200"/>
      <c r="AL171" s="200"/>
      <c r="AM171" s="200"/>
      <c r="AN171" s="200"/>
      <c r="AO171" s="200"/>
      <c r="AP171" s="200"/>
      <c r="AQ171" s="200"/>
      <c r="AR171" s="200"/>
      <c r="AS171" s="200"/>
      <c r="AT171" s="200"/>
      <c r="AU171" s="200"/>
      <c r="AV171" s="200"/>
      <c r="AW171" s="200"/>
      <c r="AX171" s="200"/>
      <c r="AY171" s="200"/>
      <c r="AZ171" s="200"/>
      <c r="BA171" s="200"/>
      <c r="BB171" s="200"/>
      <c r="BC171" s="200"/>
      <c r="BD171" s="200"/>
      <c r="BE171" s="200"/>
      <c r="BF171" s="200"/>
      <c r="BG171" s="200"/>
      <c r="BH171" s="200"/>
      <c r="BI171" s="200"/>
    </row>
    <row r="172" spans="1:63" ht="19.5" customHeight="1">
      <c r="C172" s="78"/>
      <c r="D172" s="83" t="s">
        <v>383</v>
      </c>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c r="AA172" s="112"/>
      <c r="AB172" s="112"/>
      <c r="AC172" s="112"/>
      <c r="AD172" s="112"/>
      <c r="AE172" s="112"/>
      <c r="AF172" s="112"/>
      <c r="AG172" s="112"/>
      <c r="AH172" s="112"/>
      <c r="AI172" s="112"/>
      <c r="AJ172" s="112"/>
      <c r="AK172" s="112"/>
      <c r="AL172" s="112"/>
      <c r="AM172" s="112"/>
      <c r="AN172" s="112"/>
      <c r="AO172" s="112"/>
      <c r="AP172" s="112"/>
      <c r="AQ172" s="112"/>
      <c r="AR172" s="112"/>
      <c r="AS172" s="112"/>
      <c r="AT172" s="112"/>
      <c r="AU172" s="112"/>
      <c r="AV172" s="112"/>
      <c r="AW172" s="112"/>
      <c r="AX172" s="112"/>
      <c r="AY172" s="112"/>
      <c r="AZ172" s="112"/>
      <c r="BA172" s="112"/>
      <c r="BB172" s="112"/>
      <c r="BC172" s="112"/>
      <c r="BD172" s="112"/>
      <c r="BE172" s="112"/>
      <c r="BF172" s="112"/>
      <c r="BG172" s="112"/>
      <c r="BH172" s="112"/>
      <c r="BI172" s="112"/>
      <c r="BJ172" s="112"/>
      <c r="BK172" s="160"/>
    </row>
    <row r="173" spans="1:63" ht="18.75" customHeight="1">
      <c r="D173" s="683" t="s">
        <v>202</v>
      </c>
      <c r="E173" s="683"/>
      <c r="F173" s="683"/>
      <c r="G173" s="683"/>
      <c r="H173" s="683"/>
      <c r="I173" s="683"/>
      <c r="J173" s="683"/>
      <c r="K173" s="683"/>
      <c r="L173" s="683"/>
      <c r="M173" s="683"/>
      <c r="N173" s="683"/>
      <c r="O173" s="683"/>
      <c r="P173" s="683"/>
      <c r="Q173" s="683"/>
      <c r="R173" s="683"/>
      <c r="S173" s="683"/>
      <c r="T173" s="683"/>
      <c r="U173" s="683"/>
      <c r="V173" s="683"/>
      <c r="W173" s="683"/>
      <c r="X173" s="683"/>
      <c r="Y173" s="683"/>
      <c r="Z173" s="683"/>
      <c r="AA173" s="683"/>
      <c r="AB173" s="683"/>
      <c r="AC173" s="683"/>
      <c r="AD173" s="683"/>
      <c r="AE173" s="683"/>
      <c r="AF173" s="683"/>
      <c r="AG173" s="683"/>
      <c r="AH173" s="683"/>
      <c r="AI173" s="683"/>
      <c r="AJ173" s="683"/>
      <c r="AK173" s="683"/>
      <c r="AL173" s="683"/>
      <c r="AM173" s="683"/>
      <c r="AN173" s="683"/>
      <c r="AO173" s="683"/>
      <c r="AP173" s="683"/>
      <c r="AQ173" s="683"/>
      <c r="AR173" s="683"/>
      <c r="AS173" s="683"/>
      <c r="AT173" s="683"/>
      <c r="AU173" s="683"/>
      <c r="AV173" s="683"/>
      <c r="AW173" s="683"/>
      <c r="AX173" s="683"/>
      <c r="AY173" s="683"/>
      <c r="AZ173" s="683"/>
      <c r="BA173" s="683"/>
      <c r="BB173" s="683"/>
      <c r="BC173" s="683"/>
      <c r="BD173" s="683"/>
      <c r="BE173" s="683"/>
      <c r="BF173" s="683"/>
      <c r="BG173" s="683"/>
      <c r="BH173" s="683"/>
      <c r="BI173" s="683"/>
      <c r="BJ173" s="683"/>
      <c r="BK173" s="683"/>
    </row>
    <row r="174" spans="1:63" ht="8.25" customHeight="1">
      <c r="C174" s="682"/>
      <c r="D174" s="682"/>
      <c r="E174" s="682"/>
      <c r="F174" s="682"/>
      <c r="G174" s="682"/>
      <c r="H174" s="682"/>
      <c r="I174" s="682"/>
      <c r="J174" s="682"/>
      <c r="K174" s="682"/>
      <c r="L174" s="682"/>
      <c r="M174" s="682"/>
      <c r="N174" s="682"/>
      <c r="O174" s="682"/>
      <c r="P174" s="682"/>
      <c r="Q174" s="682"/>
      <c r="R174" s="682"/>
      <c r="S174" s="682"/>
      <c r="T174" s="682"/>
      <c r="U174" s="682"/>
      <c r="V174" s="682"/>
      <c r="W174" s="682"/>
      <c r="X174" s="682"/>
      <c r="Y174" s="682"/>
      <c r="Z174" s="682"/>
      <c r="AA174" s="682"/>
      <c r="AB174" s="682"/>
      <c r="AC174" s="682"/>
      <c r="AD174" s="682"/>
      <c r="AE174" s="682"/>
      <c r="AF174" s="682"/>
      <c r="AG174" s="682"/>
      <c r="AH174" s="682"/>
      <c r="AI174" s="682"/>
      <c r="AJ174" s="682"/>
      <c r="AK174" s="682"/>
      <c r="AL174" s="682"/>
      <c r="AM174" s="682"/>
      <c r="AN174" s="682"/>
      <c r="AO174" s="682"/>
      <c r="AP174" s="682"/>
      <c r="AQ174" s="682"/>
      <c r="AR174" s="682"/>
      <c r="AS174" s="682"/>
      <c r="AT174" s="682"/>
      <c r="AU174" s="682"/>
      <c r="AV174" s="682"/>
      <c r="AW174" s="682"/>
      <c r="AX174" s="682"/>
      <c r="AY174" s="682"/>
      <c r="AZ174" s="682"/>
      <c r="BA174" s="682"/>
      <c r="BB174" s="682"/>
      <c r="BC174" s="682"/>
      <c r="BD174" s="682"/>
      <c r="BE174" s="682"/>
      <c r="BF174" s="682"/>
      <c r="BG174" s="682"/>
      <c r="BH174" s="174"/>
    </row>
    <row r="175" spans="1:63" s="88" customFormat="1" ht="15.75" customHeight="1">
      <c r="A175" s="66"/>
      <c r="B175" s="66"/>
      <c r="C175" s="330"/>
      <c r="D175" s="331"/>
      <c r="E175" s="331"/>
      <c r="F175" s="332"/>
      <c r="G175" s="330" t="s">
        <v>17</v>
      </c>
      <c r="H175" s="331"/>
      <c r="I175" s="331"/>
      <c r="J175" s="331"/>
      <c r="K175" s="331"/>
      <c r="L175" s="332"/>
      <c r="M175" s="258" t="s">
        <v>172</v>
      </c>
      <c r="N175" s="258"/>
      <c r="O175" s="258"/>
      <c r="P175" s="258"/>
      <c r="Q175" s="258"/>
      <c r="R175" s="258"/>
      <c r="S175" s="258"/>
      <c r="T175" s="258"/>
      <c r="U175" s="258"/>
      <c r="V175" s="258"/>
      <c r="W175" s="258"/>
      <c r="X175" s="258"/>
      <c r="Y175" s="258"/>
      <c r="Z175" s="258"/>
      <c r="AA175" s="258"/>
      <c r="AB175" s="258"/>
      <c r="AC175" s="258"/>
      <c r="AD175" s="258"/>
      <c r="AE175" s="258"/>
      <c r="AF175" s="258"/>
      <c r="AG175" s="258"/>
      <c r="AH175" s="258"/>
      <c r="AI175" s="258"/>
      <c r="AJ175" s="259" t="s">
        <v>43</v>
      </c>
      <c r="AK175" s="260"/>
      <c r="AL175" s="260"/>
      <c r="AM175" s="260"/>
      <c r="AN175" s="260"/>
      <c r="AO175" s="260"/>
      <c r="AP175" s="260"/>
      <c r="AQ175" s="260"/>
      <c r="AR175" s="260"/>
      <c r="AS175" s="260"/>
      <c r="AT175" s="260"/>
      <c r="AU175" s="260"/>
      <c r="AV175" s="260"/>
      <c r="AW175" s="260"/>
      <c r="AX175" s="260"/>
      <c r="AY175" s="260"/>
      <c r="AZ175" s="260"/>
      <c r="BA175" s="260"/>
      <c r="BB175" s="260"/>
      <c r="BC175" s="260"/>
      <c r="BD175" s="260"/>
      <c r="BE175" s="260"/>
      <c r="BF175" s="260"/>
      <c r="BG175" s="260"/>
      <c r="BH175" s="260"/>
      <c r="BI175" s="261"/>
      <c r="BJ175" s="66"/>
      <c r="BK175" s="161"/>
    </row>
    <row r="176" spans="1:63" s="88" customFormat="1" ht="15.75" customHeight="1">
      <c r="A176" s="66"/>
      <c r="B176" s="66"/>
      <c r="C176" s="333"/>
      <c r="D176" s="334"/>
      <c r="E176" s="334"/>
      <c r="F176" s="335"/>
      <c r="G176" s="336"/>
      <c r="H176" s="337"/>
      <c r="I176" s="337"/>
      <c r="J176" s="337"/>
      <c r="K176" s="337"/>
      <c r="L176" s="338"/>
      <c r="M176" s="258" t="s">
        <v>44</v>
      </c>
      <c r="N176" s="258"/>
      <c r="O176" s="258"/>
      <c r="P176" s="258" t="s">
        <v>45</v>
      </c>
      <c r="Q176" s="258"/>
      <c r="R176" s="258"/>
      <c r="S176" s="258"/>
      <c r="T176" s="258"/>
      <c r="U176" s="258"/>
      <c r="V176" s="258"/>
      <c r="W176" s="258"/>
      <c r="X176" s="258" t="s">
        <v>46</v>
      </c>
      <c r="Y176" s="258"/>
      <c r="Z176" s="258"/>
      <c r="AA176" s="258"/>
      <c r="AB176" s="258"/>
      <c r="AC176" s="258"/>
      <c r="AD176" s="258"/>
      <c r="AE176" s="258"/>
      <c r="AF176" s="258" t="s">
        <v>47</v>
      </c>
      <c r="AG176" s="258"/>
      <c r="AH176" s="258"/>
      <c r="AI176" s="258"/>
      <c r="AJ176" s="328" t="s">
        <v>48</v>
      </c>
      <c r="AK176" s="328"/>
      <c r="AL176" s="328"/>
      <c r="AM176" s="328"/>
      <c r="AN176" s="259" t="s">
        <v>44</v>
      </c>
      <c r="AO176" s="260"/>
      <c r="AP176" s="261"/>
      <c r="AQ176" s="258" t="s">
        <v>45</v>
      </c>
      <c r="AR176" s="258"/>
      <c r="AS176" s="258"/>
      <c r="AT176" s="258"/>
      <c r="AU176" s="258"/>
      <c r="AV176" s="258"/>
      <c r="AW176" s="258"/>
      <c r="AX176" s="258" t="s">
        <v>46</v>
      </c>
      <c r="AY176" s="258"/>
      <c r="AZ176" s="258"/>
      <c r="BA176" s="258"/>
      <c r="BB176" s="258"/>
      <c r="BC176" s="258"/>
      <c r="BD176" s="258"/>
      <c r="BE176" s="259" t="s">
        <v>47</v>
      </c>
      <c r="BF176" s="260"/>
      <c r="BG176" s="260"/>
      <c r="BH176" s="260"/>
      <c r="BI176" s="261"/>
      <c r="BJ176" s="66"/>
      <c r="BK176" s="161"/>
    </row>
    <row r="177" spans="1:67">
      <c r="A177" s="150"/>
      <c r="C177" s="237" t="s">
        <v>53</v>
      </c>
      <c r="D177" s="237"/>
      <c r="E177" s="237"/>
      <c r="F177" s="237"/>
      <c r="G177" s="262" t="s">
        <v>384</v>
      </c>
      <c r="H177" s="263"/>
      <c r="I177" s="263"/>
      <c r="J177" s="263"/>
      <c r="K177" s="263"/>
      <c r="L177" s="264"/>
      <c r="M177" s="246">
        <v>400</v>
      </c>
      <c r="N177" s="247"/>
      <c r="O177" s="248"/>
      <c r="P177" s="246" t="s">
        <v>385</v>
      </c>
      <c r="Q177" s="247"/>
      <c r="R177" s="247"/>
      <c r="S177" s="247"/>
      <c r="T177" s="247"/>
      <c r="U177" s="247"/>
      <c r="V177" s="247"/>
      <c r="W177" s="248"/>
      <c r="X177" s="246" t="s">
        <v>212</v>
      </c>
      <c r="Y177" s="247"/>
      <c r="Z177" s="247"/>
      <c r="AA177" s="247"/>
      <c r="AB177" s="247"/>
      <c r="AC177" s="247"/>
      <c r="AD177" s="247"/>
      <c r="AE177" s="248"/>
      <c r="AF177" s="246" t="s">
        <v>386</v>
      </c>
      <c r="AG177" s="247"/>
      <c r="AH177" s="247"/>
      <c r="AI177" s="248"/>
      <c r="AJ177" s="265">
        <v>1.1100000000000001</v>
      </c>
      <c r="AK177" s="244"/>
      <c r="AL177" s="244"/>
      <c r="AM177" s="245"/>
      <c r="AN177" s="238">
        <v>220</v>
      </c>
      <c r="AO177" s="239"/>
      <c r="AP177" s="240"/>
      <c r="AQ177" s="238" t="s">
        <v>146</v>
      </c>
      <c r="AR177" s="239"/>
      <c r="AS177" s="239"/>
      <c r="AT177" s="239"/>
      <c r="AU177" s="239"/>
      <c r="AV177" s="239"/>
      <c r="AW177" s="240"/>
      <c r="AX177" s="238" t="s">
        <v>158</v>
      </c>
      <c r="AY177" s="239"/>
      <c r="AZ177" s="239"/>
      <c r="BA177" s="239"/>
      <c r="BB177" s="239"/>
      <c r="BC177" s="239"/>
      <c r="BD177" s="240"/>
      <c r="BE177" s="246"/>
      <c r="BF177" s="247"/>
      <c r="BG177" s="247"/>
      <c r="BH177" s="247"/>
      <c r="BI177" s="248"/>
      <c r="BK177" s="66"/>
    </row>
    <row r="178" spans="1:67">
      <c r="A178" s="150"/>
      <c r="C178" s="237"/>
      <c r="D178" s="237"/>
      <c r="E178" s="237"/>
      <c r="F178" s="237"/>
      <c r="G178" s="228"/>
      <c r="H178" s="229"/>
      <c r="I178" s="229"/>
      <c r="J178" s="229"/>
      <c r="K178" s="229"/>
      <c r="L178" s="230"/>
      <c r="M178" s="222" t="s">
        <v>500</v>
      </c>
      <c r="N178" s="223"/>
      <c r="O178" s="223"/>
      <c r="P178" s="223"/>
      <c r="Q178" s="223"/>
      <c r="R178" s="223"/>
      <c r="S178" s="223"/>
      <c r="T178" s="223"/>
      <c r="U178" s="223"/>
      <c r="V178" s="223"/>
      <c r="W178" s="223"/>
      <c r="X178" s="223"/>
      <c r="Y178" s="223"/>
      <c r="Z178" s="223"/>
      <c r="AA178" s="223"/>
      <c r="AB178" s="223"/>
      <c r="AC178" s="223"/>
      <c r="AD178" s="223"/>
      <c r="AE178" s="223"/>
      <c r="AF178" s="223"/>
      <c r="AG178" s="223"/>
      <c r="AH178" s="223"/>
      <c r="AI178" s="223"/>
      <c r="AJ178" s="223"/>
      <c r="AK178" s="223"/>
      <c r="AL178" s="223"/>
      <c r="AM178" s="223"/>
      <c r="AN178" s="223"/>
      <c r="AO178" s="223"/>
      <c r="AP178" s="223"/>
      <c r="AQ178" s="223"/>
      <c r="AR178" s="223"/>
      <c r="AS178" s="223"/>
      <c r="AT178" s="223"/>
      <c r="AU178" s="223"/>
      <c r="AV178" s="223"/>
      <c r="AW178" s="223"/>
      <c r="AX178" s="223"/>
      <c r="AY178" s="223"/>
      <c r="AZ178" s="223"/>
      <c r="BA178" s="223"/>
      <c r="BB178" s="223"/>
      <c r="BC178" s="223"/>
      <c r="BD178" s="223"/>
      <c r="BE178" s="223"/>
      <c r="BF178" s="223"/>
      <c r="BG178" s="223"/>
      <c r="BH178" s="223"/>
      <c r="BI178" s="224"/>
      <c r="BK178" s="66"/>
    </row>
    <row r="179" spans="1:67">
      <c r="A179" s="136"/>
      <c r="B179" s="136"/>
      <c r="C179" s="237"/>
      <c r="D179" s="237"/>
      <c r="E179" s="237"/>
      <c r="F179" s="237"/>
      <c r="G179" s="251" t="s">
        <v>240</v>
      </c>
      <c r="H179" s="251"/>
      <c r="I179" s="251"/>
      <c r="J179" s="251"/>
      <c r="K179" s="251"/>
      <c r="L179" s="251"/>
      <c r="M179" s="249">
        <v>380</v>
      </c>
      <c r="N179" s="249"/>
      <c r="O179" s="249"/>
      <c r="P179" s="249" t="s">
        <v>42</v>
      </c>
      <c r="Q179" s="249"/>
      <c r="R179" s="249"/>
      <c r="S179" s="249"/>
      <c r="T179" s="249"/>
      <c r="U179" s="249"/>
      <c r="V179" s="249"/>
      <c r="W179" s="249"/>
      <c r="X179" s="249" t="s">
        <v>92</v>
      </c>
      <c r="Y179" s="249"/>
      <c r="Z179" s="249"/>
      <c r="AA179" s="249"/>
      <c r="AB179" s="249"/>
      <c r="AC179" s="249"/>
      <c r="AD179" s="249"/>
      <c r="AE179" s="249"/>
      <c r="AF179" s="246" t="s">
        <v>93</v>
      </c>
      <c r="AG179" s="247"/>
      <c r="AH179" s="247"/>
      <c r="AI179" s="248"/>
      <c r="AJ179" s="252">
        <v>1.1399999999999999</v>
      </c>
      <c r="AK179" s="253"/>
      <c r="AL179" s="253"/>
      <c r="AM179" s="254"/>
      <c r="AN179" s="246">
        <v>380</v>
      </c>
      <c r="AO179" s="247"/>
      <c r="AP179" s="248"/>
      <c r="AQ179" s="246" t="s">
        <v>238</v>
      </c>
      <c r="AR179" s="247"/>
      <c r="AS179" s="247"/>
      <c r="AT179" s="247"/>
      <c r="AU179" s="247"/>
      <c r="AV179" s="247"/>
      <c r="AW179" s="248"/>
      <c r="AX179" s="238" t="s">
        <v>15</v>
      </c>
      <c r="AY179" s="239"/>
      <c r="AZ179" s="239"/>
      <c r="BA179" s="239"/>
      <c r="BB179" s="239"/>
      <c r="BC179" s="239"/>
      <c r="BD179" s="240"/>
      <c r="BE179" s="246"/>
      <c r="BF179" s="247"/>
      <c r="BG179" s="247"/>
      <c r="BH179" s="247"/>
      <c r="BI179" s="248"/>
      <c r="BK179" s="66"/>
    </row>
    <row r="180" spans="1:67" ht="22.5" customHeight="1">
      <c r="A180" s="144"/>
      <c r="B180" s="136"/>
      <c r="C180" s="237"/>
      <c r="D180" s="237"/>
      <c r="E180" s="237"/>
      <c r="F180" s="237"/>
      <c r="G180" s="251"/>
      <c r="H180" s="251"/>
      <c r="I180" s="251"/>
      <c r="J180" s="251"/>
      <c r="K180" s="251"/>
      <c r="L180" s="251"/>
      <c r="M180" s="222" t="s">
        <v>499</v>
      </c>
      <c r="N180" s="255"/>
      <c r="O180" s="255"/>
      <c r="P180" s="255"/>
      <c r="Q180" s="255"/>
      <c r="R180" s="255"/>
      <c r="S180" s="255"/>
      <c r="T180" s="255"/>
      <c r="U180" s="255"/>
      <c r="V180" s="255"/>
      <c r="W180" s="255"/>
      <c r="X180" s="255"/>
      <c r="Y180" s="255"/>
      <c r="Z180" s="255"/>
      <c r="AA180" s="255"/>
      <c r="AB180" s="255"/>
      <c r="AC180" s="255"/>
      <c r="AD180" s="255"/>
      <c r="AE180" s="255"/>
      <c r="AF180" s="255"/>
      <c r="AG180" s="255"/>
      <c r="AH180" s="255"/>
      <c r="AI180" s="255"/>
      <c r="AJ180" s="255"/>
      <c r="AK180" s="255"/>
      <c r="AL180" s="255"/>
      <c r="AM180" s="255"/>
      <c r="AN180" s="255"/>
      <c r="AO180" s="255"/>
      <c r="AP180" s="255"/>
      <c r="AQ180" s="255"/>
      <c r="AR180" s="255"/>
      <c r="AS180" s="255"/>
      <c r="AT180" s="255"/>
      <c r="AU180" s="255"/>
      <c r="AV180" s="255"/>
      <c r="AW180" s="255"/>
      <c r="AX180" s="255"/>
      <c r="AY180" s="255"/>
      <c r="AZ180" s="255"/>
      <c r="BA180" s="255"/>
      <c r="BB180" s="255"/>
      <c r="BC180" s="255"/>
      <c r="BD180" s="255"/>
      <c r="BE180" s="255"/>
      <c r="BF180" s="255"/>
      <c r="BG180" s="255"/>
      <c r="BH180" s="255"/>
      <c r="BI180" s="256"/>
      <c r="BK180" s="66"/>
    </row>
    <row r="181" spans="1:67" s="88" customFormat="1" ht="24.75" customHeight="1">
      <c r="A181" s="66"/>
      <c r="B181" s="66"/>
      <c r="C181" s="209"/>
      <c r="D181" s="209"/>
      <c r="E181" s="209"/>
      <c r="F181" s="209"/>
      <c r="G181" s="210"/>
      <c r="H181" s="210"/>
      <c r="I181" s="210"/>
      <c r="J181" s="210"/>
      <c r="K181" s="210"/>
      <c r="L181" s="210"/>
      <c r="M181" s="210"/>
      <c r="N181" s="210"/>
      <c r="O181" s="210"/>
      <c r="P181" s="210"/>
      <c r="Q181" s="210"/>
      <c r="R181" s="210"/>
      <c r="S181" s="210"/>
      <c r="T181" s="210"/>
      <c r="U181" s="210"/>
      <c r="V181" s="210"/>
      <c r="W181" s="210"/>
      <c r="X181" s="210"/>
      <c r="Y181" s="210"/>
      <c r="Z181" s="210"/>
      <c r="AA181" s="210"/>
      <c r="AB181" s="210"/>
      <c r="AC181" s="210"/>
      <c r="AD181" s="210"/>
      <c r="AE181" s="210"/>
      <c r="AF181" s="210"/>
      <c r="AG181" s="210"/>
      <c r="AH181" s="210"/>
      <c r="AI181" s="210"/>
      <c r="AJ181" s="210"/>
      <c r="AK181" s="210"/>
      <c r="AL181" s="210"/>
      <c r="AM181" s="210"/>
      <c r="AN181" s="210"/>
      <c r="AO181" s="210"/>
      <c r="AP181" s="210"/>
      <c r="AQ181" s="210"/>
      <c r="AR181" s="210"/>
      <c r="AS181" s="210"/>
      <c r="AT181" s="210"/>
      <c r="AU181" s="210"/>
      <c r="AV181" s="210"/>
      <c r="AW181" s="210"/>
      <c r="AX181" s="210"/>
      <c r="AY181" s="210"/>
      <c r="AZ181" s="210"/>
      <c r="BA181" s="210"/>
      <c r="BB181" s="210"/>
      <c r="BC181" s="210"/>
      <c r="BD181" s="210"/>
      <c r="BE181" s="210"/>
      <c r="BF181" s="210"/>
      <c r="BG181" s="210"/>
      <c r="BH181" s="210"/>
      <c r="BI181" s="210"/>
      <c r="BJ181" s="66"/>
      <c r="BK181" s="161"/>
    </row>
    <row r="182" spans="1:67" s="88" customFormat="1" ht="54.75" customHeight="1">
      <c r="A182" s="66"/>
      <c r="B182" s="66"/>
      <c r="C182" s="209"/>
      <c r="D182" s="209"/>
      <c r="E182" s="209"/>
      <c r="F182" s="209"/>
      <c r="G182" s="210"/>
      <c r="H182" s="210"/>
      <c r="I182" s="210"/>
      <c r="J182" s="210"/>
      <c r="K182" s="210"/>
      <c r="L182" s="210"/>
      <c r="M182" s="210"/>
      <c r="N182" s="210"/>
      <c r="O182" s="210"/>
      <c r="P182" s="210"/>
      <c r="Q182" s="210"/>
      <c r="R182" s="210"/>
      <c r="S182" s="210"/>
      <c r="T182" s="210"/>
      <c r="U182" s="210"/>
      <c r="V182" s="210"/>
      <c r="W182" s="210"/>
      <c r="X182" s="210"/>
      <c r="Y182" s="210"/>
      <c r="Z182" s="210"/>
      <c r="AA182" s="210"/>
      <c r="AB182" s="210"/>
      <c r="AC182" s="210"/>
      <c r="AD182" s="210"/>
      <c r="AE182" s="210"/>
      <c r="AF182" s="210"/>
      <c r="AG182" s="210"/>
      <c r="AH182" s="210"/>
      <c r="AI182" s="210"/>
      <c r="AJ182" s="210"/>
      <c r="AK182" s="210"/>
      <c r="AL182" s="210"/>
      <c r="AM182" s="210"/>
      <c r="AN182" s="210"/>
      <c r="AO182" s="210"/>
      <c r="AP182" s="210"/>
      <c r="AQ182" s="210"/>
      <c r="AR182" s="210"/>
      <c r="AS182" s="210"/>
      <c r="AT182" s="210"/>
      <c r="AU182" s="210"/>
      <c r="AV182" s="210"/>
      <c r="AW182" s="210"/>
      <c r="AX182" s="210"/>
      <c r="AY182" s="210"/>
      <c r="AZ182" s="210"/>
      <c r="BA182" s="210"/>
      <c r="BB182" s="210"/>
      <c r="BC182" s="210"/>
      <c r="BD182" s="210"/>
      <c r="BE182" s="210"/>
      <c r="BF182" s="210"/>
      <c r="BG182" s="210"/>
      <c r="BH182" s="210"/>
      <c r="BI182" s="210"/>
      <c r="BJ182" s="66"/>
      <c r="BK182" s="161"/>
    </row>
    <row r="183" spans="1:67" ht="54" customHeight="1">
      <c r="D183" s="329" t="s">
        <v>63</v>
      </c>
      <c r="E183" s="329"/>
      <c r="F183" s="329"/>
      <c r="G183" s="329"/>
      <c r="H183" s="329"/>
      <c r="I183" s="329"/>
      <c r="J183" s="329"/>
      <c r="K183" s="329"/>
      <c r="L183" s="329"/>
      <c r="M183" s="329"/>
      <c r="N183" s="329"/>
      <c r="O183" s="329"/>
      <c r="P183" s="329"/>
      <c r="X183" s="78"/>
      <c r="Y183" s="78" t="s">
        <v>233</v>
      </c>
      <c r="Z183" s="78"/>
      <c r="AA183" s="78"/>
      <c r="AB183" s="78"/>
      <c r="AC183" s="78"/>
      <c r="AD183" s="78"/>
      <c r="AE183" s="78"/>
      <c r="AF183" s="78"/>
      <c r="AG183" s="78"/>
      <c r="AH183" s="78"/>
      <c r="AI183" s="78"/>
      <c r="AJ183" s="78"/>
      <c r="AK183" s="78"/>
      <c r="AL183" s="78"/>
      <c r="AM183" s="78"/>
      <c r="AN183" s="78"/>
      <c r="AO183" s="78"/>
      <c r="AP183" s="78"/>
      <c r="AQ183" s="78"/>
      <c r="AR183" s="78"/>
      <c r="AS183" s="78"/>
      <c r="AT183" s="78"/>
      <c r="AU183" s="78"/>
      <c r="AV183" s="78"/>
      <c r="AW183" s="78"/>
    </row>
    <row r="184" spans="1:67" ht="63" customHeight="1">
      <c r="D184" s="327" t="s">
        <v>69</v>
      </c>
      <c r="E184" s="327"/>
      <c r="F184" s="327"/>
      <c r="G184" s="327"/>
      <c r="H184" s="327"/>
      <c r="I184" s="327"/>
      <c r="J184" s="327"/>
      <c r="K184" s="327"/>
      <c r="L184" s="327"/>
      <c r="M184" s="327"/>
      <c r="N184" s="327"/>
      <c r="O184" s="327"/>
      <c r="P184" s="327"/>
      <c r="Q184" s="327"/>
      <c r="R184" s="327"/>
      <c r="S184" s="327"/>
      <c r="T184" s="327"/>
      <c r="U184" s="327"/>
      <c r="V184" s="327"/>
      <c r="W184" s="327"/>
      <c r="X184" s="327"/>
      <c r="Y184" s="327"/>
      <c r="Z184" s="327"/>
      <c r="AA184" s="327"/>
      <c r="AB184" s="327"/>
      <c r="AC184" s="327"/>
      <c r="AD184" s="327"/>
      <c r="AE184" s="327"/>
      <c r="AF184" s="327"/>
      <c r="AG184" s="327"/>
      <c r="AH184" s="327"/>
      <c r="AI184" s="327"/>
      <c r="AJ184" s="327"/>
      <c r="AK184" s="327"/>
      <c r="AL184" s="327"/>
      <c r="AM184" s="327"/>
      <c r="AN184" s="327"/>
      <c r="AO184" s="327"/>
      <c r="AP184" s="327"/>
      <c r="AQ184" s="327"/>
      <c r="AR184" s="327"/>
      <c r="AS184" s="327"/>
      <c r="AT184" s="327"/>
      <c r="AU184" s="327"/>
      <c r="AV184" s="327"/>
      <c r="AW184" s="327"/>
      <c r="AX184" s="327"/>
      <c r="AY184" s="327"/>
      <c r="AZ184" s="327"/>
      <c r="BA184" s="327"/>
      <c r="BB184" s="327"/>
      <c r="BC184" s="327"/>
      <c r="BD184" s="327"/>
      <c r="BE184" s="327"/>
      <c r="BF184" s="327"/>
      <c r="BG184" s="327"/>
      <c r="BH184" s="327"/>
      <c r="BJ184" s="129"/>
      <c r="BL184" s="78"/>
      <c r="BM184" s="78"/>
      <c r="BN184" s="78"/>
      <c r="BO184" s="78"/>
    </row>
    <row r="185" spans="1:67" ht="6.75" customHeight="1">
      <c r="C185" s="78"/>
      <c r="D185" s="84"/>
      <c r="E185" s="84"/>
      <c r="F185" s="84"/>
      <c r="G185" s="84"/>
      <c r="H185" s="84"/>
      <c r="I185" s="84"/>
      <c r="J185" s="84"/>
      <c r="K185" s="84"/>
      <c r="L185" s="84"/>
      <c r="M185" s="84"/>
      <c r="N185" s="85"/>
      <c r="O185" s="86"/>
      <c r="P185" s="86"/>
      <c r="Q185" s="86"/>
      <c r="R185" s="86"/>
      <c r="S185" s="86"/>
      <c r="T185" s="86"/>
      <c r="U185" s="86"/>
      <c r="V185" s="86"/>
      <c r="W185" s="86"/>
      <c r="X185" s="86"/>
      <c r="Y185" s="86"/>
      <c r="Z185" s="86"/>
      <c r="AA185" s="86"/>
      <c r="AB185" s="86"/>
      <c r="AC185" s="86"/>
      <c r="AD185" s="86"/>
      <c r="AE185" s="78"/>
      <c r="AF185" s="78"/>
      <c r="AG185" s="78"/>
      <c r="BI185" s="78"/>
    </row>
    <row r="186" spans="1:67" s="113" customFormat="1" ht="12.75" customHeight="1">
      <c r="A186" s="78"/>
      <c r="B186" s="78"/>
      <c r="C186" s="66"/>
      <c r="D186" s="300" t="s">
        <v>15</v>
      </c>
      <c r="E186" s="301"/>
      <c r="F186" s="301"/>
      <c r="G186" s="301"/>
      <c r="H186" s="301"/>
      <c r="I186" s="301"/>
      <c r="J186" s="301"/>
      <c r="K186" s="301"/>
      <c r="L186" s="301"/>
      <c r="M186" s="302"/>
      <c r="N186" s="306" t="s">
        <v>123</v>
      </c>
      <c r="O186" s="307"/>
      <c r="P186" s="307"/>
      <c r="Q186" s="307"/>
      <c r="R186" s="307"/>
      <c r="S186" s="307"/>
      <c r="T186" s="307"/>
      <c r="U186" s="307"/>
      <c r="V186" s="307"/>
      <c r="W186" s="307"/>
      <c r="X186" s="307"/>
      <c r="Y186" s="307"/>
      <c r="Z186" s="307"/>
      <c r="AA186" s="307"/>
      <c r="AB186" s="307"/>
      <c r="AC186" s="307"/>
      <c r="AD186" s="308"/>
      <c r="AE186" s="66"/>
      <c r="AF186" s="66"/>
      <c r="AG186" s="66"/>
      <c r="AH186" s="309" t="s">
        <v>15</v>
      </c>
      <c r="AI186" s="309"/>
      <c r="AJ186" s="309"/>
      <c r="AK186" s="309"/>
      <c r="AL186" s="309"/>
      <c r="AM186" s="309"/>
      <c r="AN186" s="309"/>
      <c r="AO186" s="309"/>
      <c r="AP186" s="309"/>
      <c r="AQ186" s="309"/>
      <c r="AR186" s="306" t="s">
        <v>53</v>
      </c>
      <c r="AS186" s="307"/>
      <c r="AT186" s="307"/>
      <c r="AU186" s="307"/>
      <c r="AV186" s="307"/>
      <c r="AW186" s="307"/>
      <c r="AX186" s="307"/>
      <c r="AY186" s="307"/>
      <c r="AZ186" s="307"/>
      <c r="BA186" s="307"/>
      <c r="BB186" s="307"/>
      <c r="BC186" s="307"/>
      <c r="BD186" s="307"/>
      <c r="BE186" s="307"/>
      <c r="BF186" s="307"/>
      <c r="BG186" s="307"/>
      <c r="BH186" s="308"/>
      <c r="BI186" s="66"/>
      <c r="BJ186" s="66"/>
      <c r="BK186" s="66"/>
    </row>
    <row r="187" spans="1:67" s="113" customFormat="1" ht="12.75" customHeight="1">
      <c r="A187" s="78"/>
      <c r="B187" s="78"/>
      <c r="C187" s="66"/>
      <c r="D187" s="303"/>
      <c r="E187" s="304"/>
      <c r="F187" s="304"/>
      <c r="G187" s="304"/>
      <c r="H187" s="304"/>
      <c r="I187" s="304"/>
      <c r="J187" s="304"/>
      <c r="K187" s="304"/>
      <c r="L187" s="304"/>
      <c r="M187" s="305"/>
      <c r="N187" s="310" t="s">
        <v>154</v>
      </c>
      <c r="O187" s="311"/>
      <c r="P187" s="311"/>
      <c r="Q187" s="311"/>
      <c r="R187" s="311"/>
      <c r="S187" s="311"/>
      <c r="T187" s="312" t="s">
        <v>155</v>
      </c>
      <c r="U187" s="313"/>
      <c r="V187" s="313"/>
      <c r="W187" s="313"/>
      <c r="X187" s="313"/>
      <c r="Y187" s="313"/>
      <c r="Z187" s="313"/>
      <c r="AA187" s="313"/>
      <c r="AB187" s="313"/>
      <c r="AC187" s="313"/>
      <c r="AD187" s="314"/>
      <c r="AE187" s="66"/>
      <c r="AF187" s="66"/>
      <c r="AG187" s="66"/>
      <c r="AH187" s="309"/>
      <c r="AI187" s="309"/>
      <c r="AJ187" s="309"/>
      <c r="AK187" s="309"/>
      <c r="AL187" s="309"/>
      <c r="AM187" s="309"/>
      <c r="AN187" s="309"/>
      <c r="AO187" s="309"/>
      <c r="AP187" s="309"/>
      <c r="AQ187" s="309"/>
      <c r="AR187" s="310" t="s">
        <v>154</v>
      </c>
      <c r="AS187" s="311"/>
      <c r="AT187" s="311"/>
      <c r="AU187" s="311"/>
      <c r="AV187" s="311"/>
      <c r="AW187" s="311"/>
      <c r="AX187" s="312" t="s">
        <v>155</v>
      </c>
      <c r="AY187" s="313"/>
      <c r="AZ187" s="313"/>
      <c r="BA187" s="313"/>
      <c r="BB187" s="313"/>
      <c r="BC187" s="313"/>
      <c r="BD187" s="313"/>
      <c r="BE187" s="313"/>
      <c r="BF187" s="313"/>
      <c r="BG187" s="313"/>
      <c r="BH187" s="314"/>
      <c r="BI187" s="66"/>
      <c r="BJ187" s="66"/>
      <c r="BK187" s="66"/>
    </row>
    <row r="188" spans="1:67" s="113" customFormat="1" ht="12.75" customHeight="1">
      <c r="A188" s="78"/>
      <c r="B188" s="78"/>
      <c r="C188" s="66"/>
      <c r="D188" s="324" t="s">
        <v>64</v>
      </c>
      <c r="E188" s="325"/>
      <c r="F188" s="325"/>
      <c r="G188" s="325"/>
      <c r="H188" s="325"/>
      <c r="I188" s="325"/>
      <c r="J188" s="325"/>
      <c r="K188" s="325"/>
      <c r="L188" s="325"/>
      <c r="M188" s="326"/>
      <c r="N188" s="316">
        <f>IFERROR(IF(VLOOKUP("FP.AND1* FDEPHG1* 1",'N State Taps &amp; Flows'!A4:C16,2,FALSE)="inv",0,VLOOKUP("FP.AND1* FDEPHG1* 1",'N State Taps &amp; Flows'!A4:C16,2,FALSE)),"N/A")</f>
        <v>1</v>
      </c>
      <c r="O188" s="316"/>
      <c r="P188" s="316"/>
      <c r="Q188" s="316"/>
      <c r="R188" s="316"/>
      <c r="S188" s="316"/>
      <c r="T188" s="316">
        <f>IFERROR(IF(VLOOKUP("FP.AND1* FDEPHG1* 1",'N State Taps &amp; Flows'!A4:C16,3,FALSE)="Inv",0,VLOOKUP("FP.AND1* FDEPHG1* 1",'N State Taps &amp; Flows'!A4:C16,3,FALSE)),"N/A")</f>
        <v>411</v>
      </c>
      <c r="U188" s="316"/>
      <c r="V188" s="316"/>
      <c r="W188" s="316"/>
      <c r="X188" s="316"/>
      <c r="Y188" s="316"/>
      <c r="Z188" s="316"/>
      <c r="AA188" s="316"/>
      <c r="AB188" s="316"/>
      <c r="AC188" s="316"/>
      <c r="AD188" s="316"/>
      <c r="AE188" s="78"/>
      <c r="AF188" s="78"/>
      <c r="AG188" s="78"/>
      <c r="AH188" s="315" t="s">
        <v>64</v>
      </c>
      <c r="AI188" s="315"/>
      <c r="AJ188" s="315"/>
      <c r="AK188" s="315"/>
      <c r="AL188" s="315"/>
      <c r="AM188" s="315"/>
      <c r="AN188" s="315"/>
      <c r="AO188" s="315"/>
      <c r="AP188" s="315"/>
      <c r="AQ188" s="315"/>
      <c r="AR188" s="316">
        <f>IFERROR(IF(VLOOKUP("FP.AND1* FDEPHG1* 1",'N State Taps &amp; Flows'!A21:C33,2,FALSE)="inv",0,VLOOKUP("FP.AND1* FDEPHG1* 1",'N State Taps &amp; Flows'!A21:C33,2,FALSE)),"N/A")</f>
        <v>1</v>
      </c>
      <c r="AS188" s="316"/>
      <c r="AT188" s="316"/>
      <c r="AU188" s="316"/>
      <c r="AV188" s="316"/>
      <c r="AW188" s="316"/>
      <c r="AX188" s="318">
        <f>IFERROR(IF(VLOOKUP("FP.AND1* FDEPHG1* 1",'N State Taps &amp; Flows'!A21:C33,3,FALSE)="Inv",0,VLOOKUP("FP.AND1* FDEPHG1* 1",'N State Taps &amp; Flows'!A21:C33,3,FALSE)),"N/A")</f>
        <v>817</v>
      </c>
      <c r="AY188" s="319"/>
      <c r="AZ188" s="319"/>
      <c r="BA188" s="319"/>
      <c r="BB188" s="319"/>
      <c r="BC188" s="319"/>
      <c r="BD188" s="319"/>
      <c r="BE188" s="319"/>
      <c r="BF188" s="319"/>
      <c r="BG188" s="319"/>
      <c r="BH188" s="320"/>
      <c r="BI188" s="66"/>
      <c r="BJ188" s="66"/>
      <c r="BK188" s="66"/>
    </row>
    <row r="189" spans="1:67" s="113" customFormat="1" ht="12.75" customHeight="1">
      <c r="A189" s="78"/>
      <c r="B189" s="78"/>
      <c r="C189" s="66"/>
      <c r="D189" s="324" t="s">
        <v>65</v>
      </c>
      <c r="E189" s="325"/>
      <c r="F189" s="325"/>
      <c r="G189" s="325"/>
      <c r="H189" s="325"/>
      <c r="I189" s="325"/>
      <c r="J189" s="325"/>
      <c r="K189" s="325"/>
      <c r="L189" s="325"/>
      <c r="M189" s="326"/>
      <c r="N189" s="296">
        <f>IFERROR(IFERROR(VLOOKUP("IRONT113 IRONT111 1",'N State Taps &amp; Flows'!A4:C16,2,FALSE)-34,VLOOKUP("IRONT112 IRONT111 1",'N State Taps &amp; Flows'!A4:C16,2,FALSE)-34),"N/A")</f>
        <v>33</v>
      </c>
      <c r="O189" s="297"/>
      <c r="P189" s="297"/>
      <c r="Q189" s="297"/>
      <c r="R189" s="297"/>
      <c r="S189" s="298"/>
      <c r="T189" s="316">
        <f>IFERROR(IFERROR(VLOOKUP("IRONT113 IRONT111 1",'N State Taps &amp; Flows'!A4:C16,3,FALSE),VLOOKUP("IRONT112 IRONT111 1",'N State Taps &amp; Flows'!A4:C16,3,FALSE)),"N/A")</f>
        <v>626</v>
      </c>
      <c r="U189" s="316"/>
      <c r="V189" s="316"/>
      <c r="W189" s="316"/>
      <c r="X189" s="316"/>
      <c r="Y189" s="316"/>
      <c r="Z189" s="316"/>
      <c r="AA189" s="316"/>
      <c r="AB189" s="316"/>
      <c r="AC189" s="316"/>
      <c r="AD189" s="316"/>
      <c r="AE189" s="78"/>
      <c r="AF189" s="78"/>
      <c r="AG189" s="78"/>
      <c r="AH189" s="315" t="s">
        <v>65</v>
      </c>
      <c r="AI189" s="315"/>
      <c r="AJ189" s="315"/>
      <c r="AK189" s="315"/>
      <c r="AL189" s="315"/>
      <c r="AM189" s="315"/>
      <c r="AN189" s="315"/>
      <c r="AO189" s="315"/>
      <c r="AP189" s="315"/>
      <c r="AQ189" s="315"/>
      <c r="AR189" s="296">
        <f>IFERROR(IFERROR(VLOOKUP("IRONT113 IRONT111 1",'N State Taps &amp; Flows'!A21:C33,2,FALSE)-34,VLOOKUP("IRONT11Z IRONT111 1",'N State Taps &amp; Flows'!A21:C33,2,FALSE)-34),"N/A")</f>
        <v>27</v>
      </c>
      <c r="AS189" s="297"/>
      <c r="AT189" s="297"/>
      <c r="AU189" s="297"/>
      <c r="AV189" s="297"/>
      <c r="AW189" s="298"/>
      <c r="AX189" s="296">
        <f>IFERROR(IFERROR(VLOOKUP("IRONT113 IRONT111 1",'N State Taps &amp; Flows'!A21:C33,3,FALSE),VLOOKUP("IRONT11Z IRONT111 1",'N State Taps &amp; Flows'!A21:C33,3,FALSE)),"N/A")</f>
        <v>860</v>
      </c>
      <c r="AY189" s="297"/>
      <c r="AZ189" s="297"/>
      <c r="BA189" s="297"/>
      <c r="BB189" s="297"/>
      <c r="BC189" s="297"/>
      <c r="BD189" s="297"/>
      <c r="BE189" s="297"/>
      <c r="BF189" s="297"/>
      <c r="BG189" s="297"/>
      <c r="BH189" s="298"/>
      <c r="BI189" s="66"/>
      <c r="BJ189" s="66"/>
      <c r="BK189" s="66"/>
    </row>
    <row r="190" spans="1:67" s="114" customFormat="1" ht="12.75" customHeight="1">
      <c r="A190" s="66"/>
      <c r="B190" s="66"/>
      <c r="C190" s="66"/>
      <c r="D190" s="324" t="s">
        <v>66</v>
      </c>
      <c r="E190" s="325"/>
      <c r="F190" s="325"/>
      <c r="G190" s="325"/>
      <c r="H190" s="325"/>
      <c r="I190" s="325"/>
      <c r="J190" s="325"/>
      <c r="K190" s="325"/>
      <c r="L190" s="325"/>
      <c r="M190" s="326"/>
      <c r="N190" s="296">
        <f>IFERROR(IFERROR(VLOOKUP("IRONT112 IRONT111 2",'N State Taps &amp; Flows'!A4:C16,2,FALSE)-34,VLOOKUP("IRONT113 IRONT111 2",'N State Taps &amp; Flows'!A4:C16,2,FALSE)-34),"N/A")</f>
        <v>33</v>
      </c>
      <c r="O190" s="297"/>
      <c r="P190" s="297"/>
      <c r="Q190" s="297"/>
      <c r="R190" s="297"/>
      <c r="S190" s="298"/>
      <c r="T190" s="296">
        <f>IFERROR(IFERROR(VLOOKUP("IRONT112 IRONT111 2",'N State Taps &amp; Flows'!A4:C16,3,FALSE),VLOOKUP("IRONT113 IRONT111 2",'N State Taps &amp; Flows'!A4:C16,3,FALSE)),"N/A")</f>
        <v>607</v>
      </c>
      <c r="U190" s="297"/>
      <c r="V190" s="297"/>
      <c r="W190" s="297"/>
      <c r="X190" s="297"/>
      <c r="Y190" s="297"/>
      <c r="Z190" s="297"/>
      <c r="AA190" s="297"/>
      <c r="AB190" s="297"/>
      <c r="AC190" s="297"/>
      <c r="AD190" s="298"/>
      <c r="AE190" s="78"/>
      <c r="AF190" s="78"/>
      <c r="AG190" s="78"/>
      <c r="AH190" s="315" t="s">
        <v>66</v>
      </c>
      <c r="AI190" s="315"/>
      <c r="AJ190" s="315"/>
      <c r="AK190" s="315"/>
      <c r="AL190" s="315"/>
      <c r="AM190" s="315"/>
      <c r="AN190" s="315"/>
      <c r="AO190" s="315"/>
      <c r="AP190" s="315"/>
      <c r="AQ190" s="315"/>
      <c r="AR190" s="296">
        <f>IFERROR(IFERROR(VLOOKUP("IRONT112 IRONT111 2",'N State Taps &amp; Flows'!A21:C33,2,FALSE)-34,VLOOKUP("IRONT113 IRONT111 2",'N State Taps &amp; Flows'!A21:C33,2,FALSE)-34),"N/A")</f>
        <v>32</v>
      </c>
      <c r="AS190" s="297"/>
      <c r="AT190" s="297"/>
      <c r="AU190" s="297"/>
      <c r="AV190" s="297"/>
      <c r="AW190" s="298"/>
      <c r="AX190" s="296">
        <f>IFERROR(IFERROR(VLOOKUP("IRONT112 IRONT111 2",'N State Taps &amp; Flows'!A21:C33,3,FALSE),VLOOKUP("IRONT113 IRONT111 2",'N State Taps &amp; Flows'!A21:C33,3,FALSE)),"N/A")</f>
        <v>856</v>
      </c>
      <c r="AY190" s="297"/>
      <c r="AZ190" s="297"/>
      <c r="BA190" s="297"/>
      <c r="BB190" s="297"/>
      <c r="BC190" s="297"/>
      <c r="BD190" s="297"/>
      <c r="BE190" s="297"/>
      <c r="BF190" s="297"/>
      <c r="BG190" s="297"/>
      <c r="BH190" s="298"/>
      <c r="BI190" s="66"/>
      <c r="BJ190" s="66"/>
      <c r="BK190" s="66"/>
    </row>
    <row r="191" spans="1:67" s="114" customFormat="1" ht="12.75" customHeight="1">
      <c r="A191" s="66"/>
      <c r="B191" s="66"/>
      <c r="C191" s="66"/>
      <c r="D191" s="324" t="s">
        <v>328</v>
      </c>
      <c r="E191" s="325"/>
      <c r="F191" s="325"/>
      <c r="G191" s="325"/>
      <c r="H191" s="325"/>
      <c r="I191" s="325"/>
      <c r="J191" s="325"/>
      <c r="K191" s="325"/>
      <c r="L191" s="325"/>
      <c r="M191" s="326"/>
      <c r="N191" s="296">
        <f>IFERROR(VLOOKUP("ICMPTA2* ICMPTA2* 1",'N State Taps &amp; Flows'!A4:C16,2,FALSE)-33,"N/A")</f>
        <v>-17</v>
      </c>
      <c r="O191" s="297"/>
      <c r="P191" s="297"/>
      <c r="Q191" s="297"/>
      <c r="R191" s="297"/>
      <c r="S191" s="298"/>
      <c r="T191" s="296">
        <f>IFERROR(-IF(VLOOKUP("ICMPTA2* ICMPTA2* 1",'N State Taps &amp; Flows'!A4:C16,3,FALSE)="Inv",0,VLOOKUP("ICMPTA2* ICMPTA2* 1",'N State Taps &amp; Flows'!A4:C16,3,FALSE)),"N/A")</f>
        <v>160</v>
      </c>
      <c r="U191" s="297"/>
      <c r="V191" s="297"/>
      <c r="W191" s="297"/>
      <c r="X191" s="297"/>
      <c r="Y191" s="297"/>
      <c r="Z191" s="297"/>
      <c r="AA191" s="297"/>
      <c r="AB191" s="297"/>
      <c r="AC191" s="297"/>
      <c r="AD191" s="298"/>
      <c r="AE191" s="78"/>
      <c r="AF191" s="78"/>
      <c r="AG191" s="78"/>
      <c r="AH191" s="324" t="s">
        <v>328</v>
      </c>
      <c r="AI191" s="325"/>
      <c r="AJ191" s="325"/>
      <c r="AK191" s="325"/>
      <c r="AL191" s="325"/>
      <c r="AM191" s="325"/>
      <c r="AN191" s="325"/>
      <c r="AO191" s="325"/>
      <c r="AP191" s="325"/>
      <c r="AQ191" s="326"/>
      <c r="AR191" s="296">
        <f>IFERROR(VLOOKUP("ICMPTA2* ICMPTA2* 1",'N State Taps &amp; Flows'!A21:C33,2,FALSE)-33,"N/A")</f>
        <v>0</v>
      </c>
      <c r="AS191" s="297"/>
      <c r="AT191" s="297"/>
      <c r="AU191" s="297"/>
      <c r="AV191" s="297"/>
      <c r="AW191" s="298"/>
      <c r="AX191" s="296">
        <f>IFERROR(-IF(VLOOKUP("ICMPTA2* ICMPTA2* 1",'N State Taps &amp; Flows'!A21:C33,3,FALSE)="Inv",0,VLOOKUP("ICMPTA2* ICMPTA2* 1",'N State Taps &amp; Flows'!A21:C33,3,FALSE)),"N/A")</f>
        <v>194</v>
      </c>
      <c r="AY191" s="297"/>
      <c r="AZ191" s="297"/>
      <c r="BA191" s="297"/>
      <c r="BB191" s="297"/>
      <c r="BC191" s="297"/>
      <c r="BD191" s="297"/>
      <c r="BE191" s="297"/>
      <c r="BF191" s="297"/>
      <c r="BG191" s="297"/>
      <c r="BH191" s="298"/>
      <c r="BI191" s="66"/>
      <c r="BJ191" s="66"/>
      <c r="BK191" s="66"/>
    </row>
    <row r="192" spans="1:67" s="114" customFormat="1" ht="12.75" customHeight="1">
      <c r="A192" s="66"/>
      <c r="B192" s="66"/>
      <c r="C192" s="66"/>
      <c r="D192" s="324" t="s">
        <v>327</v>
      </c>
      <c r="E192" s="325"/>
      <c r="F192" s="325"/>
      <c r="G192" s="325"/>
      <c r="H192" s="325"/>
      <c r="I192" s="325"/>
      <c r="J192" s="325"/>
      <c r="K192" s="325"/>
      <c r="L192" s="325"/>
      <c r="M192" s="326"/>
      <c r="N192" s="296">
        <f>IFERROR(IF((VLOOKUP("OLIENN2* OLIENN2* *",'N State Taps &amp; Flows'!A4:C16,2,FALSE)-33)="inv",0,VLOOKUP("OLIENN2* OLIENN2* *",'N State Taps &amp; Flows'!A4:C16,2,FALSE)-33),"N/A")</f>
        <v>-12</v>
      </c>
      <c r="O192" s="297"/>
      <c r="P192" s="297"/>
      <c r="Q192" s="297"/>
      <c r="R192" s="297"/>
      <c r="S192" s="298"/>
      <c r="T192" s="296">
        <f>IFERROR(IF(VLOOKUP("OLIENN2* OLIENN2* *",'N State Taps &amp; Flows'!A4:C16,3,FALSE)="inv",0,VLOOKUP("OLIENN2* OLIENN2* *",'N State Taps &amp; Flows'!A4:C16,3,FALSE)),"N/A")</f>
        <v>133</v>
      </c>
      <c r="U192" s="297"/>
      <c r="V192" s="297"/>
      <c r="W192" s="297"/>
      <c r="X192" s="297"/>
      <c r="Y192" s="297"/>
      <c r="Z192" s="297"/>
      <c r="AA192" s="297"/>
      <c r="AB192" s="297"/>
      <c r="AC192" s="297"/>
      <c r="AD192" s="298"/>
      <c r="AE192" s="78"/>
      <c r="AF192" s="78"/>
      <c r="AG192" s="78"/>
      <c r="AH192" s="324" t="s">
        <v>327</v>
      </c>
      <c r="AI192" s="325"/>
      <c r="AJ192" s="325"/>
      <c r="AK192" s="325"/>
      <c r="AL192" s="325"/>
      <c r="AM192" s="325"/>
      <c r="AN192" s="325"/>
      <c r="AO192" s="325"/>
      <c r="AP192" s="325"/>
      <c r="AQ192" s="326"/>
      <c r="AR192" s="296">
        <f>IFERROR(IF((VLOOKUP("OLIENN2* OLIENN2* *",'N State Taps &amp; Flows'!A21:C33,2,FALSE)-33)="inv",0,VLOOKUP("OLIENN2* OLIENN2* *",'N State Taps &amp; Flows'!A21:C33,2,FALSE)-33),"N/A")</f>
        <v>-13</v>
      </c>
      <c r="AS192" s="297"/>
      <c r="AT192" s="297"/>
      <c r="AU192" s="297"/>
      <c r="AV192" s="297"/>
      <c r="AW192" s="298"/>
      <c r="AX192" s="296">
        <f>IFERROR(IF(VLOOKUP("OLIENN2* OLIENN2* *",'N State Taps &amp; Flows'!A21:C33,3,FALSE)="inv",0,VLOOKUP("OLIENN2* OLIENN2* *",'N State Taps &amp; Flows'!A21:C33,3,FALSE)),"N/A")</f>
        <v>120</v>
      </c>
      <c r="AY192" s="297"/>
      <c r="AZ192" s="297"/>
      <c r="BA192" s="297"/>
      <c r="BB192" s="297"/>
      <c r="BC192" s="297"/>
      <c r="BD192" s="297"/>
      <c r="BE192" s="297"/>
      <c r="BF192" s="297"/>
      <c r="BG192" s="297"/>
      <c r="BH192" s="298"/>
      <c r="BI192" s="66"/>
      <c r="BJ192" s="66"/>
      <c r="BK192" s="66"/>
    </row>
    <row r="193" spans="1:63" s="114" customFormat="1" ht="12.75" customHeight="1">
      <c r="A193" s="66"/>
      <c r="B193" s="66"/>
      <c r="C193" s="66"/>
      <c r="D193" s="324" t="s">
        <v>67</v>
      </c>
      <c r="E193" s="325"/>
      <c r="F193" s="325"/>
      <c r="G193" s="325"/>
      <c r="H193" s="325"/>
      <c r="I193" s="325"/>
      <c r="J193" s="325"/>
      <c r="K193" s="325"/>
      <c r="L193" s="325"/>
      <c r="M193" s="326"/>
      <c r="N193" s="296">
        <f>IFERROR(IF(VLOOKUP("IPDRV12* IPDRV12* 1",'N State Taps &amp; Flows'!A4:C16,2,FALSE)="inv",0,VLOOKUP("IPDRV12* IPDRV12* 1",'N State Taps &amp; Flows'!A4:C16,2,FALSE)),"N/A")</f>
        <v>22</v>
      </c>
      <c r="O193" s="297"/>
      <c r="P193" s="297"/>
      <c r="Q193" s="297"/>
      <c r="R193" s="297"/>
      <c r="S193" s="298"/>
      <c r="T193" s="299">
        <f>IFERROR(-IF(VLOOKUP("IPDRV12* IPDRV12* 1",'N State Taps &amp; Flows'!A4:C16,3,FALSE)="Inv",0,VLOOKUP("IPDRV12* IPDRV12* 1",'N State Taps &amp; Flows'!A4:C16,3,FALSE)),"N/A")</f>
        <v>187</v>
      </c>
      <c r="U193" s="299"/>
      <c r="V193" s="299"/>
      <c r="W193" s="299"/>
      <c r="X193" s="299"/>
      <c r="Y193" s="299"/>
      <c r="Z193" s="299"/>
      <c r="AA193" s="299"/>
      <c r="AB193" s="299"/>
      <c r="AC193" s="299"/>
      <c r="AD193" s="299"/>
      <c r="AE193" s="78"/>
      <c r="AF193" s="78"/>
      <c r="AG193" s="78"/>
      <c r="AH193" s="315" t="s">
        <v>67</v>
      </c>
      <c r="AI193" s="315"/>
      <c r="AJ193" s="315"/>
      <c r="AK193" s="315"/>
      <c r="AL193" s="315"/>
      <c r="AM193" s="315"/>
      <c r="AN193" s="315"/>
      <c r="AO193" s="315"/>
      <c r="AP193" s="315"/>
      <c r="AQ193" s="315"/>
      <c r="AR193" s="296">
        <f>IFERROR(IF(VLOOKUP("IPDRV12* IPDRV12* 1",'N State Taps &amp; Flows'!A21:C33,2,FALSE)="inv",0,VLOOKUP("IPDRV12* IPDRV12* 1",'N State Taps &amp; Flows'!A21:C33,2,FALSE)),"N/A")</f>
        <v>14</v>
      </c>
      <c r="AS193" s="297"/>
      <c r="AT193" s="297"/>
      <c r="AU193" s="297"/>
      <c r="AV193" s="297"/>
      <c r="AW193" s="298"/>
      <c r="AX193" s="296">
        <f>IFERROR(-IF(VLOOKUP("IPDRV12* IPDRV12* 1",'N State Taps &amp; Flows'!A21:C33,3,FALSE)="Inv",0,VLOOKUP("IPDRV12* IPDRV12* 1",'N State Taps &amp; Flows'!A21:C33,3,FALSE)),"N/A")</f>
        <v>191</v>
      </c>
      <c r="AY193" s="297"/>
      <c r="AZ193" s="297"/>
      <c r="BA193" s="297"/>
      <c r="BB193" s="297"/>
      <c r="BC193" s="297"/>
      <c r="BD193" s="297"/>
      <c r="BE193" s="297"/>
      <c r="BF193" s="297"/>
      <c r="BG193" s="297"/>
      <c r="BH193" s="298"/>
      <c r="BI193" s="66"/>
      <c r="BJ193" s="66"/>
      <c r="BK193" s="66"/>
    </row>
    <row r="194" spans="1:63" s="113" customFormat="1" ht="12.75" customHeight="1">
      <c r="A194" s="66"/>
      <c r="B194" s="66"/>
      <c r="C194" s="66"/>
      <c r="D194" s="324" t="s">
        <v>68</v>
      </c>
      <c r="E194" s="325"/>
      <c r="F194" s="325"/>
      <c r="G194" s="325"/>
      <c r="H194" s="325"/>
      <c r="I194" s="325"/>
      <c r="J194" s="325"/>
      <c r="K194" s="325"/>
      <c r="L194" s="325"/>
      <c r="M194" s="326"/>
      <c r="N194" s="321">
        <f>IFERROR(VLOOKUP("LDIVAC11 LDIVAC12 1",'N State Taps &amp; Flows'!A4:C16,2,FALSE)-33,"N/A")</f>
        <v>-6</v>
      </c>
      <c r="O194" s="322"/>
      <c r="P194" s="322"/>
      <c r="Q194" s="322"/>
      <c r="R194" s="322"/>
      <c r="S194" s="323"/>
      <c r="T194" s="299">
        <f>IFERROR(IF(VLOOKUP("LDIVAC11 LDIVAC12 1",'N State Taps &amp; Flows'!A4:C16,3,FALSE)="Inv",0,VLOOKUP("LDIVAC11 LDIVAC12 1",'N State Taps &amp; Flows'!A4:C16,3,FALSE)),"N/A")</f>
        <v>888</v>
      </c>
      <c r="U194" s="299"/>
      <c r="V194" s="299"/>
      <c r="W194" s="299"/>
      <c r="X194" s="299"/>
      <c r="Y194" s="299"/>
      <c r="Z194" s="299"/>
      <c r="AA194" s="299"/>
      <c r="AB194" s="299"/>
      <c r="AC194" s="299"/>
      <c r="AD194" s="299"/>
      <c r="AE194" s="78"/>
      <c r="AF194" s="78"/>
      <c r="AG194" s="78"/>
      <c r="AH194" s="315" t="s">
        <v>68</v>
      </c>
      <c r="AI194" s="315"/>
      <c r="AJ194" s="315"/>
      <c r="AK194" s="315"/>
      <c r="AL194" s="315"/>
      <c r="AM194" s="315"/>
      <c r="AN194" s="315"/>
      <c r="AO194" s="315"/>
      <c r="AP194" s="315"/>
      <c r="AQ194" s="315"/>
      <c r="AR194" s="321">
        <f>IFERROR(VLOOKUP("LDIVAC11 LDIVAC12 1",'N State Taps &amp; Flows'!A21:C33,2,FALSE)-33,"N/A")</f>
        <v>6</v>
      </c>
      <c r="AS194" s="322"/>
      <c r="AT194" s="322"/>
      <c r="AU194" s="322"/>
      <c r="AV194" s="322"/>
      <c r="AW194" s="323"/>
      <c r="AX194" s="296">
        <f>IFERROR(IF(VLOOKUP("LDIVAC11 LDIVAC12 1",'N State Taps &amp; Flows'!A21:C33,3,FALSE)="Inv",0,VLOOKUP("LDIVAC11 LDIVAC12 1",'N State Taps &amp; Flows'!A21:C33,3,FALSE)),"N/A")</f>
        <v>907</v>
      </c>
      <c r="AY194" s="297"/>
      <c r="AZ194" s="297"/>
      <c r="BA194" s="297"/>
      <c r="BB194" s="297"/>
      <c r="BC194" s="297"/>
      <c r="BD194" s="297"/>
      <c r="BE194" s="297"/>
      <c r="BF194" s="297"/>
      <c r="BG194" s="297"/>
      <c r="BH194" s="298"/>
      <c r="BI194" s="66"/>
      <c r="BJ194" s="66"/>
      <c r="BK194" s="66"/>
    </row>
    <row r="195" spans="1:63" ht="22.5" customHeight="1">
      <c r="C195" s="78"/>
      <c r="D195" s="84"/>
      <c r="E195" s="84"/>
      <c r="F195" s="84"/>
      <c r="G195" s="84"/>
      <c r="H195" s="84"/>
      <c r="I195" s="84"/>
      <c r="J195" s="84"/>
      <c r="K195" s="84"/>
      <c r="L195" s="84"/>
      <c r="M195" s="84"/>
      <c r="N195" s="85"/>
      <c r="O195" s="86"/>
      <c r="P195" s="86"/>
      <c r="Q195" s="86"/>
      <c r="R195" s="86"/>
      <c r="S195" s="86"/>
      <c r="T195" s="86"/>
      <c r="U195" s="86"/>
      <c r="V195" s="86"/>
      <c r="W195" s="86"/>
      <c r="X195" s="86"/>
      <c r="Y195" s="86"/>
      <c r="Z195" s="86"/>
      <c r="AA195" s="86"/>
      <c r="AB195" s="86"/>
      <c r="AC195" s="86"/>
      <c r="AD195" s="86"/>
      <c r="AE195" s="78"/>
      <c r="AF195" s="78"/>
      <c r="AG195" s="78"/>
      <c r="BI195" s="78"/>
    </row>
    <row r="196" spans="1:63" s="114" customFormat="1" ht="18.75" customHeight="1">
      <c r="A196" s="78"/>
      <c r="B196" s="78"/>
      <c r="C196" s="78"/>
      <c r="D196" s="317" t="s">
        <v>70</v>
      </c>
      <c r="E196" s="317"/>
      <c r="F196" s="317"/>
      <c r="G196" s="317"/>
      <c r="H196" s="317"/>
      <c r="I196" s="317"/>
      <c r="J196" s="317"/>
      <c r="K196" s="317"/>
      <c r="L196" s="317"/>
      <c r="M196" s="317"/>
      <c r="N196" s="78"/>
      <c r="O196" s="78"/>
      <c r="P196" s="78"/>
      <c r="Q196" s="78"/>
      <c r="R196" s="78"/>
      <c r="S196" s="78"/>
      <c r="T196" s="78"/>
      <c r="U196" s="78"/>
      <c r="V196" s="78"/>
      <c r="W196" s="78"/>
      <c r="X196" s="78"/>
      <c r="Y196" s="78"/>
      <c r="Z196" s="78"/>
      <c r="AA196" s="78"/>
      <c r="AB196" s="78"/>
      <c r="AC196" s="78"/>
      <c r="AD196" s="78"/>
      <c r="AE196" s="78"/>
      <c r="AF196" s="78"/>
      <c r="AG196" s="78"/>
      <c r="AH196" s="78"/>
      <c r="AI196" s="78"/>
      <c r="AJ196" s="78"/>
      <c r="AK196" s="78"/>
      <c r="AL196" s="78"/>
      <c r="AM196" s="78"/>
      <c r="AN196" s="78"/>
      <c r="AO196" s="78"/>
      <c r="AP196" s="78"/>
      <c r="AQ196" s="78"/>
      <c r="AR196" s="78"/>
      <c r="AS196" s="78"/>
      <c r="AT196" s="78"/>
      <c r="AU196" s="78"/>
      <c r="AV196" s="78"/>
      <c r="AW196" s="78"/>
      <c r="AX196" s="78"/>
      <c r="AY196" s="78"/>
      <c r="AZ196" s="78"/>
      <c r="BA196" s="78"/>
      <c r="BB196" s="78"/>
      <c r="BC196" s="78"/>
      <c r="BD196" s="78"/>
      <c r="BE196" s="78"/>
      <c r="BF196" s="78"/>
      <c r="BG196" s="78"/>
      <c r="BH196" s="78"/>
      <c r="BI196" s="78"/>
      <c r="BJ196" s="78"/>
      <c r="BK196" s="88"/>
    </row>
    <row r="197" spans="1:63" s="114" customFormat="1" ht="9" customHeight="1">
      <c r="A197" s="78"/>
      <c r="B197" s="78"/>
      <c r="C197" s="78"/>
      <c r="D197" s="115"/>
      <c r="E197" s="116"/>
      <c r="F197" s="116"/>
      <c r="G197" s="116"/>
      <c r="H197" s="116"/>
      <c r="I197" s="116"/>
      <c r="J197" s="116"/>
      <c r="K197" s="116"/>
      <c r="L197" s="116"/>
      <c r="M197" s="116"/>
      <c r="N197" s="116"/>
      <c r="O197" s="116"/>
      <c r="P197" s="116"/>
      <c r="Q197" s="116"/>
      <c r="R197" s="116"/>
      <c r="S197" s="116"/>
      <c r="T197" s="116"/>
      <c r="U197" s="116"/>
      <c r="V197" s="116"/>
      <c r="W197" s="116"/>
      <c r="X197" s="116"/>
      <c r="Y197" s="116"/>
      <c r="Z197" s="116"/>
      <c r="AA197" s="116"/>
      <c r="AB197" s="116"/>
      <c r="AC197" s="116"/>
      <c r="AD197" s="116"/>
      <c r="AE197" s="116"/>
      <c r="AF197" s="116"/>
      <c r="AG197" s="116"/>
      <c r="AH197" s="116"/>
      <c r="AI197" s="116"/>
      <c r="AJ197" s="116"/>
      <c r="AK197" s="116"/>
      <c r="AL197" s="116"/>
      <c r="AM197" s="116"/>
      <c r="AN197" s="116"/>
      <c r="AO197" s="116"/>
      <c r="AP197" s="116"/>
      <c r="AQ197" s="116"/>
      <c r="AR197" s="116"/>
      <c r="AS197" s="116"/>
      <c r="AT197" s="116"/>
      <c r="AU197" s="116"/>
      <c r="AV197" s="116"/>
      <c r="AW197" s="116"/>
      <c r="AX197" s="116"/>
      <c r="AY197" s="116"/>
      <c r="AZ197" s="116"/>
      <c r="BA197" s="116"/>
      <c r="BB197" s="116"/>
      <c r="BC197" s="116"/>
      <c r="BD197" s="116"/>
      <c r="BE197" s="116"/>
      <c r="BF197" s="116"/>
      <c r="BG197" s="116"/>
      <c r="BH197" s="116"/>
      <c r="BI197" s="78"/>
      <c r="BJ197" s="78"/>
      <c r="BK197" s="88"/>
    </row>
    <row r="198" spans="1:63" s="113" customFormat="1" ht="18" customHeight="1">
      <c r="A198" s="66"/>
      <c r="B198" s="66"/>
      <c r="C198" s="66"/>
      <c r="D198" s="295" t="s">
        <v>345</v>
      </c>
      <c r="E198" s="295"/>
      <c r="F198" s="295"/>
      <c r="G198" s="295"/>
      <c r="H198" s="295"/>
      <c r="I198" s="295"/>
      <c r="J198" s="295"/>
      <c r="K198" s="295"/>
      <c r="L198" s="295"/>
      <c r="M198" s="295"/>
      <c r="N198" s="295"/>
      <c r="O198" s="295"/>
      <c r="P198" s="295"/>
      <c r="Q198" s="295"/>
      <c r="R198" s="295"/>
      <c r="S198" s="295"/>
      <c r="T198" s="295"/>
      <c r="U198" s="295"/>
      <c r="V198" s="295"/>
      <c r="W198" s="295"/>
      <c r="X198" s="295"/>
      <c r="Y198" s="295"/>
      <c r="Z198" s="295"/>
      <c r="AA198" s="295"/>
      <c r="AB198" s="295"/>
      <c r="AC198" s="295"/>
      <c r="AD198" s="295"/>
      <c r="AE198" s="295"/>
      <c r="AF198" s="295"/>
      <c r="AG198" s="295"/>
      <c r="AH198" s="295"/>
      <c r="AI198" s="295"/>
      <c r="AJ198" s="295"/>
      <c r="AK198" s="295"/>
      <c r="AL198" s="295"/>
      <c r="AM198" s="295"/>
      <c r="AN198" s="295"/>
      <c r="AO198" s="295"/>
      <c r="AP198" s="295"/>
      <c r="AQ198" s="295"/>
      <c r="AR198" s="295"/>
      <c r="AS198" s="295"/>
      <c r="AT198" s="295"/>
      <c r="AU198" s="295"/>
      <c r="AV198" s="295"/>
      <c r="AW198" s="295"/>
      <c r="AX198" s="295"/>
      <c r="AY198" s="295"/>
      <c r="AZ198" s="295"/>
      <c r="BA198" s="295"/>
      <c r="BB198" s="295"/>
      <c r="BC198" s="295"/>
      <c r="BD198" s="295"/>
      <c r="BE198" s="295"/>
      <c r="BF198" s="295"/>
      <c r="BG198" s="295"/>
      <c r="BH198" s="295"/>
      <c r="BI198" s="66"/>
      <c r="BJ198" s="66"/>
      <c r="BK198" s="161"/>
    </row>
    <row r="199" spans="1:63" s="113" customFormat="1" ht="18" customHeight="1">
      <c r="A199" s="66"/>
      <c r="B199" s="66"/>
      <c r="C199" s="66"/>
      <c r="D199" s="295" t="s">
        <v>346</v>
      </c>
      <c r="E199" s="295"/>
      <c r="F199" s="295"/>
      <c r="G199" s="295"/>
      <c r="H199" s="295"/>
      <c r="I199" s="295"/>
      <c r="J199" s="295"/>
      <c r="K199" s="295"/>
      <c r="L199" s="295"/>
      <c r="M199" s="295"/>
      <c r="N199" s="295"/>
      <c r="O199" s="295"/>
      <c r="P199" s="295"/>
      <c r="Q199" s="295"/>
      <c r="R199" s="295"/>
      <c r="S199" s="295"/>
      <c r="T199" s="295"/>
      <c r="U199" s="295"/>
      <c r="V199" s="295"/>
      <c r="W199" s="295"/>
      <c r="X199" s="295"/>
      <c r="Y199" s="295"/>
      <c r="Z199" s="295"/>
      <c r="AA199" s="295"/>
      <c r="AB199" s="295"/>
      <c r="AC199" s="295"/>
      <c r="AD199" s="295"/>
      <c r="AE199" s="295"/>
      <c r="AF199" s="295"/>
      <c r="AG199" s="295"/>
      <c r="AH199" s="295"/>
      <c r="AI199" s="295"/>
      <c r="AJ199" s="295"/>
      <c r="AK199" s="295"/>
      <c r="AL199" s="295"/>
      <c r="AM199" s="295"/>
      <c r="AN199" s="295"/>
      <c r="AO199" s="295"/>
      <c r="AP199" s="295"/>
      <c r="AQ199" s="295"/>
      <c r="AR199" s="295"/>
      <c r="AS199" s="295"/>
      <c r="AT199" s="295"/>
      <c r="AU199" s="295"/>
      <c r="AV199" s="295"/>
      <c r="AW199" s="295"/>
      <c r="AX199" s="295"/>
      <c r="AY199" s="295"/>
      <c r="AZ199" s="295"/>
      <c r="BA199" s="295"/>
      <c r="BB199" s="295"/>
      <c r="BC199" s="295"/>
      <c r="BD199" s="295"/>
      <c r="BE199" s="295"/>
      <c r="BF199" s="295"/>
      <c r="BG199" s="295"/>
      <c r="BH199" s="295"/>
      <c r="BI199" s="66"/>
      <c r="BJ199" s="66"/>
      <c r="BK199" s="161"/>
    </row>
    <row r="200" spans="1:63" s="197" customFormat="1" ht="62.25" customHeight="1">
      <c r="A200" s="195"/>
      <c r="B200" s="195"/>
      <c r="C200" s="196"/>
      <c r="D200" s="804" t="s">
        <v>509</v>
      </c>
      <c r="E200" s="804"/>
      <c r="F200" s="804"/>
      <c r="G200" s="804"/>
      <c r="H200" s="804"/>
      <c r="I200" s="804"/>
      <c r="J200" s="804"/>
      <c r="K200" s="804"/>
      <c r="L200" s="804"/>
      <c r="M200" s="804"/>
      <c r="N200" s="804"/>
      <c r="O200" s="804"/>
      <c r="P200" s="804"/>
      <c r="Q200" s="804"/>
      <c r="R200" s="804"/>
      <c r="S200" s="804"/>
      <c r="T200" s="804"/>
      <c r="U200" s="804"/>
      <c r="V200" s="804"/>
      <c r="W200" s="804"/>
      <c r="X200" s="804"/>
      <c r="Y200" s="804"/>
      <c r="Z200" s="804"/>
      <c r="AA200" s="804"/>
      <c r="AB200" s="804"/>
      <c r="AC200" s="804"/>
      <c r="AD200" s="804"/>
      <c r="AE200" s="804"/>
      <c r="AF200" s="804"/>
      <c r="AG200" s="804"/>
      <c r="AH200" s="804"/>
      <c r="AI200" s="804"/>
      <c r="AJ200" s="804"/>
      <c r="AK200" s="804"/>
      <c r="AL200" s="804"/>
      <c r="AM200" s="804"/>
      <c r="AN200" s="804"/>
      <c r="AO200" s="804"/>
      <c r="AP200" s="804"/>
      <c r="AQ200" s="804"/>
      <c r="AR200" s="804"/>
      <c r="AS200" s="804"/>
      <c r="AT200" s="804"/>
      <c r="AU200" s="804"/>
      <c r="AV200" s="804"/>
      <c r="AW200" s="804"/>
      <c r="AX200" s="804"/>
      <c r="AY200" s="804"/>
      <c r="AZ200" s="804"/>
      <c r="BA200" s="804"/>
      <c r="BB200" s="804"/>
      <c r="BC200" s="804"/>
      <c r="BD200" s="804"/>
      <c r="BE200" s="804"/>
      <c r="BF200" s="804"/>
      <c r="BG200" s="804"/>
      <c r="BH200" s="804"/>
      <c r="BI200" s="196"/>
      <c r="BJ200" s="196"/>
    </row>
    <row r="201" spans="1:63">
      <c r="D201" s="208"/>
      <c r="E201" s="208"/>
      <c r="F201" s="208"/>
      <c r="G201" s="208"/>
      <c r="H201" s="208"/>
      <c r="I201" s="208"/>
      <c r="J201" s="208"/>
      <c r="K201" s="208"/>
      <c r="L201" s="208"/>
      <c r="M201" s="208"/>
      <c r="N201" s="208"/>
      <c r="O201" s="208"/>
      <c r="P201" s="208"/>
      <c r="Q201" s="208"/>
      <c r="R201" s="208"/>
      <c r="S201" s="208"/>
      <c r="T201" s="208"/>
      <c r="U201" s="208"/>
      <c r="V201" s="208"/>
      <c r="W201" s="208"/>
      <c r="X201" s="208"/>
      <c r="Y201" s="208"/>
      <c r="Z201" s="208"/>
      <c r="AA201" s="208"/>
      <c r="AB201" s="208"/>
      <c r="AC201" s="208"/>
      <c r="AD201" s="208"/>
      <c r="AE201" s="208"/>
      <c r="AF201" s="208"/>
      <c r="AG201" s="208"/>
      <c r="AH201" s="208"/>
      <c r="AI201" s="208"/>
      <c r="AJ201" s="208"/>
      <c r="AK201" s="208"/>
      <c r="AL201" s="208"/>
      <c r="AM201" s="208"/>
      <c r="AN201" s="208"/>
      <c r="AO201" s="208"/>
      <c r="AP201" s="208"/>
      <c r="AQ201" s="208"/>
      <c r="AR201" s="208"/>
      <c r="AS201" s="208"/>
      <c r="AT201" s="208"/>
      <c r="AU201" s="208"/>
      <c r="AV201" s="208"/>
      <c r="AW201" s="208"/>
      <c r="AX201" s="208"/>
      <c r="AY201" s="208"/>
      <c r="AZ201" s="208"/>
      <c r="BA201" s="208"/>
      <c r="BB201" s="208"/>
      <c r="BC201" s="208"/>
      <c r="BD201" s="208"/>
      <c r="BE201" s="208"/>
      <c r="BF201" s="208"/>
      <c r="BG201" s="208"/>
      <c r="BH201" s="208"/>
    </row>
  </sheetData>
  <sheetProtection sheet="1" objects="1" scenarios="1" formatCells="0" formatRows="0" insertRows="0" deleteRows="0"/>
  <mergeCells count="496">
    <mergeCell ref="H136:M142"/>
    <mergeCell ref="BE164:BI164"/>
    <mergeCell ref="AJ162:BI162"/>
    <mergeCell ref="M163:O163"/>
    <mergeCell ref="P163:W163"/>
    <mergeCell ref="X163:AE163"/>
    <mergeCell ref="AN163:AP163"/>
    <mergeCell ref="AJ163:AM163"/>
    <mergeCell ref="AQ163:AW163"/>
    <mergeCell ref="AX163:BD163"/>
    <mergeCell ref="L155:W155"/>
    <mergeCell ref="AV157:BC157"/>
    <mergeCell ref="AV154:BC154"/>
    <mergeCell ref="X155:AE155"/>
    <mergeCell ref="AF153:AM153"/>
    <mergeCell ref="AV152:BC152"/>
    <mergeCell ref="AN155:AU155"/>
    <mergeCell ref="AF155:AM155"/>
    <mergeCell ref="N140:AD140"/>
    <mergeCell ref="AE141:AK141"/>
    <mergeCell ref="AS138:AY138"/>
    <mergeCell ref="AS140:AY140"/>
    <mergeCell ref="G164:L167"/>
    <mergeCell ref="AJ164:AM164"/>
    <mergeCell ref="N132:AD132"/>
    <mergeCell ref="N127:AD127"/>
    <mergeCell ref="N129:AD129"/>
    <mergeCell ref="N128:AD128"/>
    <mergeCell ref="AL140:AR140"/>
    <mergeCell ref="N139:AD139"/>
    <mergeCell ref="N130:AD130"/>
    <mergeCell ref="AL134:AR134"/>
    <mergeCell ref="AE128:AK128"/>
    <mergeCell ref="AE127:AK127"/>
    <mergeCell ref="AL128:AR128"/>
    <mergeCell ref="N138:AD138"/>
    <mergeCell ref="N133:AD133"/>
    <mergeCell ref="N131:AD131"/>
    <mergeCell ref="AE138:AK138"/>
    <mergeCell ref="AE135:AK135"/>
    <mergeCell ref="N134:AD134"/>
    <mergeCell ref="AL135:AR135"/>
    <mergeCell ref="N137:AD137"/>
    <mergeCell ref="N135:AD135"/>
    <mergeCell ref="N136:AD136"/>
    <mergeCell ref="D127:G142"/>
    <mergeCell ref="AL131:AR131"/>
    <mergeCell ref="AE130:AK130"/>
    <mergeCell ref="AL141:AR141"/>
    <mergeCell ref="AZ134:BF134"/>
    <mergeCell ref="AS129:AY129"/>
    <mergeCell ref="AL129:AR129"/>
    <mergeCell ref="AL132:AR132"/>
    <mergeCell ref="AE131:AK131"/>
    <mergeCell ref="AE129:AK129"/>
    <mergeCell ref="AZ135:BF135"/>
    <mergeCell ref="AE134:AK134"/>
    <mergeCell ref="AS137:AY137"/>
    <mergeCell ref="AZ132:BF132"/>
    <mergeCell ref="AS134:AY134"/>
    <mergeCell ref="AZ136:BF136"/>
    <mergeCell ref="AS135:AY135"/>
    <mergeCell ref="AZ139:BF139"/>
    <mergeCell ref="AE136:AK136"/>
    <mergeCell ref="AL130:AR130"/>
    <mergeCell ref="N142:AD142"/>
    <mergeCell ref="AL136:AR136"/>
    <mergeCell ref="H127:M135"/>
    <mergeCell ref="N141:AD141"/>
    <mergeCell ref="AZ137:BF137"/>
    <mergeCell ref="AZ138:BF138"/>
    <mergeCell ref="AZ140:BF140"/>
    <mergeCell ref="AZ142:BF142"/>
    <mergeCell ref="AS136:AY136"/>
    <mergeCell ref="AS139:AY139"/>
    <mergeCell ref="AE140:AK140"/>
    <mergeCell ref="AE142:AK142"/>
    <mergeCell ref="AL142:AR142"/>
    <mergeCell ref="AE137:AK137"/>
    <mergeCell ref="AL137:AR137"/>
    <mergeCell ref="AL138:AR138"/>
    <mergeCell ref="AZ141:BF141"/>
    <mergeCell ref="AL139:AR139"/>
    <mergeCell ref="AS141:AY141"/>
    <mergeCell ref="AE139:AK139"/>
    <mergeCell ref="AS142:AY142"/>
    <mergeCell ref="AZ130:BF130"/>
    <mergeCell ref="AL133:AR133"/>
    <mergeCell ref="AZ127:BF127"/>
    <mergeCell ref="AS127:AY127"/>
    <mergeCell ref="AE133:AK133"/>
    <mergeCell ref="AS130:AY130"/>
    <mergeCell ref="AZ131:BF131"/>
    <mergeCell ref="AZ133:BF133"/>
    <mergeCell ref="AS131:AY131"/>
    <mergeCell ref="AS132:AY132"/>
    <mergeCell ref="AE132:AK132"/>
    <mergeCell ref="AZ128:BF128"/>
    <mergeCell ref="AZ129:BF129"/>
    <mergeCell ref="AS133:AY133"/>
    <mergeCell ref="AS128:AY128"/>
    <mergeCell ref="AL127:AR127"/>
    <mergeCell ref="A73:C73"/>
    <mergeCell ref="L88:BK88"/>
    <mergeCell ref="BC66:BH66"/>
    <mergeCell ref="AY65:BB65"/>
    <mergeCell ref="D72:BH72"/>
    <mergeCell ref="AY66:BB66"/>
    <mergeCell ref="N68:W68"/>
    <mergeCell ref="D71:BH71"/>
    <mergeCell ref="D68:M68"/>
    <mergeCell ref="BC65:BH65"/>
    <mergeCell ref="Z84:AC84"/>
    <mergeCell ref="AC66:AL66"/>
    <mergeCell ref="AC67:AL67"/>
    <mergeCell ref="AC65:AL65"/>
    <mergeCell ref="AR65:AX65"/>
    <mergeCell ref="A72:C72"/>
    <mergeCell ref="AY67:BB67"/>
    <mergeCell ref="AY68:BB68"/>
    <mergeCell ref="S67:W67"/>
    <mergeCell ref="L84:Y84"/>
    <mergeCell ref="AR66:AX66"/>
    <mergeCell ref="L83:AA83"/>
    <mergeCell ref="H87:L87"/>
    <mergeCell ref="D70:BH70"/>
    <mergeCell ref="AR55:AX55"/>
    <mergeCell ref="S59:W59"/>
    <mergeCell ref="BC56:BH56"/>
    <mergeCell ref="AY57:BB57"/>
    <mergeCell ref="AY54:BB54"/>
    <mergeCell ref="AY55:BB55"/>
    <mergeCell ref="AY59:BB59"/>
    <mergeCell ref="AY58:BB58"/>
    <mergeCell ref="N59:R59"/>
    <mergeCell ref="AC59:AL59"/>
    <mergeCell ref="BC54:BH55"/>
    <mergeCell ref="AR56:AX56"/>
    <mergeCell ref="AR57:AX57"/>
    <mergeCell ref="AY56:BB56"/>
    <mergeCell ref="BC57:BH57"/>
    <mergeCell ref="X107:AM107"/>
    <mergeCell ref="AT105:AY105"/>
    <mergeCell ref="L96:BK96"/>
    <mergeCell ref="D125:G126"/>
    <mergeCell ref="L103:AM103"/>
    <mergeCell ref="H125:M126"/>
    <mergeCell ref="AN110:AS110"/>
    <mergeCell ref="AN111:AS111"/>
    <mergeCell ref="X111:AM111"/>
    <mergeCell ref="AS126:AY126"/>
    <mergeCell ref="AN112:AS112"/>
    <mergeCell ref="X104:AM104"/>
    <mergeCell ref="AN107:AS107"/>
    <mergeCell ref="AE126:AK126"/>
    <mergeCell ref="AT108:AY108"/>
    <mergeCell ref="AN108:AS108"/>
    <mergeCell ref="AN109:AS109"/>
    <mergeCell ref="AT106:AY106"/>
    <mergeCell ref="AT104:AY104"/>
    <mergeCell ref="AE125:AR125"/>
    <mergeCell ref="X112:AM112"/>
    <mergeCell ref="Q104:W105"/>
    <mergeCell ref="X105:AM105"/>
    <mergeCell ref="L98:BK98"/>
    <mergeCell ref="L95:BK95"/>
    <mergeCell ref="X108:AM108"/>
    <mergeCell ref="AN104:AS104"/>
    <mergeCell ref="AL126:AR126"/>
    <mergeCell ref="X106:AM106"/>
    <mergeCell ref="AN105:AS105"/>
    <mergeCell ref="AT110:AY110"/>
    <mergeCell ref="X110:AM110"/>
    <mergeCell ref="L113:BK113"/>
    <mergeCell ref="AT107:AY107"/>
    <mergeCell ref="Q106:W108"/>
    <mergeCell ref="AN106:AS106"/>
    <mergeCell ref="AS125:BF125"/>
    <mergeCell ref="N125:AD126"/>
    <mergeCell ref="Q109:W112"/>
    <mergeCell ref="AT111:AY111"/>
    <mergeCell ref="L97:BK97"/>
    <mergeCell ref="AT103:AY103"/>
    <mergeCell ref="AN103:AS103"/>
    <mergeCell ref="L104:P112"/>
    <mergeCell ref="D100:R100"/>
    <mergeCell ref="X109:AM109"/>
    <mergeCell ref="AZ126:BF126"/>
    <mergeCell ref="AT112:AY112"/>
    <mergeCell ref="AY62:BB62"/>
    <mergeCell ref="L90:BK90"/>
    <mergeCell ref="D67:M67"/>
    <mergeCell ref="X58:AB68"/>
    <mergeCell ref="BC68:BH68"/>
    <mergeCell ref="S63:W63"/>
    <mergeCell ref="BC63:BH63"/>
    <mergeCell ref="N67:R67"/>
    <mergeCell ref="AC62:AL62"/>
    <mergeCell ref="AR64:AX64"/>
    <mergeCell ref="AC63:AL63"/>
    <mergeCell ref="AY64:BB64"/>
    <mergeCell ref="AR63:AX63"/>
    <mergeCell ref="BC62:BH62"/>
    <mergeCell ref="N60:W60"/>
    <mergeCell ref="BC59:BH59"/>
    <mergeCell ref="BC58:BH58"/>
    <mergeCell ref="AR58:AX58"/>
    <mergeCell ref="BC60:BH60"/>
    <mergeCell ref="N63:R63"/>
    <mergeCell ref="E12:BG13"/>
    <mergeCell ref="K19:BG19"/>
    <mergeCell ref="L27:BG27"/>
    <mergeCell ref="L30:BG30"/>
    <mergeCell ref="L29:BG29"/>
    <mergeCell ref="AR60:AX60"/>
    <mergeCell ref="D66:W66"/>
    <mergeCell ref="AR67:AX67"/>
    <mergeCell ref="D62:W62"/>
    <mergeCell ref="BC52:BH52"/>
    <mergeCell ref="AY52:BB52"/>
    <mergeCell ref="BC53:BH53"/>
    <mergeCell ref="BC67:BH67"/>
    <mergeCell ref="AC53:AL53"/>
    <mergeCell ref="D52:W53"/>
    <mergeCell ref="AC58:AL58"/>
    <mergeCell ref="AR53:AX53"/>
    <mergeCell ref="AY53:BB53"/>
    <mergeCell ref="AC57:AL57"/>
    <mergeCell ref="AR54:AX54"/>
    <mergeCell ref="AM52:AQ57"/>
    <mergeCell ref="AR52:AX52"/>
    <mergeCell ref="D58:W58"/>
    <mergeCell ref="X52:AB57"/>
    <mergeCell ref="E2:V2"/>
    <mergeCell ref="W2:BG5"/>
    <mergeCell ref="E3:V3"/>
    <mergeCell ref="W6:BG7"/>
    <mergeCell ref="W8:BG8"/>
    <mergeCell ref="E9:BF9"/>
    <mergeCell ref="E4:I4"/>
    <mergeCell ref="E5:I5"/>
    <mergeCell ref="E6:I6"/>
    <mergeCell ref="E7:I7"/>
    <mergeCell ref="E8:I8"/>
    <mergeCell ref="J4:V4"/>
    <mergeCell ref="J5:V5"/>
    <mergeCell ref="J6:V6"/>
    <mergeCell ref="J7:V7"/>
    <mergeCell ref="J8:V8"/>
    <mergeCell ref="E10:BG11"/>
    <mergeCell ref="K20:BG20"/>
    <mergeCell ref="K33:BG33"/>
    <mergeCell ref="L35:BG35"/>
    <mergeCell ref="K31:BG31"/>
    <mergeCell ref="L34:BG34"/>
    <mergeCell ref="D46:W47"/>
    <mergeCell ref="K37:BG37"/>
    <mergeCell ref="E14:BG15"/>
    <mergeCell ref="K21:BG21"/>
    <mergeCell ref="D43:U43"/>
    <mergeCell ref="K17:BG17"/>
    <mergeCell ref="K18:BG18"/>
    <mergeCell ref="X45:BH45"/>
    <mergeCell ref="K23:BG23"/>
    <mergeCell ref="K24:BG24"/>
    <mergeCell ref="K25:BG25"/>
    <mergeCell ref="K22:BG22"/>
    <mergeCell ref="L26:BG26"/>
    <mergeCell ref="AR46:AX46"/>
    <mergeCell ref="K32:BG32"/>
    <mergeCell ref="L28:BG28"/>
    <mergeCell ref="L36:BG36"/>
    <mergeCell ref="D45:W45"/>
    <mergeCell ref="D50:M51"/>
    <mergeCell ref="D48:M49"/>
    <mergeCell ref="N48:R49"/>
    <mergeCell ref="S48:W49"/>
    <mergeCell ref="AC48:AL49"/>
    <mergeCell ref="D54:M55"/>
    <mergeCell ref="D64:M64"/>
    <mergeCell ref="N64:W64"/>
    <mergeCell ref="D65:W65"/>
    <mergeCell ref="D59:M59"/>
    <mergeCell ref="N54:R55"/>
    <mergeCell ref="S54:W55"/>
    <mergeCell ref="AC54:AL55"/>
    <mergeCell ref="D60:M60"/>
    <mergeCell ref="D61:W61"/>
    <mergeCell ref="AC64:AL64"/>
    <mergeCell ref="AC61:AL61"/>
    <mergeCell ref="L102:AY102"/>
    <mergeCell ref="AT109:AY109"/>
    <mergeCell ref="BC61:BH61"/>
    <mergeCell ref="D73:BH73"/>
    <mergeCell ref="D63:M63"/>
    <mergeCell ref="D56:M57"/>
    <mergeCell ref="N56:W57"/>
    <mergeCell ref="AC56:AL56"/>
    <mergeCell ref="AC52:AL52"/>
    <mergeCell ref="AC60:AL60"/>
    <mergeCell ref="AM58:AQ68"/>
    <mergeCell ref="AY60:BB60"/>
    <mergeCell ref="AR61:AX61"/>
    <mergeCell ref="AR59:AX59"/>
    <mergeCell ref="AY61:BB61"/>
    <mergeCell ref="AB83:AE83"/>
    <mergeCell ref="D69:BH69"/>
    <mergeCell ref="BC64:BH64"/>
    <mergeCell ref="AR68:AX68"/>
    <mergeCell ref="AY63:BB63"/>
    <mergeCell ref="AC68:AL68"/>
    <mergeCell ref="L91:BK91"/>
    <mergeCell ref="L89:BK89"/>
    <mergeCell ref="AR62:AX62"/>
    <mergeCell ref="BC46:BH47"/>
    <mergeCell ref="BC48:BH49"/>
    <mergeCell ref="BC50:BH51"/>
    <mergeCell ref="N50:W51"/>
    <mergeCell ref="AC50:AL51"/>
    <mergeCell ref="AR50:AX50"/>
    <mergeCell ref="AR51:AX51"/>
    <mergeCell ref="AY51:BB51"/>
    <mergeCell ref="AY46:BB46"/>
    <mergeCell ref="AM46:AQ51"/>
    <mergeCell ref="AR48:AX48"/>
    <mergeCell ref="AY48:BB48"/>
    <mergeCell ref="AR47:AX47"/>
    <mergeCell ref="AY47:BB47"/>
    <mergeCell ref="X46:AB51"/>
    <mergeCell ref="AC46:AL47"/>
    <mergeCell ref="AY50:BB50"/>
    <mergeCell ref="AR49:AX49"/>
    <mergeCell ref="AY49:BB49"/>
    <mergeCell ref="AF151:AM151"/>
    <mergeCell ref="D149:BH149"/>
    <mergeCell ref="G145:K145"/>
    <mergeCell ref="X153:AE153"/>
    <mergeCell ref="AN152:AU152"/>
    <mergeCell ref="G151:W151"/>
    <mergeCell ref="L152:W152"/>
    <mergeCell ref="AN151:AU151"/>
    <mergeCell ref="X151:AE151"/>
    <mergeCell ref="W145:AA145"/>
    <mergeCell ref="X152:AE152"/>
    <mergeCell ref="AV153:BC153"/>
    <mergeCell ref="AV151:BC151"/>
    <mergeCell ref="AQ145:AU145"/>
    <mergeCell ref="AR187:AW187"/>
    <mergeCell ref="D184:BH184"/>
    <mergeCell ref="T188:AD188"/>
    <mergeCell ref="AR189:AW189"/>
    <mergeCell ref="AQ176:AW176"/>
    <mergeCell ref="AN176:AP176"/>
    <mergeCell ref="AF176:AI176"/>
    <mergeCell ref="AJ176:AM176"/>
    <mergeCell ref="X176:AE176"/>
    <mergeCell ref="M176:O176"/>
    <mergeCell ref="P176:W176"/>
    <mergeCell ref="D183:P183"/>
    <mergeCell ref="C175:F176"/>
    <mergeCell ref="G175:L176"/>
    <mergeCell ref="M175:AI175"/>
    <mergeCell ref="T189:AD189"/>
    <mergeCell ref="AH189:AQ189"/>
    <mergeCell ref="N188:S188"/>
    <mergeCell ref="N189:S189"/>
    <mergeCell ref="D189:M189"/>
    <mergeCell ref="D188:M188"/>
    <mergeCell ref="N194:S194"/>
    <mergeCell ref="T194:AD194"/>
    <mergeCell ref="AH192:AQ192"/>
    <mergeCell ref="AR192:AW192"/>
    <mergeCell ref="T192:AD192"/>
    <mergeCell ref="D193:M193"/>
    <mergeCell ref="D192:M192"/>
    <mergeCell ref="D190:M190"/>
    <mergeCell ref="AH190:AQ190"/>
    <mergeCell ref="D194:M194"/>
    <mergeCell ref="AH194:AQ194"/>
    <mergeCell ref="AR194:AW194"/>
    <mergeCell ref="AH193:AQ193"/>
    <mergeCell ref="AR193:AW193"/>
    <mergeCell ref="AR191:AW191"/>
    <mergeCell ref="D191:M191"/>
    <mergeCell ref="AR190:AW190"/>
    <mergeCell ref="N192:S192"/>
    <mergeCell ref="N191:S191"/>
    <mergeCell ref="AH191:AQ191"/>
    <mergeCell ref="N190:S190"/>
    <mergeCell ref="D200:BH200"/>
    <mergeCell ref="D198:BH198"/>
    <mergeCell ref="T190:AD190"/>
    <mergeCell ref="T191:AD191"/>
    <mergeCell ref="N193:S193"/>
    <mergeCell ref="T193:AD193"/>
    <mergeCell ref="D186:M187"/>
    <mergeCell ref="N186:AD186"/>
    <mergeCell ref="AH186:AQ187"/>
    <mergeCell ref="AR186:BH186"/>
    <mergeCell ref="N187:S187"/>
    <mergeCell ref="T187:AD187"/>
    <mergeCell ref="AX187:BH187"/>
    <mergeCell ref="AH188:AQ188"/>
    <mergeCell ref="AR188:AW188"/>
    <mergeCell ref="D196:M196"/>
    <mergeCell ref="D199:BH199"/>
    <mergeCell ref="AX194:BH194"/>
    <mergeCell ref="AX188:BH188"/>
    <mergeCell ref="AX193:BH193"/>
    <mergeCell ref="AX192:BH192"/>
    <mergeCell ref="AX191:BH191"/>
    <mergeCell ref="AX190:BH190"/>
    <mergeCell ref="AX189:BH189"/>
    <mergeCell ref="L154:W154"/>
    <mergeCell ref="AN156:AU156"/>
    <mergeCell ref="AJ175:BI175"/>
    <mergeCell ref="D160:BK160"/>
    <mergeCell ref="AF163:AI163"/>
    <mergeCell ref="G152:K154"/>
    <mergeCell ref="AF152:AM152"/>
    <mergeCell ref="AN153:AU153"/>
    <mergeCell ref="L153:W153"/>
    <mergeCell ref="AN154:AU154"/>
    <mergeCell ref="L157:W157"/>
    <mergeCell ref="X157:AE157"/>
    <mergeCell ref="L156:W156"/>
    <mergeCell ref="G162:L163"/>
    <mergeCell ref="M162:AI162"/>
    <mergeCell ref="M167:BI167"/>
    <mergeCell ref="AV155:BC155"/>
    <mergeCell ref="G155:K157"/>
    <mergeCell ref="AN157:AU157"/>
    <mergeCell ref="BE163:BI163"/>
    <mergeCell ref="AF157:AM157"/>
    <mergeCell ref="AN164:AP164"/>
    <mergeCell ref="AQ164:AW164"/>
    <mergeCell ref="AX164:BD164"/>
    <mergeCell ref="C177:F180"/>
    <mergeCell ref="AQ165:AW165"/>
    <mergeCell ref="AX165:BD165"/>
    <mergeCell ref="BE165:BI165"/>
    <mergeCell ref="G168:BI168"/>
    <mergeCell ref="AX176:BD176"/>
    <mergeCell ref="BE176:BI176"/>
    <mergeCell ref="G177:L178"/>
    <mergeCell ref="M177:O177"/>
    <mergeCell ref="P177:W177"/>
    <mergeCell ref="X177:AE177"/>
    <mergeCell ref="AF177:AI177"/>
    <mergeCell ref="AJ177:AM177"/>
    <mergeCell ref="AN177:AP177"/>
    <mergeCell ref="AQ177:AW177"/>
    <mergeCell ref="AX177:BD177"/>
    <mergeCell ref="BE177:BI177"/>
    <mergeCell ref="M178:BI178"/>
    <mergeCell ref="AX179:BD179"/>
    <mergeCell ref="BE179:BI179"/>
    <mergeCell ref="AJ166:AM166"/>
    <mergeCell ref="AN166:AP166"/>
    <mergeCell ref="C174:BG174"/>
    <mergeCell ref="D173:BK173"/>
    <mergeCell ref="G179:L180"/>
    <mergeCell ref="M179:O179"/>
    <mergeCell ref="P179:W179"/>
    <mergeCell ref="X179:AE179"/>
    <mergeCell ref="AF179:AI179"/>
    <mergeCell ref="AJ179:AM179"/>
    <mergeCell ref="AN179:AP179"/>
    <mergeCell ref="AQ179:AW179"/>
    <mergeCell ref="M180:BI180"/>
    <mergeCell ref="C164:F170"/>
    <mergeCell ref="G169:L170"/>
    <mergeCell ref="M169:O169"/>
    <mergeCell ref="P169:W169"/>
    <mergeCell ref="X169:AE169"/>
    <mergeCell ref="AF169:AI169"/>
    <mergeCell ref="AJ169:AM169"/>
    <mergeCell ref="AN169:AP169"/>
    <mergeCell ref="AQ169:AW169"/>
    <mergeCell ref="AQ166:AW166"/>
    <mergeCell ref="AF164:AI166"/>
    <mergeCell ref="P164:AE166"/>
    <mergeCell ref="M164:O166"/>
    <mergeCell ref="AJ165:AM165"/>
    <mergeCell ref="AN165:AP165"/>
    <mergeCell ref="L92:BK92"/>
    <mergeCell ref="BE169:BI169"/>
    <mergeCell ref="M170:BI170"/>
    <mergeCell ref="AX169:BD169"/>
    <mergeCell ref="AX166:BD166"/>
    <mergeCell ref="BE166:BI166"/>
    <mergeCell ref="AV156:BC156"/>
    <mergeCell ref="X154:AE154"/>
    <mergeCell ref="AF154:AM154"/>
    <mergeCell ref="X156:AE156"/>
    <mergeCell ref="AF156:AM156"/>
  </mergeCells>
  <conditionalFormatting sqref="AY46:BB50 AY54:BB54 AY56:BB57 AY59:BB59 AY61:BB62 AY64:BB64 AY66:BB66">
    <cfRule type="cellIs" dxfId="34" priority="931" operator="notEqual">
      <formula>2</formula>
    </cfRule>
  </conditionalFormatting>
  <conditionalFormatting sqref="AY51:BB51">
    <cfRule type="cellIs" dxfId="33" priority="930" operator="notEqual">
      <formula>3</formula>
    </cfRule>
  </conditionalFormatting>
  <conditionalFormatting sqref="AY52:BB52 AY55:BB55">
    <cfRule type="cellIs" dxfId="32" priority="929" operator="notEqual">
      <formula>1</formula>
    </cfRule>
  </conditionalFormatting>
  <conditionalFormatting sqref="AY53:BB53 AY58:BB58">
    <cfRule type="cellIs" dxfId="31" priority="928" operator="notEqual">
      <formula>6</formula>
    </cfRule>
  </conditionalFormatting>
  <conditionalFormatting sqref="AY60:BB60 AY65:BB65 AY63:BB63 AY67:BB68">
    <cfRule type="cellIs" dxfId="30" priority="927" operator="notEqual">
      <formula>4</formula>
    </cfRule>
  </conditionalFormatting>
  <conditionalFormatting sqref="D205:D208 AH186 AH188:AH194 AF196:AF199 D184:D186 D188:D200 D148:D149 H82 L83:L85 H86:H99">
    <cfRule type="cellIs" dxfId="29" priority="923" operator="equal">
      <formula>"50HzT"</formula>
    </cfRule>
    <cfRule type="cellIs" dxfId="28" priority="924" operator="equal">
      <formula>"TERNA"</formula>
    </cfRule>
    <cfRule type="cellIs" dxfId="27" priority="925" operator="equal">
      <formula>"RTE"</formula>
    </cfRule>
    <cfRule type="cellIs" dxfId="26" priority="926" operator="equal">
      <formula>"ELIA"</formula>
    </cfRule>
  </conditionalFormatting>
  <conditionalFormatting sqref="AG196:AG199 E196:E199 L152:L158 L113 L95:L99 L88:L92">
    <cfRule type="cellIs" dxfId="25" priority="919" operator="equal">
      <formula>"Transformer"</formula>
    </cfRule>
    <cfRule type="cellIs" dxfId="24" priority="920" operator="equal">
      <formula>"Fossil.Gen"</formula>
    </cfRule>
    <cfRule type="cellIs" dxfId="23" priority="921" operator="equal">
      <formula>"Hydro.Gen"</formula>
    </cfRule>
    <cfRule type="cellIs" dxfId="22" priority="922" operator="equal">
      <formula>"Nuc.Gen"</formula>
    </cfRule>
  </conditionalFormatting>
  <conditionalFormatting sqref="AL127:AL142 AZ127:AZ142">
    <cfRule type="cellIs" dxfId="21" priority="914" operator="greaterThan">
      <formula>75</formula>
    </cfRule>
    <cfRule type="cellIs" dxfId="20" priority="915" operator="between">
      <formula>50</formula>
      <formula>75</formula>
    </cfRule>
    <cfRule type="cellIs" dxfId="19" priority="916" operator="lessThan">
      <formula>50</formula>
    </cfRule>
  </conditionalFormatting>
  <conditionalFormatting sqref="AL127:AL142 AZ127:AZ142">
    <cfRule type="cellIs" dxfId="18" priority="894" operator="greaterThan">
      <formula>75</formula>
    </cfRule>
    <cfRule type="cellIs" dxfId="17" priority="895" operator="between">
      <formula>50</formula>
      <formula>75</formula>
    </cfRule>
    <cfRule type="cellIs" priority="896" operator="lessThan">
      <formula>50</formula>
    </cfRule>
  </conditionalFormatting>
  <conditionalFormatting sqref="AF151">
    <cfRule type="timePeriod" dxfId="16" priority="828" timePeriod="tomorrow">
      <formula>FLOOR(AF151,1)=TODAY()+1</formula>
    </cfRule>
  </conditionalFormatting>
  <conditionalFormatting sqref="AN151">
    <cfRule type="timePeriod" dxfId="15" priority="827" timePeriod="tomorrow">
      <formula>FLOOR(AN151,1)=TODAY()+1</formula>
    </cfRule>
  </conditionalFormatting>
  <conditionalFormatting sqref="AN104:AY104">
    <cfRule type="uniqueValues" dxfId="14" priority="1044"/>
  </conditionalFormatting>
  <conditionalFormatting sqref="AN105:AY105">
    <cfRule type="uniqueValues" dxfId="13" priority="1046"/>
  </conditionalFormatting>
  <conditionalFormatting sqref="AN106:AY106">
    <cfRule type="uniqueValues" dxfId="12" priority="1048"/>
  </conditionalFormatting>
  <conditionalFormatting sqref="AN108:AY108">
    <cfRule type="uniqueValues" dxfId="11" priority="1050"/>
  </conditionalFormatting>
  <conditionalFormatting sqref="AN109:AY109">
    <cfRule type="uniqueValues" dxfId="10" priority="1056"/>
  </conditionalFormatting>
  <conditionalFormatting sqref="AN110:AY110">
    <cfRule type="uniqueValues" dxfId="9" priority="1058"/>
  </conditionalFormatting>
  <conditionalFormatting sqref="AN111:AY111">
    <cfRule type="uniqueValues" dxfId="8" priority="1060"/>
  </conditionalFormatting>
  <conditionalFormatting sqref="AN112:AY112">
    <cfRule type="uniqueValues" dxfId="7" priority="1062"/>
  </conditionalFormatting>
  <conditionalFormatting sqref="AN107:AY107">
    <cfRule type="uniqueValues" dxfId="6" priority="1064"/>
  </conditionalFormatting>
  <conditionalFormatting sqref="N64:W64 N68:W68">
    <cfRule type="cellIs" dxfId="5" priority="7" operator="equal">
      <formula>"Insufficient"</formula>
    </cfRule>
    <cfRule type="cellIs" dxfId="4" priority="8" operator="equal">
      <formula>"Tight"</formula>
    </cfRule>
    <cfRule type="cellIs" dxfId="3" priority="9" operator="equal">
      <formula>"Sufficient"</formula>
    </cfRule>
  </conditionalFormatting>
  <conditionalFormatting sqref="N68:W68">
    <cfRule type="cellIs" dxfId="2" priority="4" operator="equal">
      <formula>"Red"</formula>
    </cfRule>
    <cfRule type="cellIs" dxfId="1" priority="5" operator="equal">
      <formula>"Orange"</formula>
    </cfRule>
    <cfRule type="cellIs" dxfId="0" priority="6" operator="equal">
      <formula>"Green"</formula>
    </cfRule>
  </conditionalFormatting>
  <dataValidations count="1">
    <dataValidation type="list" allowBlank="1" showInputMessage="1" showErrorMessage="1" sqref="N64:W64 N68:W68">
      <formula1>"Sufficient,Tight,Insufficient"</formula1>
    </dataValidation>
  </dataValidations>
  <pageMargins left="0.21875" right="0.22916666666666666" top="1.1354166666666667" bottom="0.75" header="0.3" footer="0.3"/>
  <pageSetup orientation="portrait" r:id="rId1"/>
  <headerFooter>
    <oddHeader>&amp;L&amp;G</oddHeader>
    <oddFooter>&amp;R&amp;"-,Italic"&amp;P&amp;L&amp;"Calibri,Bold"&amp;11Day-ahead report 19/01/2018</oddFooter>
  </headerFooter>
  <legacyDrawing r:id="rId2"/>
  <legacyDrawingHF r:id="rId3"/>
</worksheet>
</file>

<file path=xl/worksheets/sheet3.xml><?xml version="1.0" encoding="utf-8"?>
<worksheet xmlns="http://schemas.openxmlformats.org/spreadsheetml/2006/main" xmlns:r="http://schemas.openxmlformats.org/officeDocument/2006/relationships">
  <sheetPr codeName="Sheet9">
    <tabColor rgb="FFFFFF00"/>
  </sheetPr>
  <dimension ref="A1:L35"/>
  <sheetViews>
    <sheetView showGridLines="0" view="pageLayout" workbookViewId="0">
      <selection activeCell="H36" sqref="H36"/>
    </sheetView>
  </sheetViews>
  <sheetFormatPr defaultColWidth="9.140625" defaultRowHeight="15"/>
  <cols>
    <col min="1" max="1" width="21.140625" style="9" customWidth="1"/>
    <col min="2" max="4" width="6.85546875" style="8" customWidth="1"/>
    <col min="5" max="5" width="5.5703125" style="9" customWidth="1"/>
    <col min="6" max="6" width="21.140625" style="9" customWidth="1"/>
    <col min="7" max="9" width="7.140625" style="8" customWidth="1"/>
    <col min="10" max="16384" width="9.140625" style="9"/>
  </cols>
  <sheetData>
    <row r="1" spans="1:12" ht="15.75" thickBot="1"/>
    <row r="2" spans="1:12" s="8" customFormat="1" ht="21.75" customHeight="1" thickBot="1">
      <c r="A2" s="684" t="s">
        <v>90</v>
      </c>
      <c r="B2" s="685"/>
      <c r="C2" s="685"/>
      <c r="D2" s="686"/>
      <c r="E2" s="7"/>
      <c r="F2" s="684" t="s">
        <v>91</v>
      </c>
      <c r="G2" s="687"/>
      <c r="H2" s="687"/>
      <c r="I2" s="688"/>
    </row>
    <row r="3" spans="1:12">
      <c r="A3" s="186" t="s">
        <v>354</v>
      </c>
      <c r="B3" s="186" t="s">
        <v>35</v>
      </c>
      <c r="C3" s="186" t="s">
        <v>36</v>
      </c>
      <c r="D3" s="186" t="s">
        <v>37</v>
      </c>
      <c r="E3" s="39"/>
      <c r="F3" s="178" t="s">
        <v>354</v>
      </c>
      <c r="G3" s="178" t="s">
        <v>35</v>
      </c>
      <c r="H3" s="178" t="s">
        <v>36</v>
      </c>
      <c r="I3" s="178" t="s">
        <v>37</v>
      </c>
      <c r="J3" s="9" t="s">
        <v>490</v>
      </c>
    </row>
    <row r="4" spans="1:12">
      <c r="A4" s="186" t="s">
        <v>429</v>
      </c>
      <c r="B4" s="186">
        <v>1012</v>
      </c>
      <c r="C4" s="186">
        <v>54</v>
      </c>
      <c r="D4" s="186">
        <v>2700</v>
      </c>
      <c r="E4" s="177"/>
      <c r="F4" s="178" t="s">
        <v>429</v>
      </c>
      <c r="G4" s="178">
        <v>884</v>
      </c>
      <c r="H4" s="178">
        <v>47</v>
      </c>
      <c r="I4" s="178">
        <v>2700</v>
      </c>
    </row>
    <row r="5" spans="1:12">
      <c r="A5" s="186" t="s">
        <v>430</v>
      </c>
      <c r="B5" s="186">
        <v>192</v>
      </c>
      <c r="C5" s="186">
        <v>50</v>
      </c>
      <c r="D5" s="186">
        <v>960</v>
      </c>
      <c r="E5" s="177"/>
      <c r="F5" s="178" t="s">
        <v>430</v>
      </c>
      <c r="G5" s="178">
        <v>187</v>
      </c>
      <c r="H5" s="178">
        <v>49</v>
      </c>
      <c r="I5" s="178">
        <v>960</v>
      </c>
    </row>
    <row r="6" spans="1:12">
      <c r="A6" s="186" t="s">
        <v>431</v>
      </c>
      <c r="B6" s="186">
        <v>144</v>
      </c>
      <c r="C6" s="186">
        <v>47</v>
      </c>
      <c r="D6" s="186">
        <v>750</v>
      </c>
      <c r="E6" s="177"/>
      <c r="F6" s="178" t="s">
        <v>431</v>
      </c>
      <c r="G6" s="178">
        <v>132</v>
      </c>
      <c r="H6" s="178">
        <v>43</v>
      </c>
      <c r="I6" s="178">
        <v>750</v>
      </c>
    </row>
    <row r="7" spans="1:12">
      <c r="A7" s="186" t="s">
        <v>432</v>
      </c>
      <c r="B7" s="186">
        <v>980</v>
      </c>
      <c r="C7" s="186">
        <v>62</v>
      </c>
      <c r="D7" s="186">
        <v>2270</v>
      </c>
      <c r="E7" s="177"/>
      <c r="F7" s="178" t="s">
        <v>432</v>
      </c>
      <c r="G7" s="178">
        <v>995</v>
      </c>
      <c r="H7" s="178">
        <v>63</v>
      </c>
      <c r="I7" s="178">
        <v>2270</v>
      </c>
      <c r="J7" s="101"/>
    </row>
    <row r="8" spans="1:12">
      <c r="A8" s="186" t="s">
        <v>433</v>
      </c>
      <c r="B8" s="186">
        <v>163</v>
      </c>
      <c r="C8" s="186">
        <v>30</v>
      </c>
      <c r="D8" s="186">
        <v>855</v>
      </c>
      <c r="E8" s="177"/>
      <c r="F8" s="178" t="s">
        <v>433</v>
      </c>
      <c r="G8" s="178">
        <v>212</v>
      </c>
      <c r="H8" s="178">
        <v>38</v>
      </c>
      <c r="I8" s="178">
        <v>855</v>
      </c>
      <c r="L8" s="102"/>
    </row>
    <row r="9" spans="1:12">
      <c r="A9" s="186" t="s">
        <v>434</v>
      </c>
      <c r="B9" s="186">
        <v>66</v>
      </c>
      <c r="C9" s="186">
        <v>17</v>
      </c>
      <c r="D9" s="186">
        <v>1010</v>
      </c>
      <c r="E9" s="177"/>
      <c r="F9" s="178" t="s">
        <v>434</v>
      </c>
      <c r="G9" s="178">
        <v>72</v>
      </c>
      <c r="H9" s="178">
        <v>18</v>
      </c>
      <c r="I9" s="178">
        <v>1010</v>
      </c>
      <c r="K9" s="9" t="s">
        <v>193</v>
      </c>
      <c r="L9" s="102" t="s">
        <v>194</v>
      </c>
    </row>
    <row r="10" spans="1:12">
      <c r="A10" s="186" t="s">
        <v>435</v>
      </c>
      <c r="B10" s="186">
        <v>79</v>
      </c>
      <c r="C10" s="186">
        <v>20</v>
      </c>
      <c r="D10" s="186">
        <v>1010</v>
      </c>
      <c r="E10" s="177"/>
      <c r="F10" s="178" t="s">
        <v>435</v>
      </c>
      <c r="G10" s="178">
        <v>87</v>
      </c>
      <c r="H10" s="178">
        <v>22</v>
      </c>
      <c r="I10" s="178">
        <v>1010</v>
      </c>
    </row>
    <row r="11" spans="1:12">
      <c r="A11" s="186" t="s">
        <v>436</v>
      </c>
      <c r="B11" s="186">
        <v>1032</v>
      </c>
      <c r="C11" s="186">
        <v>60</v>
      </c>
      <c r="D11" s="186">
        <v>2530</v>
      </c>
      <c r="E11" s="177"/>
      <c r="F11" s="178" t="s">
        <v>436</v>
      </c>
      <c r="G11" s="178">
        <v>1065</v>
      </c>
      <c r="H11" s="178">
        <v>62</v>
      </c>
      <c r="I11" s="178">
        <v>2530</v>
      </c>
    </row>
    <row r="12" spans="1:12">
      <c r="A12" s="186" t="s">
        <v>437</v>
      </c>
      <c r="B12" s="186">
        <v>1139</v>
      </c>
      <c r="C12" s="186">
        <v>66</v>
      </c>
      <c r="D12" s="186">
        <v>2530</v>
      </c>
      <c r="E12" s="177"/>
      <c r="F12" s="178" t="s">
        <v>437</v>
      </c>
      <c r="G12" s="178">
        <v>1170</v>
      </c>
      <c r="H12" s="178">
        <v>68</v>
      </c>
      <c r="I12" s="178">
        <v>2530</v>
      </c>
    </row>
    <row r="13" spans="1:12">
      <c r="A13" s="186" t="s">
        <v>438</v>
      </c>
      <c r="B13" s="186" t="s">
        <v>492</v>
      </c>
      <c r="C13" s="186" t="s">
        <v>492</v>
      </c>
      <c r="D13" s="186">
        <v>900</v>
      </c>
      <c r="E13" s="177"/>
      <c r="F13" s="178" t="s">
        <v>438</v>
      </c>
      <c r="G13" s="178" t="s">
        <v>492</v>
      </c>
      <c r="H13" s="178" t="s">
        <v>492</v>
      </c>
      <c r="I13" s="178">
        <v>900</v>
      </c>
    </row>
    <row r="14" spans="1:12">
      <c r="A14" s="186" t="s">
        <v>439</v>
      </c>
      <c r="B14" s="186">
        <v>110</v>
      </c>
      <c r="C14" s="186">
        <v>7</v>
      </c>
      <c r="D14" s="186">
        <v>2300</v>
      </c>
      <c r="E14" s="177"/>
      <c r="F14" s="178" t="s">
        <v>439</v>
      </c>
      <c r="G14" s="178">
        <v>100</v>
      </c>
      <c r="H14" s="178">
        <v>6</v>
      </c>
      <c r="I14" s="178">
        <v>2300</v>
      </c>
    </row>
    <row r="15" spans="1:12">
      <c r="A15" s="186" t="s">
        <v>440</v>
      </c>
      <c r="B15" s="186" t="s">
        <v>492</v>
      </c>
      <c r="C15" s="186" t="s">
        <v>492</v>
      </c>
      <c r="D15" s="186">
        <v>900</v>
      </c>
      <c r="E15" s="177"/>
      <c r="F15" s="178" t="s">
        <v>440</v>
      </c>
      <c r="G15" s="178" t="s">
        <v>492</v>
      </c>
      <c r="H15" s="178" t="s">
        <v>492</v>
      </c>
      <c r="I15" s="178">
        <v>900</v>
      </c>
    </row>
    <row r="16" spans="1:12">
      <c r="A16" s="186" t="s">
        <v>441</v>
      </c>
      <c r="B16" s="186" t="s">
        <v>492</v>
      </c>
      <c r="C16" s="186" t="s">
        <v>492</v>
      </c>
      <c r="D16" s="186">
        <v>900</v>
      </c>
      <c r="E16" s="177"/>
      <c r="F16" s="178" t="s">
        <v>441</v>
      </c>
      <c r="G16" s="178" t="s">
        <v>492</v>
      </c>
      <c r="H16" s="178" t="s">
        <v>492</v>
      </c>
      <c r="I16" s="178">
        <v>900</v>
      </c>
    </row>
    <row r="17" spans="1:9">
      <c r="A17" s="186" t="s">
        <v>442</v>
      </c>
      <c r="B17" s="186">
        <v>-595</v>
      </c>
      <c r="C17" s="186">
        <v>37</v>
      </c>
      <c r="D17" s="186">
        <v>2370</v>
      </c>
      <c r="E17" s="177"/>
      <c r="F17" s="178" t="s">
        <v>442</v>
      </c>
      <c r="G17" s="178">
        <v>-611</v>
      </c>
      <c r="H17" s="178">
        <v>38</v>
      </c>
      <c r="I17" s="178">
        <v>2370</v>
      </c>
    </row>
    <row r="18" spans="1:9">
      <c r="A18" s="186" t="s">
        <v>443</v>
      </c>
      <c r="B18" s="186">
        <v>595</v>
      </c>
      <c r="C18" s="186">
        <v>37</v>
      </c>
      <c r="D18" s="186">
        <v>2370</v>
      </c>
      <c r="E18" s="177"/>
      <c r="F18" s="178" t="s">
        <v>443</v>
      </c>
      <c r="G18" s="178">
        <v>611</v>
      </c>
      <c r="H18" s="178">
        <v>38</v>
      </c>
      <c r="I18" s="178">
        <v>2370</v>
      </c>
    </row>
    <row r="19" spans="1:9">
      <c r="A19" s="186" t="s">
        <v>444</v>
      </c>
      <c r="B19" s="186">
        <v>-612</v>
      </c>
      <c r="C19" s="186">
        <v>38</v>
      </c>
      <c r="D19" s="186">
        <v>2370</v>
      </c>
      <c r="E19" s="177"/>
      <c r="F19" s="178" t="s">
        <v>444</v>
      </c>
      <c r="G19" s="178">
        <v>-630</v>
      </c>
      <c r="H19" s="178">
        <v>39</v>
      </c>
      <c r="I19" s="178">
        <v>2370</v>
      </c>
    </row>
    <row r="20" spans="1:9">
      <c r="A20" s="186" t="s">
        <v>445</v>
      </c>
      <c r="B20" s="186">
        <v>612</v>
      </c>
      <c r="C20" s="186">
        <v>38</v>
      </c>
      <c r="D20" s="186">
        <v>2370</v>
      </c>
      <c r="E20" s="177"/>
      <c r="F20" s="178" t="s">
        <v>445</v>
      </c>
      <c r="G20" s="178">
        <v>630</v>
      </c>
      <c r="H20" s="178">
        <v>39</v>
      </c>
      <c r="I20" s="178">
        <v>2370</v>
      </c>
    </row>
    <row r="21" spans="1:9">
      <c r="A21" s="186" t="s">
        <v>446</v>
      </c>
      <c r="B21" s="186">
        <v>-204</v>
      </c>
      <c r="C21" s="186">
        <v>44</v>
      </c>
      <c r="D21" s="186">
        <v>1165</v>
      </c>
      <c r="E21" s="177"/>
      <c r="F21" s="178" t="s">
        <v>446</v>
      </c>
      <c r="G21" s="178">
        <v>-161</v>
      </c>
      <c r="H21" s="178">
        <v>34</v>
      </c>
      <c r="I21" s="178">
        <v>1165</v>
      </c>
    </row>
    <row r="22" spans="1:9">
      <c r="A22" s="186" t="s">
        <v>447</v>
      </c>
      <c r="B22" s="186">
        <v>204</v>
      </c>
      <c r="C22" s="186">
        <v>44</v>
      </c>
      <c r="D22" s="186">
        <v>1165</v>
      </c>
      <c r="E22" s="177"/>
      <c r="F22" s="178" t="s">
        <v>447</v>
      </c>
      <c r="G22" s="178">
        <v>161</v>
      </c>
      <c r="H22" s="178">
        <v>34</v>
      </c>
      <c r="I22" s="178">
        <v>1165</v>
      </c>
    </row>
    <row r="23" spans="1:9">
      <c r="A23" s="186" t="s">
        <v>448</v>
      </c>
      <c r="B23" s="186">
        <v>980</v>
      </c>
      <c r="C23" s="186">
        <v>62</v>
      </c>
      <c r="D23" s="186">
        <v>2270</v>
      </c>
      <c r="E23" s="177"/>
      <c r="F23" s="178" t="s">
        <v>448</v>
      </c>
      <c r="G23" s="178">
        <v>995</v>
      </c>
      <c r="H23" s="178">
        <v>63</v>
      </c>
      <c r="I23" s="178">
        <v>2270</v>
      </c>
    </row>
    <row r="24" spans="1:9">
      <c r="A24" s="186" t="s">
        <v>449</v>
      </c>
      <c r="B24" s="186">
        <v>144</v>
      </c>
      <c r="C24" s="186">
        <v>50</v>
      </c>
      <c r="D24" s="186">
        <v>704</v>
      </c>
      <c r="E24" s="177"/>
      <c r="F24" s="178" t="s">
        <v>449</v>
      </c>
      <c r="G24" s="178">
        <v>132</v>
      </c>
      <c r="H24" s="178">
        <v>46</v>
      </c>
      <c r="I24" s="178">
        <v>704</v>
      </c>
    </row>
    <row r="25" spans="1:9">
      <c r="A25" s="186" t="s">
        <v>450</v>
      </c>
      <c r="B25" s="186">
        <v>163</v>
      </c>
      <c r="C25" s="186">
        <v>30</v>
      </c>
      <c r="D25" s="186">
        <v>855</v>
      </c>
      <c r="E25" s="177"/>
      <c r="F25" s="178" t="s">
        <v>450</v>
      </c>
      <c r="G25" s="178">
        <v>212</v>
      </c>
      <c r="H25" s="178">
        <v>38</v>
      </c>
      <c r="I25" s="178">
        <v>855</v>
      </c>
    </row>
    <row r="26" spans="1:9">
      <c r="A26" s="186" t="s">
        <v>451</v>
      </c>
      <c r="B26" s="186">
        <v>192</v>
      </c>
      <c r="C26" s="186">
        <v>50</v>
      </c>
      <c r="D26" s="186">
        <v>960</v>
      </c>
      <c r="E26" s="177"/>
      <c r="F26" s="178" t="s">
        <v>451</v>
      </c>
      <c r="G26" s="178">
        <v>187</v>
      </c>
      <c r="H26" s="178">
        <v>49</v>
      </c>
      <c r="I26" s="178">
        <v>960</v>
      </c>
    </row>
    <row r="27" spans="1:9">
      <c r="A27" s="186" t="s">
        <v>452</v>
      </c>
      <c r="B27" s="186">
        <v>1012</v>
      </c>
      <c r="C27" s="186">
        <v>60</v>
      </c>
      <c r="D27" s="186">
        <v>2450</v>
      </c>
      <c r="E27" s="177"/>
      <c r="F27" s="178" t="s">
        <v>452</v>
      </c>
      <c r="G27" s="178">
        <v>884</v>
      </c>
      <c r="H27" s="178">
        <v>52</v>
      </c>
      <c r="I27" s="178">
        <v>2450</v>
      </c>
    </row>
    <row r="28" spans="1:9">
      <c r="A28" s="186" t="s">
        <v>453</v>
      </c>
      <c r="B28" s="186">
        <v>66</v>
      </c>
      <c r="C28" s="186">
        <v>17</v>
      </c>
      <c r="D28" s="186">
        <v>1010</v>
      </c>
      <c r="E28" s="177"/>
      <c r="F28" s="178" t="s">
        <v>453</v>
      </c>
      <c r="G28" s="178">
        <v>72</v>
      </c>
      <c r="H28" s="178">
        <v>18</v>
      </c>
      <c r="I28" s="178">
        <v>1010</v>
      </c>
    </row>
    <row r="29" spans="1:9">
      <c r="A29" s="186" t="s">
        <v>454</v>
      </c>
      <c r="B29" s="186">
        <v>79</v>
      </c>
      <c r="C29" s="186">
        <v>20</v>
      </c>
      <c r="D29" s="186">
        <v>1010</v>
      </c>
      <c r="E29" s="177"/>
      <c r="F29" s="178" t="s">
        <v>454</v>
      </c>
      <c r="G29" s="178">
        <v>87</v>
      </c>
      <c r="H29" s="178">
        <v>22</v>
      </c>
      <c r="I29" s="178">
        <v>1010</v>
      </c>
    </row>
    <row r="30" spans="1:9">
      <c r="A30" s="186" t="s">
        <v>455</v>
      </c>
      <c r="B30" s="186">
        <v>1139</v>
      </c>
      <c r="C30" s="186">
        <v>66</v>
      </c>
      <c r="D30" s="186">
        <v>2530</v>
      </c>
      <c r="E30" s="177"/>
      <c r="F30" s="178" t="s">
        <v>455</v>
      </c>
      <c r="G30" s="178">
        <v>1170</v>
      </c>
      <c r="H30" s="178">
        <v>68</v>
      </c>
      <c r="I30" s="178">
        <v>2530</v>
      </c>
    </row>
    <row r="31" spans="1:9">
      <c r="A31" s="186" t="s">
        <v>456</v>
      </c>
      <c r="B31" s="186">
        <v>1032</v>
      </c>
      <c r="C31" s="186">
        <v>60</v>
      </c>
      <c r="D31" s="186">
        <v>2530</v>
      </c>
      <c r="E31" s="177"/>
      <c r="F31" s="178" t="s">
        <v>456</v>
      </c>
      <c r="G31" s="178">
        <v>1065</v>
      </c>
      <c r="H31" s="178">
        <v>62</v>
      </c>
      <c r="I31" s="178">
        <v>2530</v>
      </c>
    </row>
    <row r="32" spans="1:9">
      <c r="A32" s="186" t="s">
        <v>457</v>
      </c>
      <c r="B32" s="186" t="s">
        <v>492</v>
      </c>
      <c r="C32" s="186" t="s">
        <v>492</v>
      </c>
      <c r="D32" s="186">
        <v>900</v>
      </c>
      <c r="E32" s="177"/>
      <c r="F32" s="178" t="s">
        <v>457</v>
      </c>
      <c r="G32" s="178" t="s">
        <v>492</v>
      </c>
      <c r="H32" s="178" t="s">
        <v>492</v>
      </c>
      <c r="I32" s="178">
        <v>900</v>
      </c>
    </row>
    <row r="33" spans="1:9">
      <c r="A33" s="186" t="s">
        <v>458</v>
      </c>
      <c r="B33" s="186">
        <v>110</v>
      </c>
      <c r="C33" s="186">
        <v>7</v>
      </c>
      <c r="D33" s="186">
        <v>2300</v>
      </c>
      <c r="E33" s="177"/>
      <c r="F33" s="178" t="s">
        <v>458</v>
      </c>
      <c r="G33" s="178">
        <v>100</v>
      </c>
      <c r="H33" s="178">
        <v>6</v>
      </c>
      <c r="I33" s="178">
        <v>2300</v>
      </c>
    </row>
    <row r="34" spans="1:9">
      <c r="A34" s="186" t="s">
        <v>459</v>
      </c>
      <c r="B34" s="186">
        <v>-389</v>
      </c>
      <c r="C34" s="186">
        <v>21</v>
      </c>
      <c r="D34" s="186">
        <v>2715</v>
      </c>
      <c r="E34" s="177"/>
      <c r="F34" s="178" t="s">
        <v>459</v>
      </c>
      <c r="G34" s="178">
        <v>-409</v>
      </c>
      <c r="H34" s="178">
        <v>22</v>
      </c>
      <c r="I34" s="178">
        <v>2715</v>
      </c>
    </row>
    <row r="35" spans="1:9">
      <c r="A35" s="186" t="s">
        <v>460</v>
      </c>
      <c r="B35" s="186">
        <v>389</v>
      </c>
      <c r="C35" s="186">
        <v>21</v>
      </c>
      <c r="D35" s="186">
        <v>2715</v>
      </c>
      <c r="E35" s="177"/>
      <c r="F35" s="178" t="s">
        <v>460</v>
      </c>
      <c r="G35" s="178">
        <v>409</v>
      </c>
      <c r="H35" s="178">
        <v>22</v>
      </c>
      <c r="I35" s="178">
        <v>2715</v>
      </c>
    </row>
  </sheetData>
  <mergeCells count="2">
    <mergeCell ref="A2:D2"/>
    <mergeCell ref="F2:I2"/>
  </mergeCells>
  <pageMargins left="0.7" right="0.7" top="1.1354166666666667" bottom="0.75" header="0.3" footer="0.3"/>
  <pageSetup orientation="portrait" r:id="rId1"/>
  <headerFooter>
    <oddHeader>&amp;L&amp;G</oddHeader>
    <oddFooter>&amp;R&amp;"-,Italic"&amp;P&amp;L&amp;"Calibri,Bold"&amp;11Day-ahead report 19/01/2018</oddFooter>
  </headerFooter>
  <drawing r:id="rId2"/>
  <legacyDrawingHF r:id="rId3"/>
</worksheet>
</file>

<file path=xl/worksheets/sheet4.xml><?xml version="1.0" encoding="utf-8"?>
<worksheet xmlns="http://schemas.openxmlformats.org/spreadsheetml/2006/main" xmlns:r="http://schemas.openxmlformats.org/officeDocument/2006/relationships">
  <sheetPr codeName="Sheet14">
    <tabColor rgb="FFFFFF00"/>
  </sheetPr>
  <dimension ref="A2:BG156"/>
  <sheetViews>
    <sheetView showGridLines="0" view="pageLayout" topLeftCell="A2" zoomScale="115" zoomScalePageLayoutView="115" workbookViewId="0">
      <selection activeCell="E8" sqref="E8"/>
    </sheetView>
  </sheetViews>
  <sheetFormatPr defaultColWidth="9.140625" defaultRowHeight="15"/>
  <cols>
    <col min="1" max="1" width="8.5703125" style="133" bestFit="1" customWidth="1"/>
    <col min="2" max="2" width="12.7109375" customWidth="1"/>
    <col min="3" max="6" width="10.85546875" customWidth="1"/>
  </cols>
  <sheetData>
    <row r="2" spans="1:59">
      <c r="A2" s="131"/>
      <c r="C2" s="1"/>
      <c r="D2" s="1"/>
      <c r="E2" s="1"/>
      <c r="F2" s="1"/>
    </row>
    <row r="3" spans="1:59">
      <c r="A3" s="132"/>
      <c r="B3" s="12"/>
      <c r="C3" s="12"/>
      <c r="D3" s="12"/>
      <c r="E3" s="12"/>
      <c r="F3" s="12"/>
      <c r="G3" s="13"/>
      <c r="H3" s="13"/>
    </row>
    <row r="4" spans="1:59" ht="22.5" customHeight="1">
      <c r="A4" s="689"/>
      <c r="B4" s="690"/>
      <c r="C4" s="17" t="s">
        <v>59</v>
      </c>
      <c r="D4" s="17" t="s">
        <v>60</v>
      </c>
      <c r="E4" s="17" t="s">
        <v>61</v>
      </c>
      <c r="F4" s="17" t="s">
        <v>62</v>
      </c>
      <c r="G4" s="10" t="s">
        <v>57</v>
      </c>
      <c r="H4" s="40" t="s">
        <v>16</v>
      </c>
    </row>
    <row r="5" spans="1:59" ht="22.5" customHeight="1">
      <c r="A5" s="691" t="s">
        <v>54</v>
      </c>
      <c r="B5" s="44" t="s">
        <v>55</v>
      </c>
      <c r="C5" s="183">
        <v>2856</v>
      </c>
      <c r="D5" s="183">
        <v>2741</v>
      </c>
      <c r="E5" s="183">
        <v>119</v>
      </c>
      <c r="F5" s="183">
        <v>1095</v>
      </c>
      <c r="G5" s="46">
        <f>SUM(C5:F5)</f>
        <v>6811</v>
      </c>
      <c r="H5" s="40">
        <f>G5-G6</f>
        <v>1018</v>
      </c>
    </row>
    <row r="6" spans="1:59" ht="22.5" customHeight="1">
      <c r="A6" s="692"/>
      <c r="B6" s="15" t="s">
        <v>56</v>
      </c>
      <c r="C6" s="184">
        <v>2567</v>
      </c>
      <c r="D6" s="184">
        <v>2216</v>
      </c>
      <c r="E6" s="184">
        <v>78</v>
      </c>
      <c r="F6" s="184">
        <v>932</v>
      </c>
      <c r="G6" s="46">
        <f>SUM(C6:F6)</f>
        <v>5793</v>
      </c>
      <c r="H6" s="18"/>
    </row>
    <row r="7" spans="1:59" ht="22.5" customHeight="1">
      <c r="A7" s="691" t="s">
        <v>157</v>
      </c>
      <c r="B7" s="14" t="s">
        <v>55</v>
      </c>
      <c r="C7" s="183">
        <v>1862</v>
      </c>
      <c r="D7" s="183">
        <v>3735</v>
      </c>
      <c r="E7" s="183">
        <v>101</v>
      </c>
      <c r="F7" s="183">
        <v>1046</v>
      </c>
      <c r="G7" s="46">
        <f>SUM(C7:F7)</f>
        <v>6744</v>
      </c>
      <c r="H7" s="111">
        <f>G7-G8</f>
        <v>1012</v>
      </c>
      <c r="I7" s="43"/>
      <c r="J7" s="43"/>
      <c r="K7" s="43"/>
      <c r="L7" s="43"/>
      <c r="M7" s="43"/>
      <c r="N7" s="43"/>
      <c r="O7" s="43"/>
      <c r="P7" s="43"/>
      <c r="Q7" s="43"/>
      <c r="R7" s="43"/>
      <c r="S7" s="43"/>
      <c r="T7" s="43"/>
      <c r="U7" s="43"/>
      <c r="V7" s="43"/>
    </row>
    <row r="8" spans="1:59" ht="22.5" customHeight="1">
      <c r="A8" s="692"/>
      <c r="B8" s="15" t="s">
        <v>56</v>
      </c>
      <c r="C8" s="184">
        <v>1570</v>
      </c>
      <c r="D8" s="184">
        <v>3207</v>
      </c>
      <c r="E8" s="184">
        <v>61</v>
      </c>
      <c r="F8" s="184">
        <v>894</v>
      </c>
      <c r="G8" s="14">
        <f>SUM(C8:F8)</f>
        <v>5732</v>
      </c>
      <c r="H8" s="18"/>
      <c r="I8" s="43"/>
      <c r="J8" s="43"/>
      <c r="K8" s="43"/>
      <c r="L8" s="43"/>
      <c r="M8" s="43"/>
      <c r="N8" s="43"/>
      <c r="O8" s="43"/>
      <c r="P8" s="43"/>
      <c r="Q8" s="43"/>
      <c r="R8" s="43"/>
      <c r="S8" s="43"/>
      <c r="T8" s="43"/>
      <c r="U8" s="43"/>
      <c r="V8" s="43"/>
    </row>
    <row r="9" spans="1:59">
      <c r="A9" s="143" t="s">
        <v>290</v>
      </c>
      <c r="B9" s="6"/>
      <c r="C9" s="180"/>
      <c r="D9" s="179"/>
      <c r="E9" s="179"/>
      <c r="F9" s="180"/>
      <c r="G9" s="11"/>
      <c r="H9" s="11"/>
    </row>
    <row r="10" spans="1:59">
      <c r="A10" s="132"/>
      <c r="B10" s="6"/>
      <c r="C10" s="180"/>
      <c r="D10" s="179"/>
      <c r="E10" s="179"/>
      <c r="F10" s="180"/>
      <c r="G10" s="11"/>
      <c r="H10" s="11"/>
    </row>
    <row r="11" spans="1:59" ht="24.75" customHeight="1">
      <c r="A11" s="132"/>
      <c r="B11" s="11"/>
      <c r="C11" s="182" t="s">
        <v>59</v>
      </c>
      <c r="D11" s="182" t="s">
        <v>60</v>
      </c>
      <c r="E11" s="182" t="s">
        <v>61</v>
      </c>
      <c r="F11" s="182" t="s">
        <v>62</v>
      </c>
      <c r="G11" s="10" t="s">
        <v>57</v>
      </c>
      <c r="H11" s="11"/>
    </row>
    <row r="12" spans="1:59" ht="24.75" customHeight="1">
      <c r="A12" s="134"/>
      <c r="B12" s="16" t="s">
        <v>58</v>
      </c>
      <c r="C12" s="181">
        <v>3143</v>
      </c>
      <c r="D12" s="181">
        <v>2734</v>
      </c>
      <c r="E12" s="181">
        <v>314</v>
      </c>
      <c r="F12" s="181">
        <v>728</v>
      </c>
      <c r="G12" s="16">
        <f>SUM(C12:F12)</f>
        <v>6919</v>
      </c>
      <c r="H12" s="11"/>
    </row>
    <row r="13" spans="1:59" ht="24.75" customHeight="1">
      <c r="A13" s="141"/>
      <c r="B13" s="45" t="s">
        <v>156</v>
      </c>
      <c r="C13" s="185">
        <v>2703</v>
      </c>
      <c r="D13" s="185">
        <v>3383</v>
      </c>
      <c r="E13" s="185">
        <v>274</v>
      </c>
      <c r="F13" s="185">
        <v>560</v>
      </c>
      <c r="G13" s="16">
        <f>SUM(C13:F13)</f>
        <v>6920</v>
      </c>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row>
    <row r="14" spans="1:59">
      <c r="A14" s="134"/>
      <c r="B14" s="6"/>
      <c r="C14" s="6"/>
      <c r="D14" s="5"/>
      <c r="E14" s="5"/>
      <c r="F14" s="6"/>
      <c r="G14" s="11"/>
      <c r="H14" s="11"/>
    </row>
    <row r="15" spans="1:59">
      <c r="A15" s="141"/>
      <c r="B15" s="2"/>
      <c r="C15" s="3"/>
      <c r="D15" s="4"/>
      <c r="E15" s="4"/>
      <c r="F15" s="3"/>
    </row>
    <row r="16" spans="1:59">
      <c r="A16" s="141"/>
      <c r="B16" s="2"/>
      <c r="C16" s="3"/>
      <c r="D16" s="4"/>
      <c r="E16" s="4"/>
      <c r="F16" s="3"/>
    </row>
    <row r="17" spans="1:12" ht="24.75" customHeight="1">
      <c r="A17" s="134"/>
      <c r="B17" s="43"/>
      <c r="C17" s="43"/>
      <c r="D17" s="43"/>
      <c r="E17" s="43"/>
      <c r="F17" s="3"/>
      <c r="G17" s="39"/>
      <c r="H17" s="13"/>
      <c r="I17" s="13"/>
      <c r="J17" s="13"/>
      <c r="K17" s="13"/>
      <c r="L17" s="13"/>
    </row>
    <row r="18" spans="1:12" ht="24.75" customHeight="1">
      <c r="A18" s="141"/>
      <c r="B18" s="43"/>
      <c r="C18" s="43"/>
      <c r="D18" s="43"/>
      <c r="E18" s="43"/>
      <c r="F18" s="3"/>
      <c r="G18" s="39"/>
      <c r="H18" s="13"/>
      <c r="I18" s="13"/>
      <c r="J18" s="13"/>
      <c r="K18" s="13"/>
      <c r="L18" s="13"/>
    </row>
    <row r="19" spans="1:12" ht="24.75" customHeight="1">
      <c r="A19" s="134"/>
      <c r="B19" s="43"/>
      <c r="C19" s="43"/>
      <c r="D19" s="43"/>
      <c r="E19" s="43"/>
      <c r="F19" s="3"/>
      <c r="G19" s="39"/>
      <c r="H19" s="13"/>
      <c r="I19" s="13"/>
      <c r="J19" s="13"/>
      <c r="K19" s="13"/>
      <c r="L19" s="13"/>
    </row>
    <row r="20" spans="1:12">
      <c r="A20" s="141"/>
      <c r="B20" s="43"/>
      <c r="C20" s="43"/>
      <c r="D20" s="43"/>
      <c r="E20" s="43"/>
      <c r="F20" s="3"/>
      <c r="G20" s="39"/>
      <c r="H20" s="13"/>
      <c r="I20" s="13"/>
      <c r="J20" s="13"/>
      <c r="K20" s="13"/>
      <c r="L20" s="13"/>
    </row>
    <row r="21" spans="1:12">
      <c r="A21" s="134"/>
      <c r="B21" s="43"/>
      <c r="C21" s="43"/>
      <c r="D21" s="43"/>
      <c r="E21" s="43"/>
      <c r="F21" s="3"/>
      <c r="G21" s="39"/>
      <c r="H21" s="13"/>
      <c r="I21" s="13"/>
      <c r="J21" s="13"/>
      <c r="K21" s="13"/>
      <c r="L21" s="13"/>
    </row>
    <row r="22" spans="1:12">
      <c r="A22" s="141"/>
      <c r="B22" s="43"/>
      <c r="C22" s="43"/>
      <c r="D22" s="43"/>
      <c r="E22" s="43"/>
      <c r="F22" s="3"/>
      <c r="G22" s="39"/>
      <c r="H22" s="13"/>
      <c r="I22" s="13"/>
      <c r="J22" s="13"/>
      <c r="K22" s="13"/>
      <c r="L22" s="13"/>
    </row>
    <row r="23" spans="1:12">
      <c r="A23" s="141"/>
      <c r="B23" s="43"/>
      <c r="C23" s="43"/>
      <c r="D23" s="43"/>
      <c r="E23" s="43"/>
      <c r="F23" s="3"/>
      <c r="G23" s="39"/>
      <c r="H23" s="13"/>
      <c r="I23" s="13"/>
      <c r="J23" s="13"/>
      <c r="K23" s="13"/>
      <c r="L23" s="13"/>
    </row>
    <row r="24" spans="1:12">
      <c r="A24" s="141"/>
      <c r="B24" s="43"/>
      <c r="C24" s="43"/>
      <c r="D24" s="43"/>
      <c r="E24" s="43"/>
      <c r="F24" s="3"/>
      <c r="G24" s="39"/>
      <c r="H24" s="13"/>
      <c r="I24" s="13"/>
      <c r="J24" s="13"/>
      <c r="K24" s="13"/>
      <c r="L24" s="13"/>
    </row>
    <row r="25" spans="1:12">
      <c r="A25" s="141"/>
      <c r="B25" s="43"/>
      <c r="C25" s="43"/>
      <c r="D25" s="43"/>
      <c r="E25" s="43"/>
      <c r="F25" s="3"/>
      <c r="G25" s="39"/>
      <c r="H25" s="13"/>
      <c r="I25" s="13"/>
      <c r="J25" s="13"/>
      <c r="K25" s="13"/>
      <c r="L25" s="13"/>
    </row>
    <row r="26" spans="1:12">
      <c r="A26" s="134"/>
      <c r="B26" s="43"/>
      <c r="C26" s="43"/>
      <c r="D26" s="43"/>
      <c r="E26" s="43"/>
      <c r="F26" s="3"/>
      <c r="G26" s="39"/>
      <c r="H26" s="13"/>
      <c r="I26" s="13"/>
      <c r="J26" s="13"/>
      <c r="K26" s="13"/>
      <c r="L26" s="13"/>
    </row>
    <row r="27" spans="1:12">
      <c r="A27" s="134"/>
      <c r="B27" s="43"/>
      <c r="C27" s="43"/>
      <c r="D27" s="43"/>
      <c r="E27" s="43"/>
      <c r="F27" s="3"/>
      <c r="G27" s="39"/>
      <c r="H27" s="13"/>
      <c r="I27" s="13"/>
      <c r="J27" s="13"/>
      <c r="K27" s="13"/>
      <c r="L27" s="13"/>
    </row>
    <row r="28" spans="1:12">
      <c r="A28" s="134"/>
      <c r="B28" s="43"/>
      <c r="C28" s="43"/>
      <c r="D28" s="43"/>
      <c r="E28" s="43"/>
      <c r="F28" s="3"/>
      <c r="G28" s="39"/>
      <c r="H28" s="13"/>
      <c r="I28" s="13"/>
      <c r="J28" s="13"/>
      <c r="K28" s="13"/>
      <c r="L28" s="13"/>
    </row>
    <row r="29" spans="1:12">
      <c r="A29" s="134"/>
      <c r="B29" s="43"/>
      <c r="C29" s="43"/>
      <c r="D29" s="43"/>
      <c r="E29" s="43"/>
      <c r="F29" s="3"/>
      <c r="G29" s="39"/>
      <c r="H29" s="13"/>
      <c r="I29" s="13"/>
      <c r="J29" s="13"/>
      <c r="K29" s="13"/>
      <c r="L29" s="13"/>
    </row>
    <row r="30" spans="1:12">
      <c r="A30" s="134"/>
      <c r="B30" s="43"/>
      <c r="C30" s="43"/>
      <c r="D30" s="43"/>
      <c r="E30" s="43"/>
      <c r="F30" s="3"/>
      <c r="G30" s="39"/>
      <c r="H30" s="13"/>
      <c r="I30" s="13"/>
      <c r="J30" s="13"/>
      <c r="K30" s="13"/>
      <c r="L30" s="13"/>
    </row>
    <row r="31" spans="1:12">
      <c r="A31" s="134"/>
      <c r="B31" s="43"/>
      <c r="C31" s="43"/>
      <c r="D31" s="43"/>
      <c r="E31" s="43"/>
      <c r="F31" s="3"/>
      <c r="G31" s="39"/>
      <c r="H31" s="13"/>
      <c r="I31" s="13"/>
      <c r="J31" s="13"/>
      <c r="K31" s="13"/>
      <c r="L31" s="13"/>
    </row>
    <row r="32" spans="1:12">
      <c r="A32" s="134"/>
      <c r="B32" s="43"/>
      <c r="C32" s="43"/>
      <c r="D32" s="43"/>
      <c r="E32" s="43"/>
      <c r="F32" s="3"/>
      <c r="G32" s="39"/>
      <c r="H32" s="13"/>
      <c r="I32" s="13"/>
      <c r="J32" s="13"/>
      <c r="K32" s="13"/>
      <c r="L32" s="13"/>
    </row>
    <row r="33" spans="1:12">
      <c r="A33" s="134"/>
      <c r="B33" s="43"/>
      <c r="C33" s="43"/>
      <c r="D33" s="43"/>
      <c r="E33" s="43"/>
      <c r="F33" s="3"/>
      <c r="G33" s="39"/>
      <c r="H33" s="13"/>
      <c r="I33" s="13"/>
      <c r="J33" s="13"/>
      <c r="K33" s="13"/>
      <c r="L33" s="13"/>
    </row>
    <row r="34" spans="1:12">
      <c r="A34" s="134"/>
      <c r="B34" s="43"/>
      <c r="C34" s="43"/>
      <c r="D34" s="43"/>
      <c r="E34" s="43"/>
      <c r="F34" s="3"/>
      <c r="G34" s="39"/>
      <c r="H34" s="13"/>
      <c r="I34" s="13"/>
      <c r="J34" s="13"/>
      <c r="K34" s="13"/>
      <c r="L34" s="13"/>
    </row>
    <row r="35" spans="1:12">
      <c r="A35" s="134"/>
      <c r="B35" s="43"/>
      <c r="C35" s="43"/>
      <c r="D35" s="43"/>
      <c r="E35" s="43"/>
      <c r="F35" s="3"/>
      <c r="G35" s="39"/>
      <c r="H35" s="13"/>
      <c r="I35" s="13"/>
      <c r="J35" s="13"/>
      <c r="K35" s="13"/>
      <c r="L35" s="13"/>
    </row>
    <row r="36" spans="1:12">
      <c r="A36" s="134"/>
      <c r="B36" s="43"/>
      <c r="C36" s="43"/>
      <c r="D36" s="43"/>
      <c r="E36" s="43"/>
      <c r="F36" s="3"/>
      <c r="G36" s="39"/>
      <c r="H36" s="13"/>
      <c r="I36" s="13"/>
      <c r="J36" s="13"/>
      <c r="K36" s="13"/>
      <c r="L36" s="13"/>
    </row>
    <row r="37" spans="1:12">
      <c r="A37" s="134"/>
      <c r="B37" s="43"/>
      <c r="C37" s="43"/>
      <c r="D37" s="43"/>
      <c r="E37" s="43"/>
      <c r="F37" s="3"/>
      <c r="G37" s="39"/>
      <c r="H37" s="13"/>
      <c r="I37" s="13"/>
      <c r="J37" s="13"/>
      <c r="K37" s="13"/>
      <c r="L37" s="13"/>
    </row>
    <row r="38" spans="1:12">
      <c r="A38" s="134"/>
      <c r="B38" s="43"/>
      <c r="C38" s="43"/>
      <c r="D38" s="43"/>
      <c r="E38" s="43"/>
      <c r="F38" s="3"/>
      <c r="G38" s="39"/>
      <c r="H38" s="13"/>
      <c r="I38" s="13"/>
      <c r="J38" s="13"/>
      <c r="K38" s="13"/>
      <c r="L38" s="13"/>
    </row>
    <row r="39" spans="1:12">
      <c r="A39" s="134"/>
      <c r="B39" s="43"/>
      <c r="C39" s="43"/>
      <c r="D39" s="43"/>
      <c r="E39" s="43"/>
      <c r="F39" s="3"/>
      <c r="G39" s="39"/>
      <c r="H39" s="13"/>
      <c r="I39" s="13"/>
      <c r="J39" s="13"/>
      <c r="K39" s="13"/>
      <c r="L39" s="13"/>
    </row>
    <row r="40" spans="1:12">
      <c r="A40" s="134"/>
      <c r="B40" s="43"/>
      <c r="C40" s="43"/>
      <c r="D40" s="43"/>
      <c r="E40" s="43"/>
      <c r="F40" s="3"/>
      <c r="G40" s="39"/>
      <c r="H40" s="13"/>
      <c r="I40" s="13"/>
      <c r="J40" s="13"/>
      <c r="K40" s="13"/>
      <c r="L40" s="13"/>
    </row>
    <row r="41" spans="1:12">
      <c r="A41" s="134"/>
      <c r="B41" s="43"/>
      <c r="C41" s="43"/>
      <c r="D41" s="43"/>
      <c r="E41" s="43"/>
      <c r="F41" s="3"/>
      <c r="G41" s="39"/>
      <c r="H41" s="13"/>
      <c r="I41" s="13"/>
      <c r="J41" s="13"/>
      <c r="K41" s="13"/>
      <c r="L41" s="13"/>
    </row>
    <row r="42" spans="1:12">
      <c r="A42" s="134"/>
      <c r="B42" s="43"/>
      <c r="C42" s="43"/>
      <c r="D42" s="43"/>
      <c r="E42" s="43"/>
      <c r="F42" s="3"/>
      <c r="G42" s="39"/>
      <c r="H42" s="13"/>
      <c r="I42" s="13"/>
      <c r="J42" s="13"/>
      <c r="K42" s="13"/>
      <c r="L42" s="13"/>
    </row>
    <row r="43" spans="1:12">
      <c r="A43" s="134"/>
      <c r="B43" s="43"/>
      <c r="C43" s="43"/>
      <c r="D43" s="43"/>
      <c r="E43" s="43"/>
      <c r="F43" s="3"/>
      <c r="G43" s="39"/>
      <c r="H43" s="13"/>
      <c r="I43" s="13"/>
      <c r="J43" s="13"/>
      <c r="K43" s="13"/>
      <c r="L43" s="13"/>
    </row>
    <row r="44" spans="1:12">
      <c r="A44" s="134"/>
      <c r="B44" s="43"/>
      <c r="C44" s="43"/>
      <c r="D44" s="43"/>
      <c r="E44" s="43"/>
      <c r="F44" s="3"/>
      <c r="G44" s="39"/>
      <c r="H44" s="13"/>
      <c r="I44" s="13"/>
      <c r="J44" s="13"/>
      <c r="K44" s="13"/>
      <c r="L44" s="13"/>
    </row>
    <row r="45" spans="1:12">
      <c r="A45" s="134"/>
      <c r="B45" s="43"/>
      <c r="C45" s="43"/>
      <c r="D45" s="43"/>
      <c r="E45" s="43"/>
      <c r="F45" s="3"/>
      <c r="G45" s="39"/>
      <c r="H45" s="13"/>
      <c r="I45" s="13"/>
      <c r="J45" s="13"/>
      <c r="K45" s="13"/>
      <c r="L45" s="13"/>
    </row>
    <row r="46" spans="1:12">
      <c r="A46" s="134"/>
      <c r="B46" s="43"/>
      <c r="C46" s="43"/>
      <c r="D46" s="43"/>
      <c r="E46" s="43"/>
      <c r="F46" s="3"/>
      <c r="G46" s="39"/>
      <c r="H46" s="13"/>
      <c r="I46" s="13"/>
      <c r="J46" s="13"/>
      <c r="K46" s="13"/>
      <c r="L46" s="13"/>
    </row>
    <row r="47" spans="1:12">
      <c r="A47" s="134"/>
      <c r="B47" s="43"/>
      <c r="C47" s="43"/>
      <c r="D47" s="43"/>
      <c r="E47" s="43"/>
      <c r="F47" s="3"/>
      <c r="G47" s="39"/>
      <c r="H47" s="13"/>
      <c r="I47" s="13"/>
      <c r="J47" s="13"/>
      <c r="K47" s="13"/>
      <c r="L47" s="13"/>
    </row>
    <row r="48" spans="1:12">
      <c r="A48" s="134"/>
      <c r="B48" s="43"/>
      <c r="C48" s="43"/>
      <c r="D48" s="43"/>
      <c r="E48" s="43"/>
      <c r="F48" s="3"/>
      <c r="G48" s="39"/>
      <c r="H48" s="13"/>
      <c r="I48" s="13"/>
      <c r="J48" s="13"/>
      <c r="K48" s="13"/>
      <c r="L48" s="13"/>
    </row>
    <row r="49" spans="1:12">
      <c r="A49" s="134"/>
      <c r="B49" s="43"/>
      <c r="C49" s="43"/>
      <c r="D49" s="43"/>
      <c r="E49" s="43"/>
      <c r="F49" s="3"/>
      <c r="G49" s="39"/>
      <c r="H49" s="13"/>
      <c r="I49" s="13"/>
      <c r="J49" s="13"/>
      <c r="K49" s="13"/>
      <c r="L49" s="13"/>
    </row>
    <row r="50" spans="1:12">
      <c r="A50" s="134"/>
      <c r="B50" s="43"/>
      <c r="C50" s="43"/>
      <c r="D50" s="43"/>
      <c r="E50" s="43"/>
      <c r="F50" s="3"/>
      <c r="G50" s="39"/>
      <c r="H50" s="13"/>
      <c r="I50" s="13"/>
      <c r="J50" s="13"/>
      <c r="K50" s="13"/>
      <c r="L50" s="13"/>
    </row>
    <row r="51" spans="1:12">
      <c r="A51" s="134"/>
      <c r="B51" s="43"/>
      <c r="C51" s="43"/>
      <c r="D51" s="43"/>
      <c r="E51" s="43"/>
      <c r="F51" s="3"/>
      <c r="G51" s="39"/>
      <c r="H51" s="13"/>
      <c r="I51" s="13"/>
      <c r="J51" s="13"/>
      <c r="K51" s="13"/>
      <c r="L51" s="13"/>
    </row>
    <row r="52" spans="1:12">
      <c r="A52" s="134"/>
      <c r="B52" s="43"/>
      <c r="C52" s="43"/>
      <c r="D52" s="43"/>
      <c r="E52" s="43"/>
      <c r="F52" s="3"/>
      <c r="G52" s="39"/>
      <c r="H52" s="13"/>
      <c r="I52" s="13"/>
      <c r="J52" s="13"/>
      <c r="K52" s="13"/>
      <c r="L52" s="13"/>
    </row>
    <row r="53" spans="1:12">
      <c r="A53" s="134"/>
      <c r="B53" s="43"/>
      <c r="C53" s="43"/>
      <c r="D53" s="43"/>
      <c r="E53" s="43"/>
      <c r="F53" s="3"/>
      <c r="G53" s="39"/>
      <c r="H53" s="13"/>
      <c r="I53" s="13"/>
      <c r="J53" s="13"/>
      <c r="K53" s="13"/>
      <c r="L53" s="13"/>
    </row>
    <row r="54" spans="1:12">
      <c r="A54" s="134"/>
      <c r="B54" s="43"/>
      <c r="C54" s="43"/>
      <c r="D54" s="43"/>
      <c r="E54" s="43"/>
      <c r="F54" s="3"/>
      <c r="G54" s="39"/>
      <c r="H54" s="13"/>
      <c r="I54" s="13"/>
      <c r="J54" s="13"/>
      <c r="K54" s="13"/>
      <c r="L54" s="13"/>
    </row>
    <row r="55" spans="1:12">
      <c r="A55" s="134"/>
      <c r="B55" s="43"/>
      <c r="C55" s="43"/>
      <c r="D55" s="43"/>
      <c r="E55" s="43"/>
      <c r="F55" s="3"/>
      <c r="G55" s="39"/>
      <c r="H55" s="13"/>
      <c r="I55" s="13"/>
      <c r="J55" s="13"/>
      <c r="K55" s="13"/>
      <c r="L55" s="13"/>
    </row>
    <row r="56" spans="1:12">
      <c r="A56" s="134"/>
      <c r="B56" s="43"/>
      <c r="C56" s="43"/>
      <c r="D56" s="43"/>
      <c r="E56" s="43"/>
      <c r="F56" s="3"/>
      <c r="G56" s="39"/>
      <c r="H56" s="13"/>
      <c r="I56" s="13"/>
      <c r="J56" s="13"/>
      <c r="K56" s="13"/>
      <c r="L56" s="13"/>
    </row>
    <row r="57" spans="1:12">
      <c r="A57" s="134"/>
      <c r="B57" s="43"/>
      <c r="C57" s="43"/>
      <c r="D57" s="43"/>
      <c r="E57" s="43"/>
      <c r="F57" s="3"/>
      <c r="G57" s="39"/>
      <c r="H57" s="13"/>
      <c r="I57" s="13"/>
      <c r="J57" s="13"/>
      <c r="K57" s="13"/>
      <c r="L57" s="13"/>
    </row>
    <row r="58" spans="1:12">
      <c r="A58" s="134"/>
      <c r="B58" s="43"/>
      <c r="C58" s="43"/>
      <c r="D58" s="43"/>
      <c r="E58" s="43"/>
      <c r="F58" s="3"/>
      <c r="G58" s="39"/>
      <c r="H58" s="13"/>
      <c r="I58" s="13"/>
      <c r="J58" s="13"/>
      <c r="K58" s="13"/>
      <c r="L58" s="13"/>
    </row>
    <row r="59" spans="1:12">
      <c r="A59" s="134"/>
      <c r="B59" s="43"/>
      <c r="C59" s="43"/>
      <c r="D59" s="43"/>
      <c r="E59" s="43"/>
      <c r="F59" s="3"/>
      <c r="G59" s="39"/>
      <c r="H59" s="13"/>
      <c r="I59" s="13"/>
      <c r="J59" s="13"/>
      <c r="K59" s="13"/>
      <c r="L59" s="13"/>
    </row>
    <row r="60" spans="1:12">
      <c r="A60" s="134"/>
      <c r="B60" s="43"/>
      <c r="C60" s="43"/>
      <c r="D60" s="43"/>
      <c r="E60" s="43"/>
      <c r="F60" s="3"/>
      <c r="G60" s="39"/>
      <c r="H60" s="13"/>
      <c r="I60" s="13"/>
      <c r="J60" s="13"/>
      <c r="K60" s="13"/>
      <c r="L60" s="13"/>
    </row>
    <row r="61" spans="1:12">
      <c r="A61" s="134"/>
      <c r="B61" s="43"/>
      <c r="C61" s="43"/>
      <c r="D61" s="43"/>
      <c r="E61" s="43"/>
      <c r="F61" s="3"/>
      <c r="G61" s="39"/>
      <c r="H61" s="13"/>
      <c r="I61" s="13"/>
      <c r="J61" s="13"/>
      <c r="K61" s="13"/>
      <c r="L61" s="13"/>
    </row>
    <row r="62" spans="1:12">
      <c r="A62" s="134"/>
      <c r="B62" s="43"/>
      <c r="C62" s="43"/>
      <c r="D62" s="43"/>
      <c r="E62" s="43"/>
      <c r="F62" s="3"/>
      <c r="G62" s="39"/>
      <c r="H62" s="13"/>
      <c r="I62" s="13"/>
      <c r="J62" s="13"/>
      <c r="K62" s="13"/>
      <c r="L62" s="13"/>
    </row>
    <row r="63" spans="1:12">
      <c r="A63" s="134"/>
      <c r="B63" s="43"/>
      <c r="C63" s="43"/>
      <c r="D63" s="43"/>
      <c r="E63" s="43"/>
      <c r="F63" s="3"/>
      <c r="G63" s="39"/>
      <c r="H63" s="13"/>
      <c r="I63" s="13"/>
      <c r="J63" s="13"/>
      <c r="K63" s="13"/>
      <c r="L63" s="13"/>
    </row>
    <row r="64" spans="1:12">
      <c r="A64" s="134"/>
      <c r="B64" s="43"/>
      <c r="C64" s="43"/>
      <c r="D64" s="43"/>
      <c r="E64" s="43"/>
      <c r="F64" s="3"/>
      <c r="G64" s="39"/>
      <c r="H64" s="13"/>
      <c r="I64" s="13"/>
      <c r="J64" s="13"/>
      <c r="K64" s="13"/>
      <c r="L64" s="13"/>
    </row>
    <row r="65" spans="1:12">
      <c r="A65" s="134"/>
      <c r="B65" s="43"/>
      <c r="C65" s="43"/>
      <c r="D65" s="43"/>
      <c r="E65" s="43"/>
      <c r="F65" s="3"/>
      <c r="G65" s="39"/>
      <c r="H65" s="13"/>
      <c r="I65" s="13"/>
      <c r="J65" s="13"/>
      <c r="K65" s="13"/>
      <c r="L65" s="13"/>
    </row>
    <row r="66" spans="1:12">
      <c r="A66" s="134"/>
      <c r="B66" s="43"/>
      <c r="C66" s="43"/>
      <c r="D66" s="43"/>
      <c r="E66" s="43"/>
      <c r="F66" s="3"/>
      <c r="G66" s="39"/>
      <c r="H66" s="13"/>
      <c r="I66" s="13"/>
      <c r="J66" s="13"/>
      <c r="K66" s="13"/>
      <c r="L66" s="13"/>
    </row>
    <row r="67" spans="1:12">
      <c r="A67" s="134"/>
      <c r="B67" s="43"/>
      <c r="C67" s="43"/>
      <c r="D67" s="43"/>
      <c r="E67" s="43"/>
      <c r="F67" s="3"/>
      <c r="G67" s="39"/>
      <c r="H67" s="13"/>
      <c r="I67" s="13"/>
      <c r="J67" s="13"/>
      <c r="K67" s="13"/>
      <c r="L67" s="13"/>
    </row>
    <row r="68" spans="1:12">
      <c r="A68" s="134"/>
      <c r="B68" s="43"/>
      <c r="C68" s="43"/>
      <c r="D68" s="43"/>
      <c r="E68" s="43"/>
      <c r="F68" s="3"/>
      <c r="G68" s="39"/>
      <c r="H68" s="13"/>
      <c r="I68" s="13"/>
      <c r="J68" s="13"/>
      <c r="K68" s="13"/>
      <c r="L68" s="13"/>
    </row>
    <row r="69" spans="1:12">
      <c r="A69" s="134"/>
      <c r="B69" s="43"/>
      <c r="C69" s="43"/>
      <c r="D69" s="43"/>
      <c r="E69" s="43"/>
      <c r="F69" s="3"/>
      <c r="G69" s="39"/>
      <c r="H69" s="13"/>
      <c r="I69" s="13"/>
      <c r="J69" s="13"/>
      <c r="K69" s="13"/>
      <c r="L69" s="13"/>
    </row>
    <row r="70" spans="1:12">
      <c r="A70" s="134"/>
      <c r="B70" s="43"/>
      <c r="C70" s="43"/>
      <c r="D70" s="43"/>
      <c r="E70" s="43"/>
      <c r="F70" s="3"/>
      <c r="G70" s="39"/>
      <c r="H70" s="13"/>
      <c r="I70" s="13"/>
      <c r="J70" s="13"/>
      <c r="K70" s="13"/>
      <c r="L70" s="13"/>
    </row>
    <row r="71" spans="1:12">
      <c r="A71" s="134"/>
      <c r="B71" s="43"/>
      <c r="C71" s="43"/>
      <c r="D71" s="43"/>
      <c r="E71" s="43"/>
      <c r="F71" s="3"/>
      <c r="G71" s="39"/>
      <c r="H71" s="13"/>
      <c r="I71" s="13"/>
      <c r="J71" s="13"/>
      <c r="K71" s="13"/>
      <c r="L71" s="13"/>
    </row>
    <row r="72" spans="1:12">
      <c r="A72" s="134"/>
      <c r="B72" s="43"/>
      <c r="C72" s="43"/>
      <c r="D72" s="43"/>
      <c r="E72" s="43"/>
      <c r="F72" s="3"/>
      <c r="G72" s="39"/>
      <c r="H72" s="13"/>
      <c r="I72" s="13"/>
      <c r="J72" s="13"/>
      <c r="K72" s="13"/>
      <c r="L72" s="13"/>
    </row>
    <row r="73" spans="1:12">
      <c r="A73" s="134"/>
      <c r="B73" s="43"/>
      <c r="C73" s="43"/>
      <c r="D73" s="43"/>
      <c r="E73" s="43"/>
      <c r="F73" s="3"/>
      <c r="G73" s="39"/>
      <c r="H73" s="13"/>
      <c r="I73" s="13"/>
      <c r="J73" s="13"/>
      <c r="K73" s="13"/>
      <c r="L73" s="13"/>
    </row>
    <row r="74" spans="1:12">
      <c r="A74" s="134"/>
      <c r="B74" s="43"/>
      <c r="C74" s="43"/>
      <c r="D74" s="43"/>
      <c r="E74" s="43"/>
      <c r="F74" s="3"/>
      <c r="G74" s="39"/>
      <c r="H74" s="13"/>
      <c r="I74" s="13"/>
      <c r="J74" s="13"/>
      <c r="K74" s="13"/>
      <c r="L74" s="13"/>
    </row>
    <row r="75" spans="1:12">
      <c r="A75" s="134"/>
      <c r="B75" s="43"/>
      <c r="C75" s="43"/>
      <c r="D75" s="43"/>
      <c r="E75" s="43"/>
      <c r="F75" s="3"/>
      <c r="G75" s="39"/>
      <c r="H75" s="13"/>
      <c r="I75" s="13"/>
      <c r="J75" s="13"/>
      <c r="K75" s="13"/>
      <c r="L75" s="13"/>
    </row>
    <row r="76" spans="1:12">
      <c r="A76" s="134"/>
      <c r="B76" s="43"/>
      <c r="C76" s="43"/>
      <c r="D76" s="43"/>
      <c r="E76" s="43"/>
      <c r="F76" s="3"/>
      <c r="G76" s="39"/>
      <c r="H76" s="13"/>
      <c r="I76" s="13"/>
      <c r="J76" s="13"/>
      <c r="K76" s="13"/>
      <c r="L76" s="13"/>
    </row>
    <row r="77" spans="1:12">
      <c r="A77" s="134"/>
      <c r="B77" s="43"/>
      <c r="C77" s="43"/>
      <c r="D77" s="43"/>
      <c r="E77" s="43"/>
      <c r="F77" s="3"/>
      <c r="G77" s="39"/>
      <c r="H77" s="13"/>
      <c r="I77" s="13"/>
      <c r="J77" s="13"/>
      <c r="K77" s="13"/>
      <c r="L77" s="13"/>
    </row>
    <row r="78" spans="1:12">
      <c r="A78" s="134"/>
      <c r="B78" s="43"/>
      <c r="C78" s="43"/>
      <c r="D78" s="43"/>
      <c r="E78" s="43"/>
      <c r="F78" s="3"/>
      <c r="G78" s="39"/>
      <c r="H78" s="13"/>
      <c r="I78" s="13"/>
      <c r="J78" s="13"/>
      <c r="K78" s="13"/>
      <c r="L78" s="13"/>
    </row>
    <row r="79" spans="1:12">
      <c r="A79" s="134"/>
      <c r="B79" s="43"/>
      <c r="C79" s="43"/>
      <c r="D79" s="43"/>
      <c r="E79" s="43"/>
      <c r="F79" s="3"/>
      <c r="G79" s="39"/>
      <c r="H79" s="13"/>
      <c r="I79" s="13"/>
      <c r="J79" s="13"/>
      <c r="K79" s="13"/>
      <c r="L79" s="13"/>
    </row>
    <row r="80" spans="1:12">
      <c r="A80" s="134"/>
      <c r="B80" s="43"/>
      <c r="C80" s="43"/>
      <c r="D80" s="43"/>
      <c r="E80" s="43"/>
      <c r="F80" s="3"/>
      <c r="G80" s="39"/>
      <c r="H80" s="13"/>
      <c r="I80" s="13"/>
      <c r="J80" s="13"/>
      <c r="K80" s="13"/>
      <c r="L80" s="13"/>
    </row>
    <row r="81" spans="1:12">
      <c r="A81" s="134"/>
      <c r="B81" s="43"/>
      <c r="C81" s="43"/>
      <c r="D81" s="43"/>
      <c r="E81" s="43"/>
      <c r="F81" s="3"/>
      <c r="G81" s="39"/>
      <c r="H81" s="13"/>
      <c r="I81" s="13"/>
      <c r="J81" s="13"/>
      <c r="K81" s="13"/>
      <c r="L81" s="13"/>
    </row>
    <row r="82" spans="1:12">
      <c r="A82" s="134"/>
      <c r="B82" s="43"/>
      <c r="C82" s="43"/>
      <c r="D82" s="43"/>
      <c r="E82" s="43"/>
      <c r="F82" s="3"/>
      <c r="G82" s="39"/>
      <c r="H82" s="13"/>
      <c r="I82" s="13"/>
      <c r="J82" s="13"/>
      <c r="K82" s="13"/>
      <c r="L82" s="13"/>
    </row>
    <row r="83" spans="1:12">
      <c r="A83" s="134"/>
      <c r="B83" s="43"/>
      <c r="C83" s="43"/>
      <c r="D83" s="43"/>
      <c r="E83" s="43"/>
      <c r="F83" s="3"/>
      <c r="G83" s="39"/>
      <c r="H83" s="13"/>
      <c r="I83" s="13"/>
      <c r="J83" s="13"/>
      <c r="K83" s="13"/>
      <c r="L83" s="13"/>
    </row>
    <row r="84" spans="1:12">
      <c r="A84" s="134"/>
      <c r="B84" s="43"/>
      <c r="C84" s="43"/>
      <c r="D84" s="43"/>
      <c r="E84" s="43"/>
      <c r="F84" s="3"/>
      <c r="G84" s="39"/>
      <c r="H84" s="13"/>
      <c r="I84" s="13"/>
      <c r="J84" s="13"/>
      <c r="K84" s="13"/>
      <c r="L84" s="13"/>
    </row>
    <row r="85" spans="1:12">
      <c r="A85" s="134"/>
      <c r="B85" s="43"/>
      <c r="C85" s="43"/>
      <c r="D85" s="43"/>
      <c r="E85" s="43"/>
      <c r="F85" s="3"/>
      <c r="G85" s="39"/>
      <c r="H85" s="13"/>
      <c r="I85" s="13"/>
      <c r="J85" s="13"/>
      <c r="K85" s="13"/>
      <c r="L85" s="13"/>
    </row>
    <row r="86" spans="1:12">
      <c r="A86" s="134"/>
      <c r="B86" s="43"/>
      <c r="C86" s="43"/>
      <c r="D86" s="43"/>
      <c r="E86" s="43"/>
      <c r="F86" s="3"/>
      <c r="G86" s="39"/>
      <c r="H86" s="13"/>
      <c r="I86" s="13"/>
      <c r="J86" s="13"/>
      <c r="K86" s="13"/>
      <c r="L86" s="13"/>
    </row>
    <row r="87" spans="1:12">
      <c r="A87" s="134"/>
      <c r="B87" s="43"/>
      <c r="C87" s="43"/>
      <c r="D87" s="43"/>
      <c r="E87" s="43"/>
      <c r="F87" s="3"/>
      <c r="G87" s="39"/>
      <c r="H87" s="13"/>
      <c r="I87" s="13"/>
      <c r="J87" s="13"/>
      <c r="K87" s="13"/>
      <c r="L87" s="13"/>
    </row>
    <row r="88" spans="1:12">
      <c r="A88" s="134"/>
      <c r="B88" s="43"/>
      <c r="C88" s="43"/>
      <c r="D88" s="43"/>
      <c r="E88" s="43"/>
      <c r="F88" s="3"/>
      <c r="G88" s="39"/>
      <c r="H88" s="13"/>
      <c r="I88" s="13"/>
      <c r="J88" s="13"/>
      <c r="K88" s="13"/>
      <c r="L88" s="13"/>
    </row>
    <row r="89" spans="1:12">
      <c r="A89" s="134"/>
      <c r="B89" s="43"/>
      <c r="C89" s="43"/>
      <c r="D89" s="43"/>
      <c r="E89" s="43"/>
      <c r="F89" s="3"/>
      <c r="G89" s="39"/>
      <c r="H89" s="13"/>
      <c r="I89" s="13"/>
      <c r="J89" s="13"/>
      <c r="K89" s="13"/>
      <c r="L89" s="13"/>
    </row>
    <row r="90" spans="1:12">
      <c r="A90" s="134"/>
      <c r="B90" s="43"/>
      <c r="C90" s="43"/>
      <c r="D90" s="43"/>
      <c r="E90" s="43"/>
      <c r="F90" s="3"/>
      <c r="G90" s="39"/>
      <c r="H90" s="13"/>
      <c r="I90" s="13"/>
      <c r="J90" s="13"/>
      <c r="K90" s="13"/>
      <c r="L90" s="13"/>
    </row>
    <row r="91" spans="1:12">
      <c r="A91" s="134"/>
      <c r="B91" s="43"/>
      <c r="C91" s="43"/>
      <c r="D91" s="43"/>
      <c r="E91" s="43"/>
      <c r="F91" s="3"/>
      <c r="G91" s="39"/>
      <c r="H91" s="13"/>
      <c r="I91" s="13"/>
      <c r="J91" s="13"/>
      <c r="K91" s="13"/>
      <c r="L91" s="13"/>
    </row>
    <row r="92" spans="1:12">
      <c r="A92" s="134"/>
      <c r="B92" s="43"/>
      <c r="C92" s="43"/>
      <c r="D92" s="43"/>
      <c r="E92" s="43"/>
      <c r="F92" s="3"/>
      <c r="G92" s="39"/>
      <c r="H92" s="13"/>
      <c r="I92" s="13"/>
      <c r="J92" s="13"/>
      <c r="K92" s="13"/>
      <c r="L92" s="13"/>
    </row>
    <row r="93" spans="1:12">
      <c r="A93" s="134"/>
      <c r="B93" s="43"/>
      <c r="C93" s="43"/>
      <c r="D93" s="43"/>
      <c r="E93" s="43"/>
      <c r="F93" s="3"/>
      <c r="G93" s="39"/>
      <c r="H93" s="13"/>
      <c r="I93" s="13"/>
      <c r="J93" s="13"/>
      <c r="K93" s="13"/>
      <c r="L93" s="13"/>
    </row>
    <row r="94" spans="1:12">
      <c r="A94" s="134"/>
      <c r="B94" s="43"/>
      <c r="C94" s="43"/>
      <c r="D94" s="43"/>
      <c r="E94" s="43"/>
      <c r="F94" s="3"/>
      <c r="G94" s="39"/>
      <c r="H94" s="13"/>
      <c r="I94" s="13"/>
      <c r="J94" s="13"/>
      <c r="K94" s="13"/>
      <c r="L94" s="13"/>
    </row>
    <row r="95" spans="1:12">
      <c r="A95" s="134"/>
      <c r="B95" s="43"/>
      <c r="C95" s="43"/>
      <c r="D95" s="43"/>
      <c r="E95" s="43"/>
      <c r="F95" s="3"/>
      <c r="G95" s="39"/>
      <c r="H95" s="13"/>
      <c r="I95" s="13"/>
      <c r="J95" s="13"/>
      <c r="K95" s="13"/>
      <c r="L95" s="13"/>
    </row>
    <row r="96" spans="1:12">
      <c r="A96" s="134"/>
      <c r="B96" s="43"/>
      <c r="C96" s="43"/>
      <c r="D96" s="43"/>
      <c r="E96" s="43"/>
      <c r="F96" s="3"/>
      <c r="G96" s="39"/>
      <c r="H96" s="13"/>
      <c r="I96" s="13"/>
      <c r="J96" s="13"/>
      <c r="K96" s="13"/>
      <c r="L96" s="13"/>
    </row>
    <row r="97" spans="1:12">
      <c r="A97" s="134"/>
      <c r="B97" s="43"/>
      <c r="C97" s="43"/>
      <c r="D97" s="43"/>
      <c r="E97" s="43"/>
      <c r="F97" s="3"/>
      <c r="G97" s="39"/>
      <c r="H97" s="13"/>
      <c r="I97" s="13"/>
      <c r="J97" s="13"/>
      <c r="K97" s="13"/>
      <c r="L97" s="13"/>
    </row>
    <row r="98" spans="1:12">
      <c r="A98" s="134"/>
      <c r="B98" s="43"/>
      <c r="C98" s="43"/>
      <c r="D98" s="43"/>
      <c r="E98" s="43"/>
      <c r="F98" s="3"/>
      <c r="G98" s="39"/>
      <c r="H98" s="13"/>
      <c r="I98" s="13"/>
      <c r="J98" s="13"/>
      <c r="K98" s="13"/>
      <c r="L98" s="13"/>
    </row>
    <row r="99" spans="1:12">
      <c r="A99" s="134"/>
      <c r="B99" s="43"/>
      <c r="C99" s="43"/>
      <c r="D99" s="43"/>
      <c r="E99" s="43"/>
      <c r="F99" s="3"/>
      <c r="G99" s="39"/>
      <c r="H99" s="13"/>
      <c r="I99" s="13"/>
      <c r="J99" s="13"/>
      <c r="K99" s="13"/>
      <c r="L99" s="13"/>
    </row>
    <row r="100" spans="1:12">
      <c r="A100" s="134"/>
      <c r="B100" s="43"/>
      <c r="C100" s="43"/>
      <c r="D100" s="43"/>
      <c r="E100" s="43"/>
      <c r="F100" s="3"/>
      <c r="G100" s="39"/>
      <c r="H100" s="13"/>
      <c r="I100" s="13"/>
      <c r="J100" s="13"/>
      <c r="K100" s="13"/>
      <c r="L100" s="13"/>
    </row>
    <row r="101" spans="1:12">
      <c r="A101" s="134"/>
      <c r="B101" s="43"/>
      <c r="C101" s="43"/>
      <c r="D101" s="43"/>
      <c r="E101" s="43"/>
      <c r="F101" s="3"/>
      <c r="G101" s="39"/>
      <c r="H101" s="13"/>
      <c r="I101" s="13"/>
      <c r="J101" s="13"/>
      <c r="K101" s="13"/>
      <c r="L101" s="13"/>
    </row>
    <row r="102" spans="1:12">
      <c r="A102" s="134"/>
      <c r="B102" s="43"/>
      <c r="C102" s="43"/>
      <c r="D102" s="43"/>
      <c r="E102" s="43"/>
      <c r="F102" s="3"/>
      <c r="G102" s="39"/>
      <c r="H102" s="13"/>
      <c r="I102" s="13"/>
      <c r="J102" s="13"/>
      <c r="K102" s="13"/>
      <c r="L102" s="13"/>
    </row>
    <row r="103" spans="1:12">
      <c r="A103" s="134"/>
      <c r="B103" s="43"/>
      <c r="C103" s="43"/>
      <c r="D103" s="43"/>
      <c r="E103" s="43"/>
      <c r="F103" s="3"/>
      <c r="G103" s="39"/>
      <c r="H103" s="13"/>
      <c r="I103" s="13"/>
      <c r="J103" s="13"/>
      <c r="K103" s="13"/>
      <c r="L103" s="13"/>
    </row>
    <row r="104" spans="1:12">
      <c r="A104" s="134"/>
      <c r="B104" s="43"/>
      <c r="C104" s="43"/>
      <c r="D104" s="43"/>
      <c r="E104" s="43"/>
      <c r="F104" s="3"/>
      <c r="G104" s="39"/>
      <c r="H104" s="13"/>
      <c r="I104" s="13"/>
      <c r="J104" s="13"/>
      <c r="K104" s="13"/>
      <c r="L104" s="13"/>
    </row>
    <row r="105" spans="1:12">
      <c r="A105" s="134"/>
      <c r="B105" s="43"/>
      <c r="C105" s="43"/>
      <c r="D105" s="43"/>
      <c r="E105" s="43"/>
      <c r="F105" s="3"/>
      <c r="G105" s="39"/>
      <c r="H105" s="13"/>
      <c r="I105" s="13"/>
      <c r="J105" s="13"/>
      <c r="K105" s="13"/>
      <c r="L105" s="13"/>
    </row>
    <row r="106" spans="1:12">
      <c r="A106" s="134"/>
      <c r="B106" s="43"/>
      <c r="C106" s="43"/>
      <c r="D106" s="43"/>
      <c r="E106" s="43"/>
      <c r="F106" s="3"/>
      <c r="G106" s="39"/>
      <c r="H106" s="13"/>
      <c r="I106" s="13"/>
      <c r="J106" s="13"/>
      <c r="K106" s="13"/>
      <c r="L106" s="13"/>
    </row>
    <row r="107" spans="1:12">
      <c r="A107" s="134"/>
      <c r="B107" s="43"/>
      <c r="C107" s="43"/>
      <c r="D107" s="43"/>
      <c r="E107" s="43"/>
      <c r="F107" s="3"/>
      <c r="G107" s="39"/>
      <c r="H107" s="13"/>
      <c r="I107" s="13"/>
      <c r="J107" s="13"/>
      <c r="K107" s="13"/>
      <c r="L107" s="13"/>
    </row>
    <row r="108" spans="1:12">
      <c r="A108" s="134"/>
      <c r="B108" s="43"/>
      <c r="C108" s="43"/>
      <c r="D108" s="43"/>
      <c r="E108" s="43"/>
      <c r="F108" s="3"/>
      <c r="G108" s="39"/>
      <c r="H108" s="13"/>
      <c r="I108" s="13"/>
      <c r="J108" s="13"/>
      <c r="K108" s="13"/>
      <c r="L108" s="13"/>
    </row>
    <row r="109" spans="1:12">
      <c r="A109" s="134"/>
      <c r="B109" s="43"/>
      <c r="C109" s="43"/>
      <c r="D109" s="43"/>
      <c r="E109" s="43"/>
      <c r="F109" s="3"/>
      <c r="G109" s="39"/>
      <c r="H109" s="13"/>
      <c r="I109" s="13"/>
      <c r="J109" s="13"/>
      <c r="K109" s="13"/>
      <c r="L109" s="13"/>
    </row>
    <row r="110" spans="1:12">
      <c r="A110" s="134"/>
      <c r="B110" s="43"/>
      <c r="C110" s="43"/>
      <c r="D110" s="43"/>
      <c r="E110" s="43"/>
      <c r="F110" s="3"/>
      <c r="G110" s="39"/>
      <c r="H110" s="13"/>
      <c r="I110" s="13"/>
      <c r="J110" s="13"/>
      <c r="K110" s="13"/>
      <c r="L110" s="13"/>
    </row>
    <row r="111" spans="1:12">
      <c r="A111" s="134"/>
      <c r="B111" s="43"/>
      <c r="C111" s="43"/>
      <c r="D111" s="43"/>
      <c r="E111" s="43"/>
      <c r="F111" s="3"/>
      <c r="G111" s="39"/>
      <c r="H111" s="13"/>
      <c r="I111" s="13"/>
      <c r="J111" s="13"/>
      <c r="K111" s="13"/>
      <c r="L111" s="13"/>
    </row>
    <row r="112" spans="1:12">
      <c r="A112" s="134"/>
      <c r="B112" s="43"/>
      <c r="C112" s="43"/>
      <c r="D112" s="43"/>
      <c r="E112" s="43"/>
      <c r="F112" s="3"/>
      <c r="G112" s="39"/>
      <c r="H112" s="13"/>
      <c r="I112" s="13"/>
      <c r="J112" s="13"/>
      <c r="K112" s="13"/>
      <c r="L112" s="13"/>
    </row>
    <row r="113" spans="1:12">
      <c r="A113" s="134"/>
      <c r="B113" s="43"/>
      <c r="C113" s="43"/>
      <c r="D113" s="43"/>
      <c r="E113" s="43"/>
      <c r="F113" s="3"/>
      <c r="G113" s="39"/>
      <c r="H113" s="13"/>
      <c r="I113" s="13"/>
      <c r="J113" s="13"/>
      <c r="K113" s="13"/>
      <c r="L113" s="13"/>
    </row>
    <row r="114" spans="1:12">
      <c r="A114" s="134"/>
      <c r="B114" s="43"/>
      <c r="C114" s="43"/>
      <c r="D114" s="43"/>
      <c r="E114" s="43"/>
      <c r="F114" s="3"/>
      <c r="G114" s="39"/>
      <c r="H114" s="13"/>
      <c r="I114" s="13"/>
      <c r="J114" s="13"/>
      <c r="K114" s="13"/>
      <c r="L114" s="13"/>
    </row>
    <row r="115" spans="1:12">
      <c r="A115" s="134"/>
      <c r="B115" s="43"/>
      <c r="C115" s="43"/>
      <c r="D115" s="43"/>
      <c r="E115" s="43"/>
      <c r="F115" s="3"/>
      <c r="G115" s="39"/>
      <c r="H115" s="13"/>
      <c r="I115" s="13"/>
      <c r="J115" s="13"/>
      <c r="K115" s="13"/>
      <c r="L115" s="13"/>
    </row>
    <row r="116" spans="1:12">
      <c r="A116" s="134"/>
      <c r="B116" s="43"/>
      <c r="C116" s="43"/>
      <c r="D116" s="43"/>
      <c r="E116" s="43"/>
      <c r="F116" s="3"/>
      <c r="G116" s="39"/>
      <c r="H116" s="13"/>
      <c r="I116" s="13"/>
      <c r="J116" s="13"/>
      <c r="K116" s="13"/>
      <c r="L116" s="13"/>
    </row>
    <row r="117" spans="1:12">
      <c r="A117" s="134"/>
      <c r="B117" s="43"/>
      <c r="C117" s="43"/>
      <c r="D117" s="43"/>
      <c r="E117" s="43"/>
      <c r="F117" s="3"/>
      <c r="G117" s="39"/>
      <c r="H117" s="13"/>
      <c r="I117" s="13"/>
      <c r="J117" s="13"/>
      <c r="K117" s="13"/>
      <c r="L117" s="13"/>
    </row>
    <row r="118" spans="1:12">
      <c r="A118" s="134"/>
      <c r="B118" s="43"/>
      <c r="C118" s="43"/>
      <c r="D118" s="43"/>
      <c r="E118" s="43"/>
      <c r="F118" s="3"/>
      <c r="G118" s="39"/>
      <c r="H118" s="13"/>
      <c r="I118" s="13"/>
      <c r="J118" s="13"/>
      <c r="K118" s="13"/>
      <c r="L118" s="13"/>
    </row>
    <row r="119" spans="1:12">
      <c r="A119" s="134"/>
      <c r="B119" s="43"/>
      <c r="C119" s="43"/>
      <c r="D119" s="43"/>
      <c r="E119" s="43"/>
      <c r="F119" s="3"/>
      <c r="G119" s="39"/>
      <c r="H119" s="13"/>
      <c r="I119" s="13"/>
      <c r="J119" s="13"/>
      <c r="K119" s="13"/>
      <c r="L119" s="13"/>
    </row>
    <row r="120" spans="1:12">
      <c r="A120" s="134"/>
      <c r="B120" s="43"/>
      <c r="C120" s="43"/>
      <c r="D120" s="43"/>
      <c r="E120" s="43"/>
      <c r="F120" s="3"/>
      <c r="G120" s="39"/>
      <c r="H120" s="13"/>
      <c r="I120" s="13"/>
      <c r="J120" s="13"/>
      <c r="K120" s="13"/>
      <c r="L120" s="13"/>
    </row>
    <row r="121" spans="1:12">
      <c r="A121" s="134"/>
      <c r="B121" s="43"/>
      <c r="C121" s="43"/>
      <c r="D121" s="43"/>
      <c r="E121" s="43"/>
      <c r="F121" s="3"/>
      <c r="G121" s="39"/>
      <c r="H121" s="13"/>
      <c r="I121" s="13"/>
      <c r="J121" s="13"/>
      <c r="K121" s="13"/>
      <c r="L121" s="13"/>
    </row>
    <row r="122" spans="1:12">
      <c r="A122" s="134"/>
      <c r="B122" s="43"/>
      <c r="C122" s="43"/>
      <c r="D122" s="43"/>
      <c r="E122" s="43"/>
      <c r="F122" s="3"/>
      <c r="G122" s="39"/>
      <c r="H122" s="13"/>
      <c r="I122" s="13"/>
      <c r="J122" s="13"/>
      <c r="K122" s="13"/>
      <c r="L122" s="13"/>
    </row>
    <row r="123" spans="1:12">
      <c r="A123" s="134"/>
      <c r="B123" s="43"/>
      <c r="C123" s="43"/>
      <c r="D123" s="43"/>
      <c r="E123" s="43"/>
      <c r="F123" s="3"/>
      <c r="G123" s="39"/>
      <c r="H123" s="13"/>
      <c r="I123" s="13"/>
      <c r="J123" s="13"/>
      <c r="K123" s="13"/>
      <c r="L123" s="13"/>
    </row>
    <row r="124" spans="1:12">
      <c r="A124" s="134"/>
      <c r="B124" s="43"/>
      <c r="C124" s="43"/>
      <c r="D124" s="43"/>
      <c r="E124" s="43"/>
      <c r="F124" s="3"/>
      <c r="G124" s="39"/>
      <c r="H124" s="13"/>
      <c r="I124" s="13"/>
      <c r="J124" s="13"/>
      <c r="K124" s="13"/>
      <c r="L124" s="13"/>
    </row>
    <row r="125" spans="1:12">
      <c r="A125" s="134"/>
      <c r="B125" s="43"/>
      <c r="C125" s="43"/>
      <c r="D125" s="43"/>
      <c r="E125" s="43"/>
      <c r="F125" s="3"/>
      <c r="G125" s="39"/>
      <c r="H125" s="13"/>
      <c r="I125" s="13"/>
      <c r="J125" s="13"/>
      <c r="K125" s="13"/>
      <c r="L125" s="13"/>
    </row>
    <row r="126" spans="1:12">
      <c r="A126" s="134"/>
      <c r="B126" s="43"/>
      <c r="C126" s="43"/>
      <c r="D126" s="43"/>
      <c r="E126" s="43"/>
      <c r="F126" s="3"/>
      <c r="G126" s="39"/>
      <c r="H126" s="13"/>
      <c r="I126" s="13"/>
      <c r="J126" s="13"/>
      <c r="K126" s="13"/>
      <c r="L126" s="13"/>
    </row>
    <row r="127" spans="1:12">
      <c r="A127" s="134"/>
      <c r="B127" s="43"/>
      <c r="C127" s="43"/>
      <c r="D127" s="43"/>
      <c r="E127" s="43"/>
      <c r="F127" s="3"/>
      <c r="G127" s="39"/>
      <c r="H127" s="13"/>
      <c r="I127" s="13"/>
      <c r="J127" s="13"/>
      <c r="K127" s="13"/>
      <c r="L127" s="13"/>
    </row>
    <row r="128" spans="1:12">
      <c r="A128" s="134"/>
      <c r="B128" s="43"/>
      <c r="C128" s="43"/>
      <c r="D128" s="43"/>
      <c r="E128" s="43"/>
      <c r="F128" s="3"/>
      <c r="G128" s="39"/>
      <c r="H128" s="13"/>
      <c r="I128" s="13"/>
      <c r="J128" s="13"/>
      <c r="K128" s="13"/>
      <c r="L128" s="13"/>
    </row>
    <row r="129" spans="1:12">
      <c r="A129" s="134"/>
      <c r="B129" s="43"/>
      <c r="C129" s="43"/>
      <c r="D129" s="43"/>
      <c r="E129" s="43"/>
      <c r="F129" s="3"/>
      <c r="G129" s="39"/>
      <c r="H129" s="13"/>
      <c r="I129" s="13"/>
      <c r="J129" s="13"/>
      <c r="K129" s="13"/>
      <c r="L129" s="13"/>
    </row>
    <row r="130" spans="1:12">
      <c r="A130" s="134"/>
      <c r="B130" s="43"/>
      <c r="C130" s="43"/>
      <c r="D130" s="43"/>
      <c r="E130" s="43"/>
      <c r="F130" s="3"/>
      <c r="G130" s="39"/>
      <c r="H130" s="13"/>
      <c r="I130" s="13"/>
      <c r="J130" s="13"/>
      <c r="K130" s="13"/>
      <c r="L130" s="13"/>
    </row>
    <row r="131" spans="1:12">
      <c r="A131" s="134"/>
      <c r="B131" s="43"/>
      <c r="C131" s="43"/>
      <c r="D131" s="43"/>
      <c r="E131" s="43"/>
      <c r="F131" s="3"/>
      <c r="G131" s="39"/>
      <c r="H131" s="13"/>
      <c r="I131" s="13"/>
      <c r="J131" s="13"/>
      <c r="K131" s="13"/>
      <c r="L131" s="13"/>
    </row>
    <row r="132" spans="1:12">
      <c r="A132" s="134"/>
      <c r="B132" s="43"/>
      <c r="C132" s="43"/>
      <c r="D132" s="43"/>
      <c r="E132" s="43"/>
      <c r="F132" s="3"/>
      <c r="G132" s="39"/>
      <c r="H132" s="13"/>
      <c r="I132" s="13"/>
      <c r="J132" s="13"/>
      <c r="K132" s="13"/>
      <c r="L132" s="13"/>
    </row>
    <row r="133" spans="1:12">
      <c r="A133" s="134"/>
      <c r="B133" s="43"/>
      <c r="C133" s="43"/>
      <c r="D133" s="43"/>
      <c r="E133" s="43"/>
      <c r="F133" s="3"/>
      <c r="G133" s="39"/>
      <c r="H133" s="13"/>
      <c r="I133" s="13"/>
      <c r="J133" s="13"/>
      <c r="K133" s="13"/>
      <c r="L133" s="13"/>
    </row>
    <row r="134" spans="1:12">
      <c r="A134" s="134"/>
      <c r="B134" s="43"/>
      <c r="C134" s="43"/>
      <c r="D134" s="43"/>
      <c r="E134" s="43"/>
      <c r="F134" s="3"/>
      <c r="G134" s="39"/>
      <c r="H134" s="13"/>
      <c r="I134" s="13"/>
      <c r="J134" s="13"/>
      <c r="K134" s="13"/>
      <c r="L134" s="13"/>
    </row>
    <row r="135" spans="1:12">
      <c r="A135" s="134"/>
      <c r="B135" s="43"/>
      <c r="C135" s="43"/>
      <c r="D135" s="43"/>
      <c r="E135" s="43"/>
      <c r="F135" s="3"/>
      <c r="G135" s="39"/>
      <c r="H135" s="13"/>
      <c r="I135" s="13"/>
      <c r="J135" s="13"/>
      <c r="K135" s="13"/>
      <c r="L135" s="13"/>
    </row>
    <row r="136" spans="1:12">
      <c r="A136" s="134"/>
      <c r="B136" s="43"/>
      <c r="C136" s="43"/>
      <c r="D136" s="43"/>
      <c r="E136" s="43"/>
      <c r="F136" s="3"/>
      <c r="G136" s="39"/>
      <c r="H136" s="13"/>
      <c r="I136" s="13"/>
      <c r="J136" s="13"/>
      <c r="K136" s="13"/>
      <c r="L136" s="13"/>
    </row>
    <row r="137" spans="1:12">
      <c r="A137" s="134"/>
      <c r="B137" s="43"/>
      <c r="C137" s="43"/>
      <c r="D137" s="43"/>
      <c r="E137" s="43"/>
      <c r="F137" s="3"/>
      <c r="G137" s="39"/>
      <c r="H137" s="13"/>
      <c r="I137" s="13"/>
      <c r="J137" s="13"/>
      <c r="K137" s="13"/>
      <c r="L137" s="13"/>
    </row>
    <row r="138" spans="1:12">
      <c r="A138" s="134"/>
      <c r="B138" s="43"/>
      <c r="C138" s="43"/>
      <c r="D138" s="43"/>
      <c r="E138" s="43"/>
      <c r="F138" s="3"/>
      <c r="G138" s="39"/>
      <c r="H138" s="13"/>
      <c r="I138" s="13"/>
      <c r="J138" s="13"/>
      <c r="K138" s="13"/>
      <c r="L138" s="13"/>
    </row>
    <row r="139" spans="1:12">
      <c r="A139" s="134"/>
      <c r="B139" s="43"/>
      <c r="C139" s="43"/>
      <c r="D139" s="43"/>
      <c r="E139" s="43"/>
      <c r="F139" s="3"/>
      <c r="G139" s="39"/>
      <c r="H139" s="13"/>
      <c r="I139" s="13"/>
      <c r="J139" s="13"/>
      <c r="K139" s="13"/>
      <c r="L139" s="13"/>
    </row>
    <row r="140" spans="1:12">
      <c r="A140" s="134"/>
      <c r="B140" s="43"/>
      <c r="C140" s="43"/>
      <c r="D140" s="43"/>
      <c r="E140" s="43"/>
      <c r="F140" s="3"/>
      <c r="G140" s="39"/>
      <c r="H140" s="13"/>
      <c r="I140" s="13"/>
      <c r="J140" s="13"/>
      <c r="K140" s="13"/>
      <c r="L140" s="13"/>
    </row>
    <row r="141" spans="1:12">
      <c r="A141" s="134"/>
      <c r="B141" s="43"/>
      <c r="C141" s="43"/>
      <c r="D141" s="43"/>
      <c r="E141" s="43"/>
      <c r="F141" s="3"/>
      <c r="G141" s="39"/>
      <c r="H141" s="13"/>
      <c r="I141" s="13"/>
      <c r="J141" s="13"/>
      <c r="K141" s="13"/>
      <c r="L141" s="13"/>
    </row>
    <row r="142" spans="1:12">
      <c r="A142" s="134"/>
      <c r="B142" s="43"/>
      <c r="C142" s="43"/>
      <c r="D142" s="43"/>
      <c r="E142" s="43"/>
      <c r="F142" s="3"/>
      <c r="G142" s="39"/>
      <c r="H142" s="13"/>
      <c r="I142" s="13"/>
      <c r="J142" s="13"/>
      <c r="K142" s="13"/>
      <c r="L142" s="13"/>
    </row>
    <row r="143" spans="1:12">
      <c r="A143" s="134"/>
      <c r="B143" s="43"/>
      <c r="C143" s="43"/>
      <c r="D143" s="43"/>
      <c r="E143" s="43"/>
      <c r="F143" s="3"/>
      <c r="G143" s="39"/>
      <c r="H143" s="13"/>
      <c r="I143" s="13"/>
      <c r="J143" s="13"/>
      <c r="K143" s="13"/>
      <c r="L143" s="13"/>
    </row>
    <row r="144" spans="1:12">
      <c r="A144" s="134"/>
      <c r="B144" s="43"/>
      <c r="C144" s="43"/>
      <c r="D144" s="43"/>
      <c r="E144" s="43"/>
      <c r="F144" s="3"/>
      <c r="G144" s="39"/>
      <c r="H144" s="13"/>
      <c r="I144" s="13"/>
      <c r="J144" s="13"/>
      <c r="K144" s="13"/>
      <c r="L144" s="13"/>
    </row>
    <row r="145" spans="1:12">
      <c r="A145" s="134"/>
      <c r="B145" s="43"/>
      <c r="C145" s="43"/>
      <c r="D145" s="43"/>
      <c r="E145" s="43"/>
      <c r="F145" s="3"/>
      <c r="G145" s="39"/>
      <c r="H145" s="13"/>
      <c r="I145" s="13"/>
      <c r="J145" s="13"/>
      <c r="K145" s="13"/>
      <c r="L145" s="13"/>
    </row>
    <row r="146" spans="1:12">
      <c r="A146" s="134"/>
      <c r="B146" s="43"/>
      <c r="C146" s="43"/>
      <c r="D146" s="43"/>
      <c r="E146" s="43"/>
      <c r="F146" s="3"/>
      <c r="G146" s="39"/>
      <c r="H146" s="13"/>
      <c r="I146" s="13"/>
      <c r="J146" s="13"/>
      <c r="K146" s="13"/>
      <c r="L146" s="13"/>
    </row>
    <row r="147" spans="1:12">
      <c r="A147" s="134"/>
      <c r="B147" s="43"/>
      <c r="C147" s="43"/>
      <c r="D147" s="43"/>
      <c r="E147" s="43"/>
      <c r="F147" s="3"/>
      <c r="G147" s="39"/>
      <c r="H147" s="13"/>
      <c r="I147" s="13"/>
      <c r="J147" s="13"/>
      <c r="K147" s="13"/>
      <c r="L147" s="13"/>
    </row>
    <row r="148" spans="1:12">
      <c r="A148" s="134"/>
      <c r="B148" s="43"/>
      <c r="C148" s="43"/>
      <c r="D148" s="43"/>
      <c r="E148" s="43"/>
      <c r="F148" s="3"/>
      <c r="G148" s="39"/>
      <c r="H148" s="13"/>
      <c r="I148" s="13"/>
      <c r="J148" s="13"/>
      <c r="K148" s="13"/>
      <c r="L148" s="13"/>
    </row>
    <row r="149" spans="1:12">
      <c r="A149" s="134"/>
      <c r="B149" s="43"/>
      <c r="C149" s="43"/>
      <c r="D149" s="43"/>
      <c r="E149" s="43"/>
      <c r="F149" s="3"/>
      <c r="G149" s="39"/>
      <c r="H149" s="13"/>
      <c r="I149" s="13"/>
      <c r="J149" s="13"/>
      <c r="K149" s="13"/>
      <c r="L149" s="13"/>
    </row>
    <row r="150" spans="1:12">
      <c r="A150" s="134"/>
      <c r="B150" s="43"/>
      <c r="C150" s="43"/>
      <c r="D150" s="43"/>
      <c r="E150" s="43"/>
      <c r="F150" s="3"/>
      <c r="G150" s="39"/>
      <c r="H150" s="13"/>
      <c r="I150" s="13"/>
      <c r="J150" s="13"/>
      <c r="K150" s="13"/>
      <c r="L150" s="13"/>
    </row>
    <row r="151" spans="1:12">
      <c r="A151" s="134"/>
      <c r="B151" s="43"/>
      <c r="C151" s="43"/>
      <c r="D151" s="43"/>
      <c r="E151" s="43"/>
      <c r="F151" s="3"/>
      <c r="G151" s="39"/>
      <c r="H151" s="13"/>
      <c r="I151" s="13"/>
      <c r="J151" s="13"/>
      <c r="K151" s="13"/>
      <c r="L151" s="13"/>
    </row>
    <row r="152" spans="1:12">
      <c r="A152" s="134"/>
      <c r="B152" s="43"/>
      <c r="C152" s="43"/>
      <c r="D152" s="43"/>
      <c r="E152" s="43"/>
      <c r="F152" s="3"/>
      <c r="G152" s="39"/>
      <c r="H152" s="13"/>
      <c r="I152" s="13"/>
      <c r="J152" s="13"/>
      <c r="K152" s="13"/>
      <c r="L152" s="13"/>
    </row>
    <row r="153" spans="1:12">
      <c r="A153" s="134"/>
      <c r="B153" s="43"/>
      <c r="C153" s="43"/>
      <c r="D153" s="43"/>
      <c r="E153" s="43"/>
      <c r="F153" s="3"/>
      <c r="G153" s="39"/>
      <c r="H153" s="13"/>
      <c r="I153" s="13"/>
      <c r="J153" s="13"/>
      <c r="K153" s="13"/>
      <c r="L153" s="13"/>
    </row>
    <row r="154" spans="1:12">
      <c r="A154" s="134"/>
      <c r="B154" s="43"/>
      <c r="C154" s="43"/>
      <c r="D154" s="43"/>
      <c r="E154" s="43"/>
      <c r="F154" s="3"/>
      <c r="G154" s="39"/>
      <c r="H154" s="13"/>
      <c r="I154" s="13"/>
      <c r="J154" s="13"/>
      <c r="K154" s="13"/>
      <c r="L154" s="13"/>
    </row>
    <row r="155" spans="1:12">
      <c r="A155" s="134"/>
      <c r="B155" s="43"/>
      <c r="C155" s="43"/>
      <c r="D155" s="43"/>
      <c r="E155" s="43"/>
      <c r="F155" s="3"/>
      <c r="G155" s="39"/>
      <c r="H155" s="13"/>
      <c r="I155" s="13"/>
      <c r="J155" s="13"/>
      <c r="K155" s="13"/>
      <c r="L155" s="13"/>
    </row>
    <row r="156" spans="1:12">
      <c r="F156" s="3"/>
      <c r="G156" s="39"/>
    </row>
  </sheetData>
  <mergeCells count="3">
    <mergeCell ref="A4:B4"/>
    <mergeCell ref="A5:A6"/>
    <mergeCell ref="A7:A8"/>
  </mergeCells>
  <conditionalFormatting sqref="A4:A5 B11:B12 A9:A10">
    <cfRule type="cellIs" dxfId="1734" priority="2467" operator="equal">
      <formula>"50HzT"</formula>
    </cfRule>
    <cfRule type="cellIs" dxfId="1733" priority="2468" operator="equal">
      <formula>"TERNA"</formula>
    </cfRule>
    <cfRule type="cellIs" dxfId="1732" priority="2469" operator="equal">
      <formula>"RTE"</formula>
    </cfRule>
    <cfRule type="cellIs" dxfId="1731" priority="2470" operator="equal">
      <formula>"ELIA"</formula>
    </cfRule>
  </conditionalFormatting>
  <conditionalFormatting sqref="B9:B10 C11:C13 B4:B6 B14:B16">
    <cfRule type="cellIs" dxfId="1730" priority="2463" operator="equal">
      <formula>"Transformer"</formula>
    </cfRule>
    <cfRule type="cellIs" dxfId="1729" priority="2464" operator="equal">
      <formula>"Fossil.Gen"</formula>
    </cfRule>
    <cfRule type="cellIs" dxfId="1728" priority="2465" operator="equal">
      <formula>"Hydro.Gen"</formula>
    </cfRule>
    <cfRule type="cellIs" dxfId="1727" priority="2466" operator="equal">
      <formula>"Nuc.Gen"</formula>
    </cfRule>
  </conditionalFormatting>
  <conditionalFormatting sqref="D9:D10 D4:D6 E11:E13 D14:D16">
    <cfRule type="timePeriod" dxfId="1726" priority="2462" timePeriod="tomorrow">
      <formula>FLOOR(D4,1)=TODAY()+1</formula>
    </cfRule>
  </conditionalFormatting>
  <conditionalFormatting sqref="E9:E10 E4:E6 E14:E16 F11:F13">
    <cfRule type="timePeriod" dxfId="1725" priority="2461" timePeriod="tomorrow">
      <formula>FLOOR(E4,1)=TODAY()+1</formula>
    </cfRule>
  </conditionalFormatting>
  <conditionalFormatting sqref="B13">
    <cfRule type="cellIs" dxfId="1724" priority="1937" operator="equal">
      <formula>"50HzT"</formula>
    </cfRule>
    <cfRule type="cellIs" dxfId="1723" priority="1938" operator="equal">
      <formula>"TERNA"</formula>
    </cfRule>
    <cfRule type="cellIs" dxfId="1722" priority="1939" operator="equal">
      <formula>"RTE"</formula>
    </cfRule>
    <cfRule type="cellIs" dxfId="1721" priority="1940" operator="equal">
      <formula>"ELIA"</formula>
    </cfRule>
  </conditionalFormatting>
  <conditionalFormatting sqref="C13">
    <cfRule type="cellIs" dxfId="1720" priority="1933" operator="equal">
      <formula>"Transformer"</formula>
    </cfRule>
    <cfRule type="cellIs" dxfId="1719" priority="1934" operator="equal">
      <formula>"Fossil.Gen"</formula>
    </cfRule>
    <cfRule type="cellIs" dxfId="1718" priority="1935" operator="equal">
      <formula>"Hydro.Gen"</formula>
    </cfRule>
    <cfRule type="cellIs" dxfId="1717" priority="1936" operator="equal">
      <formula>"Nuc.Gen"</formula>
    </cfRule>
  </conditionalFormatting>
  <conditionalFormatting sqref="E13">
    <cfRule type="timePeriod" dxfId="1716" priority="1932" timePeriod="tomorrow">
      <formula>FLOOR(E13,1)=TODAY()+1</formula>
    </cfRule>
  </conditionalFormatting>
  <conditionalFormatting sqref="F13">
    <cfRule type="timePeriod" dxfId="1715" priority="1931" timePeriod="tomorrow">
      <formula>FLOOR(F13,1)=TODAY()+1</formula>
    </cfRule>
  </conditionalFormatting>
  <conditionalFormatting sqref="A7">
    <cfRule type="cellIs" dxfId="1714" priority="1927" operator="equal">
      <formula>"50HzT"</formula>
    </cfRule>
    <cfRule type="cellIs" dxfId="1713" priority="1928" operator="equal">
      <formula>"TERNA"</formula>
    </cfRule>
    <cfRule type="cellIs" dxfId="1712" priority="1929" operator="equal">
      <formula>"RTE"</formula>
    </cfRule>
    <cfRule type="cellIs" dxfId="1711" priority="1930" operator="equal">
      <formula>"ELIA"</formula>
    </cfRule>
  </conditionalFormatting>
  <conditionalFormatting sqref="B7:B8">
    <cfRule type="cellIs" dxfId="1710" priority="1923" operator="equal">
      <formula>"Transformer"</formula>
    </cfRule>
    <cfRule type="cellIs" dxfId="1709" priority="1924" operator="equal">
      <formula>"Fossil.Gen"</formula>
    </cfRule>
    <cfRule type="cellIs" dxfId="1708" priority="1925" operator="equal">
      <formula>"Hydro.Gen"</formula>
    </cfRule>
    <cfRule type="cellIs" dxfId="1707" priority="1926" operator="equal">
      <formula>"Nuc.Gen"</formula>
    </cfRule>
  </conditionalFormatting>
  <conditionalFormatting sqref="D7:D8">
    <cfRule type="timePeriod" dxfId="1706" priority="1922" timePeriod="tomorrow">
      <formula>FLOOR(D7,1)=TODAY()+1</formula>
    </cfRule>
  </conditionalFormatting>
  <conditionalFormatting sqref="E7:E8">
    <cfRule type="timePeriod" dxfId="1705" priority="1921" timePeriod="tomorrow">
      <formula>FLOOR(E7,1)=TODAY()+1</formula>
    </cfRule>
  </conditionalFormatting>
  <conditionalFormatting sqref="A7">
    <cfRule type="cellIs" dxfId="1704" priority="1917" operator="equal">
      <formula>"50HzT"</formula>
    </cfRule>
    <cfRule type="cellIs" dxfId="1703" priority="1918" operator="equal">
      <formula>"TERNA"</formula>
    </cfRule>
    <cfRule type="cellIs" dxfId="1702" priority="1919" operator="equal">
      <formula>"RTE"</formula>
    </cfRule>
    <cfRule type="cellIs" dxfId="1701" priority="1920" operator="equal">
      <formula>"ELIA"</formula>
    </cfRule>
  </conditionalFormatting>
  <conditionalFormatting sqref="B7:B8">
    <cfRule type="cellIs" dxfId="1700" priority="1913" operator="equal">
      <formula>"Transformer"</formula>
    </cfRule>
    <cfRule type="cellIs" dxfId="1699" priority="1914" operator="equal">
      <formula>"Fossil.Gen"</formula>
    </cfRule>
    <cfRule type="cellIs" dxfId="1698" priority="1915" operator="equal">
      <formula>"Hydro.Gen"</formula>
    </cfRule>
    <cfRule type="cellIs" dxfId="1697" priority="1916" operator="equal">
      <formula>"Nuc.Gen"</formula>
    </cfRule>
  </conditionalFormatting>
  <conditionalFormatting sqref="D7:D8">
    <cfRule type="timePeriod" dxfId="1696" priority="1912" timePeriod="tomorrow">
      <formula>FLOOR(D7,1)=TODAY()+1</formula>
    </cfRule>
  </conditionalFormatting>
  <conditionalFormatting sqref="E7:E8">
    <cfRule type="timePeriod" dxfId="1695" priority="1911" timePeriod="tomorrow">
      <formula>FLOOR(E7,1)=TODAY()+1</formula>
    </cfRule>
  </conditionalFormatting>
  <conditionalFormatting sqref="B13">
    <cfRule type="cellIs" dxfId="1694" priority="1907" operator="equal">
      <formula>"50HzT"</formula>
    </cfRule>
    <cfRule type="cellIs" dxfId="1693" priority="1908" operator="equal">
      <formula>"TERNA"</formula>
    </cfRule>
    <cfRule type="cellIs" dxfId="1692" priority="1909" operator="equal">
      <formula>"RTE"</formula>
    </cfRule>
    <cfRule type="cellIs" dxfId="1691" priority="1910" operator="equal">
      <formula>"ELIA"</formula>
    </cfRule>
  </conditionalFormatting>
  <conditionalFormatting sqref="C13">
    <cfRule type="cellIs" dxfId="1690" priority="1903" operator="equal">
      <formula>"Transformer"</formula>
    </cfRule>
    <cfRule type="cellIs" dxfId="1689" priority="1904" operator="equal">
      <formula>"Fossil.Gen"</formula>
    </cfRule>
    <cfRule type="cellIs" dxfId="1688" priority="1905" operator="equal">
      <formula>"Hydro.Gen"</formula>
    </cfRule>
    <cfRule type="cellIs" dxfId="1687" priority="1906" operator="equal">
      <formula>"Nuc.Gen"</formula>
    </cfRule>
  </conditionalFormatting>
  <conditionalFormatting sqref="E13">
    <cfRule type="timePeriod" dxfId="1686" priority="1902" timePeriod="tomorrow">
      <formula>FLOOR(E13,1)=TODAY()+1</formula>
    </cfRule>
  </conditionalFormatting>
  <conditionalFormatting sqref="F13">
    <cfRule type="timePeriod" dxfId="1685" priority="1901" timePeriod="tomorrow">
      <formula>FLOOR(F13,1)=TODAY()+1</formula>
    </cfRule>
  </conditionalFormatting>
  <conditionalFormatting sqref="A7">
    <cfRule type="cellIs" dxfId="1684" priority="1897" operator="equal">
      <formula>"50HzT"</formula>
    </cfRule>
    <cfRule type="cellIs" dxfId="1683" priority="1898" operator="equal">
      <formula>"TERNA"</formula>
    </cfRule>
    <cfRule type="cellIs" dxfId="1682" priority="1899" operator="equal">
      <formula>"RTE"</formula>
    </cfRule>
    <cfRule type="cellIs" dxfId="1681" priority="1900" operator="equal">
      <formula>"ELIA"</formula>
    </cfRule>
  </conditionalFormatting>
  <conditionalFormatting sqref="B7:B8">
    <cfRule type="cellIs" dxfId="1680" priority="1893" operator="equal">
      <formula>"Transformer"</formula>
    </cfRule>
    <cfRule type="cellIs" dxfId="1679" priority="1894" operator="equal">
      <formula>"Fossil.Gen"</formula>
    </cfRule>
    <cfRule type="cellIs" dxfId="1678" priority="1895" operator="equal">
      <formula>"Hydro.Gen"</formula>
    </cfRule>
    <cfRule type="cellIs" dxfId="1677" priority="1896" operator="equal">
      <formula>"Nuc.Gen"</formula>
    </cfRule>
  </conditionalFormatting>
  <conditionalFormatting sqref="D7:D8">
    <cfRule type="timePeriod" dxfId="1676" priority="1892" timePeriod="tomorrow">
      <formula>FLOOR(D7,1)=TODAY()+1</formula>
    </cfRule>
  </conditionalFormatting>
  <conditionalFormatting sqref="E7:E8">
    <cfRule type="timePeriod" dxfId="1675" priority="1891" timePeriod="tomorrow">
      <formula>FLOOR(E7,1)=TODAY()+1</formula>
    </cfRule>
  </conditionalFormatting>
  <conditionalFormatting sqref="B13">
    <cfRule type="cellIs" dxfId="1674" priority="1887" operator="equal">
      <formula>"50HzT"</formula>
    </cfRule>
    <cfRule type="cellIs" dxfId="1673" priority="1888" operator="equal">
      <formula>"TERNA"</formula>
    </cfRule>
    <cfRule type="cellIs" dxfId="1672" priority="1889" operator="equal">
      <formula>"RTE"</formula>
    </cfRule>
    <cfRule type="cellIs" dxfId="1671" priority="1890" operator="equal">
      <formula>"ELIA"</formula>
    </cfRule>
  </conditionalFormatting>
  <conditionalFormatting sqref="C13">
    <cfRule type="cellIs" dxfId="1670" priority="1883" operator="equal">
      <formula>"Transformer"</formula>
    </cfRule>
    <cfRule type="cellIs" dxfId="1669" priority="1884" operator="equal">
      <formula>"Fossil.Gen"</formula>
    </cfRule>
    <cfRule type="cellIs" dxfId="1668" priority="1885" operator="equal">
      <formula>"Hydro.Gen"</formula>
    </cfRule>
    <cfRule type="cellIs" dxfId="1667" priority="1886" operator="equal">
      <formula>"Nuc.Gen"</formula>
    </cfRule>
  </conditionalFormatting>
  <conditionalFormatting sqref="E13">
    <cfRule type="timePeriod" dxfId="1666" priority="1882" timePeriod="tomorrow">
      <formula>FLOOR(E13,1)=TODAY()+1</formula>
    </cfRule>
  </conditionalFormatting>
  <conditionalFormatting sqref="F13">
    <cfRule type="timePeriod" dxfId="1665" priority="1881" timePeriod="tomorrow">
      <formula>FLOOR(F13,1)=TODAY()+1</formula>
    </cfRule>
  </conditionalFormatting>
  <conditionalFormatting sqref="A7">
    <cfRule type="cellIs" dxfId="1664" priority="1877" operator="equal">
      <formula>"50HzT"</formula>
    </cfRule>
    <cfRule type="cellIs" dxfId="1663" priority="1878" operator="equal">
      <formula>"TERNA"</formula>
    </cfRule>
    <cfRule type="cellIs" dxfId="1662" priority="1879" operator="equal">
      <formula>"RTE"</formula>
    </cfRule>
    <cfRule type="cellIs" dxfId="1661" priority="1880" operator="equal">
      <formula>"ELIA"</formula>
    </cfRule>
  </conditionalFormatting>
  <conditionalFormatting sqref="B7:B8">
    <cfRule type="cellIs" dxfId="1660" priority="1873" operator="equal">
      <formula>"Transformer"</formula>
    </cfRule>
    <cfRule type="cellIs" dxfId="1659" priority="1874" operator="equal">
      <formula>"Fossil.Gen"</formula>
    </cfRule>
    <cfRule type="cellIs" dxfId="1658" priority="1875" operator="equal">
      <formula>"Hydro.Gen"</formula>
    </cfRule>
    <cfRule type="cellIs" dxfId="1657" priority="1876" operator="equal">
      <formula>"Nuc.Gen"</formula>
    </cfRule>
  </conditionalFormatting>
  <conditionalFormatting sqref="D7:D8">
    <cfRule type="timePeriod" dxfId="1656" priority="1872" timePeriod="tomorrow">
      <formula>FLOOR(D7,1)=TODAY()+1</formula>
    </cfRule>
  </conditionalFormatting>
  <conditionalFormatting sqref="E7:E8">
    <cfRule type="timePeriod" dxfId="1655" priority="1871" timePeriod="tomorrow">
      <formula>FLOOR(E7,1)=TODAY()+1</formula>
    </cfRule>
  </conditionalFormatting>
  <conditionalFormatting sqref="B13">
    <cfRule type="cellIs" dxfId="1654" priority="1867" operator="equal">
      <formula>"50HzT"</formula>
    </cfRule>
    <cfRule type="cellIs" dxfId="1653" priority="1868" operator="equal">
      <formula>"TERNA"</formula>
    </cfRule>
    <cfRule type="cellIs" dxfId="1652" priority="1869" operator="equal">
      <formula>"RTE"</formula>
    </cfRule>
    <cfRule type="cellIs" dxfId="1651" priority="1870" operator="equal">
      <formula>"ELIA"</formula>
    </cfRule>
  </conditionalFormatting>
  <conditionalFormatting sqref="C13">
    <cfRule type="cellIs" dxfId="1650" priority="1863" operator="equal">
      <formula>"Transformer"</formula>
    </cfRule>
    <cfRule type="cellIs" dxfId="1649" priority="1864" operator="equal">
      <formula>"Fossil.Gen"</formula>
    </cfRule>
    <cfRule type="cellIs" dxfId="1648" priority="1865" operator="equal">
      <formula>"Hydro.Gen"</formula>
    </cfRule>
    <cfRule type="cellIs" dxfId="1647" priority="1866" operator="equal">
      <formula>"Nuc.Gen"</formula>
    </cfRule>
  </conditionalFormatting>
  <conditionalFormatting sqref="E13">
    <cfRule type="timePeriod" dxfId="1646" priority="1862" timePeriod="tomorrow">
      <formula>FLOOR(E13,1)=TODAY()+1</formula>
    </cfRule>
  </conditionalFormatting>
  <conditionalFormatting sqref="F13">
    <cfRule type="timePeriod" dxfId="1645" priority="1861" timePeriod="tomorrow">
      <formula>FLOOR(F13,1)=TODAY()+1</formula>
    </cfRule>
  </conditionalFormatting>
  <conditionalFormatting sqref="A7">
    <cfRule type="cellIs" dxfId="1644" priority="1857" operator="equal">
      <formula>"50HzT"</formula>
    </cfRule>
    <cfRule type="cellIs" dxfId="1643" priority="1858" operator="equal">
      <formula>"TERNA"</formula>
    </cfRule>
    <cfRule type="cellIs" dxfId="1642" priority="1859" operator="equal">
      <formula>"RTE"</formula>
    </cfRule>
    <cfRule type="cellIs" dxfId="1641" priority="1860" operator="equal">
      <formula>"ELIA"</formula>
    </cfRule>
  </conditionalFormatting>
  <conditionalFormatting sqref="B7:B8">
    <cfRule type="cellIs" dxfId="1640" priority="1853" operator="equal">
      <formula>"Transformer"</formula>
    </cfRule>
    <cfRule type="cellIs" dxfId="1639" priority="1854" operator="equal">
      <formula>"Fossil.Gen"</formula>
    </cfRule>
    <cfRule type="cellIs" dxfId="1638" priority="1855" operator="equal">
      <formula>"Hydro.Gen"</formula>
    </cfRule>
    <cfRule type="cellIs" dxfId="1637" priority="1856" operator="equal">
      <formula>"Nuc.Gen"</formula>
    </cfRule>
  </conditionalFormatting>
  <conditionalFormatting sqref="D7:D8">
    <cfRule type="timePeriod" dxfId="1636" priority="1852" timePeriod="tomorrow">
      <formula>FLOOR(D7,1)=TODAY()+1</formula>
    </cfRule>
  </conditionalFormatting>
  <conditionalFormatting sqref="E7:E8">
    <cfRule type="timePeriod" dxfId="1635" priority="1851" timePeriod="tomorrow">
      <formula>FLOOR(E7,1)=TODAY()+1</formula>
    </cfRule>
  </conditionalFormatting>
  <conditionalFormatting sqref="B13">
    <cfRule type="cellIs" dxfId="1634" priority="1847" operator="equal">
      <formula>"50HzT"</formula>
    </cfRule>
    <cfRule type="cellIs" dxfId="1633" priority="1848" operator="equal">
      <formula>"TERNA"</formula>
    </cfRule>
    <cfRule type="cellIs" dxfId="1632" priority="1849" operator="equal">
      <formula>"RTE"</formula>
    </cfRule>
    <cfRule type="cellIs" dxfId="1631" priority="1850" operator="equal">
      <formula>"ELIA"</formula>
    </cfRule>
  </conditionalFormatting>
  <conditionalFormatting sqref="C13">
    <cfRule type="cellIs" dxfId="1630" priority="1843" operator="equal">
      <formula>"Transformer"</formula>
    </cfRule>
    <cfRule type="cellIs" dxfId="1629" priority="1844" operator="equal">
      <formula>"Fossil.Gen"</formula>
    </cfRule>
    <cfRule type="cellIs" dxfId="1628" priority="1845" operator="equal">
      <formula>"Hydro.Gen"</formula>
    </cfRule>
    <cfRule type="cellIs" dxfId="1627" priority="1846" operator="equal">
      <formula>"Nuc.Gen"</formula>
    </cfRule>
  </conditionalFormatting>
  <conditionalFormatting sqref="E13">
    <cfRule type="timePeriod" dxfId="1626" priority="1842" timePeriod="tomorrow">
      <formula>FLOOR(E13,1)=TODAY()+1</formula>
    </cfRule>
  </conditionalFormatting>
  <conditionalFormatting sqref="F13">
    <cfRule type="timePeriod" dxfId="1625" priority="1841" timePeriod="tomorrow">
      <formula>FLOOR(F13,1)=TODAY()+1</formula>
    </cfRule>
  </conditionalFormatting>
  <conditionalFormatting sqref="A7">
    <cfRule type="cellIs" dxfId="1624" priority="1837" operator="equal">
      <formula>"50HzT"</formula>
    </cfRule>
    <cfRule type="cellIs" dxfId="1623" priority="1838" operator="equal">
      <formula>"TERNA"</formula>
    </cfRule>
    <cfRule type="cellIs" dxfId="1622" priority="1839" operator="equal">
      <formula>"RTE"</formula>
    </cfRule>
    <cfRule type="cellIs" dxfId="1621" priority="1840" operator="equal">
      <formula>"ELIA"</formula>
    </cfRule>
  </conditionalFormatting>
  <conditionalFormatting sqref="B7:B8">
    <cfRule type="cellIs" dxfId="1620" priority="1833" operator="equal">
      <formula>"Transformer"</formula>
    </cfRule>
    <cfRule type="cellIs" dxfId="1619" priority="1834" operator="equal">
      <formula>"Fossil.Gen"</formula>
    </cfRule>
    <cfRule type="cellIs" dxfId="1618" priority="1835" operator="equal">
      <formula>"Hydro.Gen"</formula>
    </cfRule>
    <cfRule type="cellIs" dxfId="1617" priority="1836" operator="equal">
      <formula>"Nuc.Gen"</formula>
    </cfRule>
  </conditionalFormatting>
  <conditionalFormatting sqref="D7:D8">
    <cfRule type="timePeriod" dxfId="1616" priority="1832" timePeriod="tomorrow">
      <formula>FLOOR(D7,1)=TODAY()+1</formula>
    </cfRule>
  </conditionalFormatting>
  <conditionalFormatting sqref="E7:E8">
    <cfRule type="timePeriod" dxfId="1615" priority="1831" timePeriod="tomorrow">
      <formula>FLOOR(E7,1)=TODAY()+1</formula>
    </cfRule>
  </conditionalFormatting>
  <conditionalFormatting sqref="B13">
    <cfRule type="cellIs" dxfId="1614" priority="1827" operator="equal">
      <formula>"50HzT"</formula>
    </cfRule>
    <cfRule type="cellIs" dxfId="1613" priority="1828" operator="equal">
      <formula>"TERNA"</formula>
    </cfRule>
    <cfRule type="cellIs" dxfId="1612" priority="1829" operator="equal">
      <formula>"RTE"</formula>
    </cfRule>
    <cfRule type="cellIs" dxfId="1611" priority="1830" operator="equal">
      <formula>"ELIA"</formula>
    </cfRule>
  </conditionalFormatting>
  <conditionalFormatting sqref="C13">
    <cfRule type="cellIs" dxfId="1610" priority="1823" operator="equal">
      <formula>"Transformer"</formula>
    </cfRule>
    <cfRule type="cellIs" dxfId="1609" priority="1824" operator="equal">
      <formula>"Fossil.Gen"</formula>
    </cfRule>
    <cfRule type="cellIs" dxfId="1608" priority="1825" operator="equal">
      <formula>"Hydro.Gen"</formula>
    </cfRule>
    <cfRule type="cellIs" dxfId="1607" priority="1826" operator="equal">
      <formula>"Nuc.Gen"</formula>
    </cfRule>
  </conditionalFormatting>
  <conditionalFormatting sqref="E13">
    <cfRule type="timePeriod" dxfId="1606" priority="1822" timePeriod="tomorrow">
      <formula>FLOOR(E13,1)=TODAY()+1</formula>
    </cfRule>
  </conditionalFormatting>
  <conditionalFormatting sqref="F13">
    <cfRule type="timePeriod" dxfId="1605" priority="1821" timePeriod="tomorrow">
      <formula>FLOOR(F13,1)=TODAY()+1</formula>
    </cfRule>
  </conditionalFormatting>
  <conditionalFormatting sqref="A7">
    <cfRule type="cellIs" dxfId="1604" priority="1817" operator="equal">
      <formula>"50HzT"</formula>
    </cfRule>
    <cfRule type="cellIs" dxfId="1603" priority="1818" operator="equal">
      <formula>"TERNA"</formula>
    </cfRule>
    <cfRule type="cellIs" dxfId="1602" priority="1819" operator="equal">
      <formula>"RTE"</formula>
    </cfRule>
    <cfRule type="cellIs" dxfId="1601" priority="1820" operator="equal">
      <formula>"ELIA"</formula>
    </cfRule>
  </conditionalFormatting>
  <conditionalFormatting sqref="B7:B8">
    <cfRule type="cellIs" dxfId="1600" priority="1813" operator="equal">
      <formula>"Transformer"</formula>
    </cfRule>
    <cfRule type="cellIs" dxfId="1599" priority="1814" operator="equal">
      <formula>"Fossil.Gen"</formula>
    </cfRule>
    <cfRule type="cellIs" dxfId="1598" priority="1815" operator="equal">
      <formula>"Hydro.Gen"</formula>
    </cfRule>
    <cfRule type="cellIs" dxfId="1597" priority="1816" operator="equal">
      <formula>"Nuc.Gen"</formula>
    </cfRule>
  </conditionalFormatting>
  <conditionalFormatting sqref="D7:D8">
    <cfRule type="timePeriod" dxfId="1596" priority="1812" timePeriod="tomorrow">
      <formula>FLOOR(D7,1)=TODAY()+1</formula>
    </cfRule>
  </conditionalFormatting>
  <conditionalFormatting sqref="E7:E8">
    <cfRule type="timePeriod" dxfId="1595" priority="1811" timePeriod="tomorrow">
      <formula>FLOOR(E7,1)=TODAY()+1</formula>
    </cfRule>
  </conditionalFormatting>
  <conditionalFormatting sqref="B13">
    <cfRule type="cellIs" dxfId="1594" priority="1807" operator="equal">
      <formula>"50HzT"</formula>
    </cfRule>
    <cfRule type="cellIs" dxfId="1593" priority="1808" operator="equal">
      <formula>"TERNA"</formula>
    </cfRule>
    <cfRule type="cellIs" dxfId="1592" priority="1809" operator="equal">
      <formula>"RTE"</formula>
    </cfRule>
    <cfRule type="cellIs" dxfId="1591" priority="1810" operator="equal">
      <formula>"ELIA"</formula>
    </cfRule>
  </conditionalFormatting>
  <conditionalFormatting sqref="C13">
    <cfRule type="cellIs" dxfId="1590" priority="1803" operator="equal">
      <formula>"Transformer"</formula>
    </cfRule>
    <cfRule type="cellIs" dxfId="1589" priority="1804" operator="equal">
      <formula>"Fossil.Gen"</formula>
    </cfRule>
    <cfRule type="cellIs" dxfId="1588" priority="1805" operator="equal">
      <formula>"Hydro.Gen"</formula>
    </cfRule>
    <cfRule type="cellIs" dxfId="1587" priority="1806" operator="equal">
      <formula>"Nuc.Gen"</formula>
    </cfRule>
  </conditionalFormatting>
  <conditionalFormatting sqref="E13">
    <cfRule type="timePeriod" dxfId="1586" priority="1802" timePeriod="tomorrow">
      <formula>FLOOR(E13,1)=TODAY()+1</formula>
    </cfRule>
  </conditionalFormatting>
  <conditionalFormatting sqref="F13">
    <cfRule type="timePeriod" dxfId="1585" priority="1801" timePeriod="tomorrow">
      <formula>FLOOR(F13,1)=TODAY()+1</formula>
    </cfRule>
  </conditionalFormatting>
  <conditionalFormatting sqref="A7">
    <cfRule type="cellIs" dxfId="1584" priority="1797" operator="equal">
      <formula>"50HzT"</formula>
    </cfRule>
    <cfRule type="cellIs" dxfId="1583" priority="1798" operator="equal">
      <formula>"TERNA"</formula>
    </cfRule>
    <cfRule type="cellIs" dxfId="1582" priority="1799" operator="equal">
      <formula>"RTE"</formula>
    </cfRule>
    <cfRule type="cellIs" dxfId="1581" priority="1800" operator="equal">
      <formula>"ELIA"</formula>
    </cfRule>
  </conditionalFormatting>
  <conditionalFormatting sqref="B7:B8">
    <cfRule type="cellIs" dxfId="1580" priority="1793" operator="equal">
      <formula>"Transformer"</formula>
    </cfRule>
    <cfRule type="cellIs" dxfId="1579" priority="1794" operator="equal">
      <formula>"Fossil.Gen"</formula>
    </cfRule>
    <cfRule type="cellIs" dxfId="1578" priority="1795" operator="equal">
      <formula>"Hydro.Gen"</formula>
    </cfRule>
    <cfRule type="cellIs" dxfId="1577" priority="1796" operator="equal">
      <formula>"Nuc.Gen"</formula>
    </cfRule>
  </conditionalFormatting>
  <conditionalFormatting sqref="D7:D8">
    <cfRule type="timePeriod" dxfId="1576" priority="1792" timePeriod="tomorrow">
      <formula>FLOOR(D7,1)=TODAY()+1</formula>
    </cfRule>
  </conditionalFormatting>
  <conditionalFormatting sqref="E7:E8">
    <cfRule type="timePeriod" dxfId="1575" priority="1791" timePeriod="tomorrow">
      <formula>FLOOR(E7,1)=TODAY()+1</formula>
    </cfRule>
  </conditionalFormatting>
  <conditionalFormatting sqref="B13">
    <cfRule type="cellIs" dxfId="1574" priority="1787" operator="equal">
      <formula>"50HzT"</formula>
    </cfRule>
    <cfRule type="cellIs" dxfId="1573" priority="1788" operator="equal">
      <formula>"TERNA"</formula>
    </cfRule>
    <cfRule type="cellIs" dxfId="1572" priority="1789" operator="equal">
      <formula>"RTE"</formula>
    </cfRule>
    <cfRule type="cellIs" dxfId="1571" priority="1790" operator="equal">
      <formula>"ELIA"</formula>
    </cfRule>
  </conditionalFormatting>
  <conditionalFormatting sqref="C13">
    <cfRule type="cellIs" dxfId="1570" priority="1783" operator="equal">
      <formula>"Transformer"</formula>
    </cfRule>
    <cfRule type="cellIs" dxfId="1569" priority="1784" operator="equal">
      <formula>"Fossil.Gen"</formula>
    </cfRule>
    <cfRule type="cellIs" dxfId="1568" priority="1785" operator="equal">
      <formula>"Hydro.Gen"</formula>
    </cfRule>
    <cfRule type="cellIs" dxfId="1567" priority="1786" operator="equal">
      <formula>"Nuc.Gen"</formula>
    </cfRule>
  </conditionalFormatting>
  <conditionalFormatting sqref="E13">
    <cfRule type="timePeriod" dxfId="1566" priority="1782" timePeriod="tomorrow">
      <formula>FLOOR(E13,1)=TODAY()+1</formula>
    </cfRule>
  </conditionalFormatting>
  <conditionalFormatting sqref="F13">
    <cfRule type="timePeriod" dxfId="1565" priority="1781" timePeriod="tomorrow">
      <formula>FLOOR(F13,1)=TODAY()+1</formula>
    </cfRule>
  </conditionalFormatting>
  <conditionalFormatting sqref="A7">
    <cfRule type="cellIs" dxfId="1564" priority="1777" operator="equal">
      <formula>"50HzT"</formula>
    </cfRule>
    <cfRule type="cellIs" dxfId="1563" priority="1778" operator="equal">
      <formula>"TERNA"</formula>
    </cfRule>
    <cfRule type="cellIs" dxfId="1562" priority="1779" operator="equal">
      <formula>"RTE"</formula>
    </cfRule>
    <cfRule type="cellIs" dxfId="1561" priority="1780" operator="equal">
      <formula>"ELIA"</formula>
    </cfRule>
  </conditionalFormatting>
  <conditionalFormatting sqref="B7:B8">
    <cfRule type="cellIs" dxfId="1560" priority="1773" operator="equal">
      <formula>"Transformer"</formula>
    </cfRule>
    <cfRule type="cellIs" dxfId="1559" priority="1774" operator="equal">
      <formula>"Fossil.Gen"</formula>
    </cfRule>
    <cfRule type="cellIs" dxfId="1558" priority="1775" operator="equal">
      <formula>"Hydro.Gen"</formula>
    </cfRule>
    <cfRule type="cellIs" dxfId="1557" priority="1776" operator="equal">
      <formula>"Nuc.Gen"</formula>
    </cfRule>
  </conditionalFormatting>
  <conditionalFormatting sqref="D7:D8">
    <cfRule type="timePeriod" dxfId="1556" priority="1772" timePeriod="tomorrow">
      <formula>FLOOR(D7,1)=TODAY()+1</formula>
    </cfRule>
  </conditionalFormatting>
  <conditionalFormatting sqref="E7:E8">
    <cfRule type="timePeriod" dxfId="1555" priority="1771" timePeriod="tomorrow">
      <formula>FLOOR(E7,1)=TODAY()+1</formula>
    </cfRule>
  </conditionalFormatting>
  <conditionalFormatting sqref="B13">
    <cfRule type="cellIs" dxfId="1554" priority="1767" operator="equal">
      <formula>"50HzT"</formula>
    </cfRule>
    <cfRule type="cellIs" dxfId="1553" priority="1768" operator="equal">
      <formula>"TERNA"</formula>
    </cfRule>
    <cfRule type="cellIs" dxfId="1552" priority="1769" operator="equal">
      <formula>"RTE"</formula>
    </cfRule>
    <cfRule type="cellIs" dxfId="1551" priority="1770" operator="equal">
      <formula>"ELIA"</formula>
    </cfRule>
  </conditionalFormatting>
  <conditionalFormatting sqref="C13">
    <cfRule type="cellIs" dxfId="1550" priority="1763" operator="equal">
      <formula>"Transformer"</formula>
    </cfRule>
    <cfRule type="cellIs" dxfId="1549" priority="1764" operator="equal">
      <formula>"Fossil.Gen"</formula>
    </cfRule>
    <cfRule type="cellIs" dxfId="1548" priority="1765" operator="equal">
      <formula>"Hydro.Gen"</formula>
    </cfRule>
    <cfRule type="cellIs" dxfId="1547" priority="1766" operator="equal">
      <formula>"Nuc.Gen"</formula>
    </cfRule>
  </conditionalFormatting>
  <conditionalFormatting sqref="E13">
    <cfRule type="timePeriod" dxfId="1546" priority="1762" timePeriod="tomorrow">
      <formula>FLOOR(E13,1)=TODAY()+1</formula>
    </cfRule>
  </conditionalFormatting>
  <conditionalFormatting sqref="F13">
    <cfRule type="timePeriod" dxfId="1545" priority="1761" timePeriod="tomorrow">
      <formula>FLOOR(F13,1)=TODAY()+1</formula>
    </cfRule>
  </conditionalFormatting>
  <conditionalFormatting sqref="A7">
    <cfRule type="cellIs" dxfId="1544" priority="1757" operator="equal">
      <formula>"50HzT"</formula>
    </cfRule>
    <cfRule type="cellIs" dxfId="1543" priority="1758" operator="equal">
      <formula>"TERNA"</formula>
    </cfRule>
    <cfRule type="cellIs" dxfId="1542" priority="1759" operator="equal">
      <formula>"RTE"</formula>
    </cfRule>
    <cfRule type="cellIs" dxfId="1541" priority="1760" operator="equal">
      <formula>"ELIA"</formula>
    </cfRule>
  </conditionalFormatting>
  <conditionalFormatting sqref="B7:B8">
    <cfRule type="cellIs" dxfId="1540" priority="1753" operator="equal">
      <formula>"Transformer"</formula>
    </cfRule>
    <cfRule type="cellIs" dxfId="1539" priority="1754" operator="equal">
      <formula>"Fossil.Gen"</formula>
    </cfRule>
    <cfRule type="cellIs" dxfId="1538" priority="1755" operator="equal">
      <formula>"Hydro.Gen"</formula>
    </cfRule>
    <cfRule type="cellIs" dxfId="1537" priority="1756" operator="equal">
      <formula>"Nuc.Gen"</formula>
    </cfRule>
  </conditionalFormatting>
  <conditionalFormatting sqref="D7:D8">
    <cfRule type="timePeriod" dxfId="1536" priority="1752" timePeriod="tomorrow">
      <formula>FLOOR(D7,1)=TODAY()+1</formula>
    </cfRule>
  </conditionalFormatting>
  <conditionalFormatting sqref="E7:E8">
    <cfRule type="timePeriod" dxfId="1535" priority="1751" timePeriod="tomorrow">
      <formula>FLOOR(E7,1)=TODAY()+1</formula>
    </cfRule>
  </conditionalFormatting>
  <conditionalFormatting sqref="B13">
    <cfRule type="cellIs" dxfId="1534" priority="1747" operator="equal">
      <formula>"50HzT"</formula>
    </cfRule>
    <cfRule type="cellIs" dxfId="1533" priority="1748" operator="equal">
      <formula>"TERNA"</formula>
    </cfRule>
    <cfRule type="cellIs" dxfId="1532" priority="1749" operator="equal">
      <formula>"RTE"</formula>
    </cfRule>
    <cfRule type="cellIs" dxfId="1531" priority="1750" operator="equal">
      <formula>"ELIA"</formula>
    </cfRule>
  </conditionalFormatting>
  <conditionalFormatting sqref="C13">
    <cfRule type="cellIs" dxfId="1530" priority="1743" operator="equal">
      <formula>"Transformer"</formula>
    </cfRule>
    <cfRule type="cellIs" dxfId="1529" priority="1744" operator="equal">
      <formula>"Fossil.Gen"</formula>
    </cfRule>
    <cfRule type="cellIs" dxfId="1528" priority="1745" operator="equal">
      <formula>"Hydro.Gen"</formula>
    </cfRule>
    <cfRule type="cellIs" dxfId="1527" priority="1746" operator="equal">
      <formula>"Nuc.Gen"</formula>
    </cfRule>
  </conditionalFormatting>
  <conditionalFormatting sqref="E13">
    <cfRule type="timePeriod" dxfId="1526" priority="1742" timePeriod="tomorrow">
      <formula>FLOOR(E13,1)=TODAY()+1</formula>
    </cfRule>
  </conditionalFormatting>
  <conditionalFormatting sqref="F13">
    <cfRule type="timePeriod" dxfId="1525" priority="1741" timePeriod="tomorrow">
      <formula>FLOOR(F13,1)=TODAY()+1</formula>
    </cfRule>
  </conditionalFormatting>
  <conditionalFormatting sqref="A7">
    <cfRule type="cellIs" dxfId="1524" priority="1737" operator="equal">
      <formula>"50HzT"</formula>
    </cfRule>
    <cfRule type="cellIs" dxfId="1523" priority="1738" operator="equal">
      <formula>"TERNA"</formula>
    </cfRule>
    <cfRule type="cellIs" dxfId="1522" priority="1739" operator="equal">
      <formula>"RTE"</formula>
    </cfRule>
    <cfRule type="cellIs" dxfId="1521" priority="1740" operator="equal">
      <formula>"ELIA"</formula>
    </cfRule>
  </conditionalFormatting>
  <conditionalFormatting sqref="B7:B8">
    <cfRule type="cellIs" dxfId="1520" priority="1733" operator="equal">
      <formula>"Transformer"</formula>
    </cfRule>
    <cfRule type="cellIs" dxfId="1519" priority="1734" operator="equal">
      <formula>"Fossil.Gen"</formula>
    </cfRule>
    <cfRule type="cellIs" dxfId="1518" priority="1735" operator="equal">
      <formula>"Hydro.Gen"</formula>
    </cfRule>
    <cfRule type="cellIs" dxfId="1517" priority="1736" operator="equal">
      <formula>"Nuc.Gen"</formula>
    </cfRule>
  </conditionalFormatting>
  <conditionalFormatting sqref="D7:D8">
    <cfRule type="timePeriod" dxfId="1516" priority="1732" timePeriod="tomorrow">
      <formula>FLOOR(D7,1)=TODAY()+1</formula>
    </cfRule>
  </conditionalFormatting>
  <conditionalFormatting sqref="E7:E8">
    <cfRule type="timePeriod" dxfId="1515" priority="1731" timePeriod="tomorrow">
      <formula>FLOOR(E7,1)=TODAY()+1</formula>
    </cfRule>
  </conditionalFormatting>
  <conditionalFormatting sqref="B13">
    <cfRule type="cellIs" dxfId="1514" priority="1727" operator="equal">
      <formula>"50HzT"</formula>
    </cfRule>
    <cfRule type="cellIs" dxfId="1513" priority="1728" operator="equal">
      <formula>"TERNA"</formula>
    </cfRule>
    <cfRule type="cellIs" dxfId="1512" priority="1729" operator="equal">
      <formula>"RTE"</formula>
    </cfRule>
    <cfRule type="cellIs" dxfId="1511" priority="1730" operator="equal">
      <formula>"ELIA"</formula>
    </cfRule>
  </conditionalFormatting>
  <conditionalFormatting sqref="C13">
    <cfRule type="cellIs" dxfId="1510" priority="1723" operator="equal">
      <formula>"Transformer"</formula>
    </cfRule>
    <cfRule type="cellIs" dxfId="1509" priority="1724" operator="equal">
      <formula>"Fossil.Gen"</formula>
    </cfRule>
    <cfRule type="cellIs" dxfId="1508" priority="1725" operator="equal">
      <formula>"Hydro.Gen"</formula>
    </cfRule>
    <cfRule type="cellIs" dxfId="1507" priority="1726" operator="equal">
      <formula>"Nuc.Gen"</formula>
    </cfRule>
  </conditionalFormatting>
  <conditionalFormatting sqref="E13">
    <cfRule type="timePeriod" dxfId="1506" priority="1722" timePeriod="tomorrow">
      <formula>FLOOR(E13,1)=TODAY()+1</formula>
    </cfRule>
  </conditionalFormatting>
  <conditionalFormatting sqref="F13">
    <cfRule type="timePeriod" dxfId="1505" priority="1721" timePeriod="tomorrow">
      <formula>FLOOR(F13,1)=TODAY()+1</formula>
    </cfRule>
  </conditionalFormatting>
  <conditionalFormatting sqref="A7">
    <cfRule type="cellIs" dxfId="1504" priority="1717" operator="equal">
      <formula>"50HzT"</formula>
    </cfRule>
    <cfRule type="cellIs" dxfId="1503" priority="1718" operator="equal">
      <formula>"TERNA"</formula>
    </cfRule>
    <cfRule type="cellIs" dxfId="1502" priority="1719" operator="equal">
      <formula>"RTE"</formula>
    </cfRule>
    <cfRule type="cellIs" dxfId="1501" priority="1720" operator="equal">
      <formula>"ELIA"</formula>
    </cfRule>
  </conditionalFormatting>
  <conditionalFormatting sqref="B7:B8">
    <cfRule type="cellIs" dxfId="1500" priority="1713" operator="equal">
      <formula>"Transformer"</formula>
    </cfRule>
    <cfRule type="cellIs" dxfId="1499" priority="1714" operator="equal">
      <formula>"Fossil.Gen"</formula>
    </cfRule>
    <cfRule type="cellIs" dxfId="1498" priority="1715" operator="equal">
      <formula>"Hydro.Gen"</formula>
    </cfRule>
    <cfRule type="cellIs" dxfId="1497" priority="1716" operator="equal">
      <formula>"Nuc.Gen"</formula>
    </cfRule>
  </conditionalFormatting>
  <conditionalFormatting sqref="D7:D8">
    <cfRule type="timePeriod" dxfId="1496" priority="1712" timePeriod="tomorrow">
      <formula>FLOOR(D7,1)=TODAY()+1</formula>
    </cfRule>
  </conditionalFormatting>
  <conditionalFormatting sqref="E7:E8">
    <cfRule type="timePeriod" dxfId="1495" priority="1711" timePeriod="tomorrow">
      <formula>FLOOR(E7,1)=TODAY()+1</formula>
    </cfRule>
  </conditionalFormatting>
  <conditionalFormatting sqref="B13">
    <cfRule type="cellIs" dxfId="1494" priority="1707" operator="equal">
      <formula>"50HzT"</formula>
    </cfRule>
    <cfRule type="cellIs" dxfId="1493" priority="1708" operator="equal">
      <formula>"TERNA"</formula>
    </cfRule>
    <cfRule type="cellIs" dxfId="1492" priority="1709" operator="equal">
      <formula>"RTE"</formula>
    </cfRule>
    <cfRule type="cellIs" dxfId="1491" priority="1710" operator="equal">
      <formula>"ELIA"</formula>
    </cfRule>
  </conditionalFormatting>
  <conditionalFormatting sqref="C13">
    <cfRule type="cellIs" dxfId="1490" priority="1703" operator="equal">
      <formula>"Transformer"</formula>
    </cfRule>
    <cfRule type="cellIs" dxfId="1489" priority="1704" operator="equal">
      <formula>"Fossil.Gen"</formula>
    </cfRule>
    <cfRule type="cellIs" dxfId="1488" priority="1705" operator="equal">
      <formula>"Hydro.Gen"</formula>
    </cfRule>
    <cfRule type="cellIs" dxfId="1487" priority="1706" operator="equal">
      <formula>"Nuc.Gen"</formula>
    </cfRule>
  </conditionalFormatting>
  <conditionalFormatting sqref="E13">
    <cfRule type="timePeriod" dxfId="1486" priority="1702" timePeriod="tomorrow">
      <formula>FLOOR(E13,1)=TODAY()+1</formula>
    </cfRule>
  </conditionalFormatting>
  <conditionalFormatting sqref="F13">
    <cfRule type="timePeriod" dxfId="1485" priority="1701" timePeriod="tomorrow">
      <formula>FLOOR(F13,1)=TODAY()+1</formula>
    </cfRule>
  </conditionalFormatting>
  <conditionalFormatting sqref="A7">
    <cfRule type="cellIs" dxfId="1484" priority="1697" operator="equal">
      <formula>"50HzT"</formula>
    </cfRule>
    <cfRule type="cellIs" dxfId="1483" priority="1698" operator="equal">
      <formula>"TERNA"</formula>
    </cfRule>
    <cfRule type="cellIs" dxfId="1482" priority="1699" operator="equal">
      <formula>"RTE"</formula>
    </cfRule>
    <cfRule type="cellIs" dxfId="1481" priority="1700" operator="equal">
      <formula>"ELIA"</formula>
    </cfRule>
  </conditionalFormatting>
  <conditionalFormatting sqref="B7:B8">
    <cfRule type="cellIs" dxfId="1480" priority="1693" operator="equal">
      <formula>"Transformer"</formula>
    </cfRule>
    <cfRule type="cellIs" dxfId="1479" priority="1694" operator="equal">
      <formula>"Fossil.Gen"</formula>
    </cfRule>
    <cfRule type="cellIs" dxfId="1478" priority="1695" operator="equal">
      <formula>"Hydro.Gen"</formula>
    </cfRule>
    <cfRule type="cellIs" dxfId="1477" priority="1696" operator="equal">
      <formula>"Nuc.Gen"</formula>
    </cfRule>
  </conditionalFormatting>
  <conditionalFormatting sqref="D7:D8">
    <cfRule type="timePeriod" dxfId="1476" priority="1692" timePeriod="tomorrow">
      <formula>FLOOR(D7,1)=TODAY()+1</formula>
    </cfRule>
  </conditionalFormatting>
  <conditionalFormatting sqref="E7:E8">
    <cfRule type="timePeriod" dxfId="1475" priority="1691" timePeriod="tomorrow">
      <formula>FLOOR(E7,1)=TODAY()+1</formula>
    </cfRule>
  </conditionalFormatting>
  <conditionalFormatting sqref="B13">
    <cfRule type="cellIs" dxfId="1474" priority="1687" operator="equal">
      <formula>"50HzT"</formula>
    </cfRule>
    <cfRule type="cellIs" dxfId="1473" priority="1688" operator="equal">
      <formula>"TERNA"</formula>
    </cfRule>
    <cfRule type="cellIs" dxfId="1472" priority="1689" operator="equal">
      <formula>"RTE"</formula>
    </cfRule>
    <cfRule type="cellIs" dxfId="1471" priority="1690" operator="equal">
      <formula>"ELIA"</formula>
    </cfRule>
  </conditionalFormatting>
  <conditionalFormatting sqref="C13">
    <cfRule type="cellIs" dxfId="1470" priority="1683" operator="equal">
      <formula>"Transformer"</formula>
    </cfRule>
    <cfRule type="cellIs" dxfId="1469" priority="1684" operator="equal">
      <formula>"Fossil.Gen"</formula>
    </cfRule>
    <cfRule type="cellIs" dxfId="1468" priority="1685" operator="equal">
      <formula>"Hydro.Gen"</formula>
    </cfRule>
    <cfRule type="cellIs" dxfId="1467" priority="1686" operator="equal">
      <formula>"Nuc.Gen"</formula>
    </cfRule>
  </conditionalFormatting>
  <conditionalFormatting sqref="E13">
    <cfRule type="timePeriod" dxfId="1466" priority="1682" timePeriod="tomorrow">
      <formula>FLOOR(E13,1)=TODAY()+1</formula>
    </cfRule>
  </conditionalFormatting>
  <conditionalFormatting sqref="F13">
    <cfRule type="timePeriod" dxfId="1465" priority="1681" timePeriod="tomorrow">
      <formula>FLOOR(F13,1)=TODAY()+1</formula>
    </cfRule>
  </conditionalFormatting>
  <conditionalFormatting sqref="A7">
    <cfRule type="cellIs" dxfId="1464" priority="1677" operator="equal">
      <formula>"50HzT"</formula>
    </cfRule>
    <cfRule type="cellIs" dxfId="1463" priority="1678" operator="equal">
      <formula>"TERNA"</formula>
    </cfRule>
    <cfRule type="cellIs" dxfId="1462" priority="1679" operator="equal">
      <formula>"RTE"</formula>
    </cfRule>
    <cfRule type="cellIs" dxfId="1461" priority="1680" operator="equal">
      <formula>"ELIA"</formula>
    </cfRule>
  </conditionalFormatting>
  <conditionalFormatting sqref="B7:B8">
    <cfRule type="cellIs" dxfId="1460" priority="1673" operator="equal">
      <formula>"Transformer"</formula>
    </cfRule>
    <cfRule type="cellIs" dxfId="1459" priority="1674" operator="equal">
      <formula>"Fossil.Gen"</formula>
    </cfRule>
    <cfRule type="cellIs" dxfId="1458" priority="1675" operator="equal">
      <formula>"Hydro.Gen"</formula>
    </cfRule>
    <cfRule type="cellIs" dxfId="1457" priority="1676" operator="equal">
      <formula>"Nuc.Gen"</formula>
    </cfRule>
  </conditionalFormatting>
  <conditionalFormatting sqref="D7:D8">
    <cfRule type="timePeriod" dxfId="1456" priority="1672" timePeriod="tomorrow">
      <formula>FLOOR(D7,1)=TODAY()+1</formula>
    </cfRule>
  </conditionalFormatting>
  <conditionalFormatting sqref="E7:E8">
    <cfRule type="timePeriod" dxfId="1455" priority="1671" timePeriod="tomorrow">
      <formula>FLOOR(E7,1)=TODAY()+1</formula>
    </cfRule>
  </conditionalFormatting>
  <conditionalFormatting sqref="B13">
    <cfRule type="cellIs" dxfId="1454" priority="1667" operator="equal">
      <formula>"50HzT"</formula>
    </cfRule>
    <cfRule type="cellIs" dxfId="1453" priority="1668" operator="equal">
      <formula>"TERNA"</formula>
    </cfRule>
    <cfRule type="cellIs" dxfId="1452" priority="1669" operator="equal">
      <formula>"RTE"</formula>
    </cfRule>
    <cfRule type="cellIs" dxfId="1451" priority="1670" operator="equal">
      <formula>"ELIA"</formula>
    </cfRule>
  </conditionalFormatting>
  <conditionalFormatting sqref="C13">
    <cfRule type="cellIs" dxfId="1450" priority="1663" operator="equal">
      <formula>"Transformer"</formula>
    </cfRule>
    <cfRule type="cellIs" dxfId="1449" priority="1664" operator="equal">
      <formula>"Fossil.Gen"</formula>
    </cfRule>
    <cfRule type="cellIs" dxfId="1448" priority="1665" operator="equal">
      <formula>"Hydro.Gen"</formula>
    </cfRule>
    <cfRule type="cellIs" dxfId="1447" priority="1666" operator="equal">
      <formula>"Nuc.Gen"</formula>
    </cfRule>
  </conditionalFormatting>
  <conditionalFormatting sqref="E13">
    <cfRule type="timePeriod" dxfId="1446" priority="1662" timePeriod="tomorrow">
      <formula>FLOOR(E13,1)=TODAY()+1</formula>
    </cfRule>
  </conditionalFormatting>
  <conditionalFormatting sqref="F13">
    <cfRule type="timePeriod" dxfId="1445" priority="1661" timePeriod="tomorrow">
      <formula>FLOOR(F13,1)=TODAY()+1</formula>
    </cfRule>
  </conditionalFormatting>
  <conditionalFormatting sqref="A7">
    <cfRule type="cellIs" dxfId="1444" priority="1657" operator="equal">
      <formula>"50HzT"</formula>
    </cfRule>
    <cfRule type="cellIs" dxfId="1443" priority="1658" operator="equal">
      <formula>"TERNA"</formula>
    </cfRule>
    <cfRule type="cellIs" dxfId="1442" priority="1659" operator="equal">
      <formula>"RTE"</formula>
    </cfRule>
    <cfRule type="cellIs" dxfId="1441" priority="1660" operator="equal">
      <formula>"ELIA"</formula>
    </cfRule>
  </conditionalFormatting>
  <conditionalFormatting sqref="B7:B8">
    <cfRule type="cellIs" dxfId="1440" priority="1653" operator="equal">
      <formula>"Transformer"</formula>
    </cfRule>
    <cfRule type="cellIs" dxfId="1439" priority="1654" operator="equal">
      <formula>"Fossil.Gen"</formula>
    </cfRule>
    <cfRule type="cellIs" dxfId="1438" priority="1655" operator="equal">
      <formula>"Hydro.Gen"</formula>
    </cfRule>
    <cfRule type="cellIs" dxfId="1437" priority="1656" operator="equal">
      <formula>"Nuc.Gen"</formula>
    </cfRule>
  </conditionalFormatting>
  <conditionalFormatting sqref="D7:D8">
    <cfRule type="timePeriod" dxfId="1436" priority="1652" timePeriod="tomorrow">
      <formula>FLOOR(D7,1)=TODAY()+1</formula>
    </cfRule>
  </conditionalFormatting>
  <conditionalFormatting sqref="E7:E8">
    <cfRule type="timePeriod" dxfId="1435" priority="1651" timePeriod="tomorrow">
      <formula>FLOOR(E7,1)=TODAY()+1</formula>
    </cfRule>
  </conditionalFormatting>
  <conditionalFormatting sqref="B13">
    <cfRule type="cellIs" dxfId="1434" priority="1647" operator="equal">
      <formula>"50HzT"</formula>
    </cfRule>
    <cfRule type="cellIs" dxfId="1433" priority="1648" operator="equal">
      <formula>"TERNA"</formula>
    </cfRule>
    <cfRule type="cellIs" dxfId="1432" priority="1649" operator="equal">
      <formula>"RTE"</formula>
    </cfRule>
    <cfRule type="cellIs" dxfId="1431" priority="1650" operator="equal">
      <formula>"ELIA"</formula>
    </cfRule>
  </conditionalFormatting>
  <conditionalFormatting sqref="C13">
    <cfRule type="cellIs" dxfId="1430" priority="1643" operator="equal">
      <formula>"Transformer"</formula>
    </cfRule>
    <cfRule type="cellIs" dxfId="1429" priority="1644" operator="equal">
      <formula>"Fossil.Gen"</formula>
    </cfRule>
    <cfRule type="cellIs" dxfId="1428" priority="1645" operator="equal">
      <formula>"Hydro.Gen"</formula>
    </cfRule>
    <cfRule type="cellIs" dxfId="1427" priority="1646" operator="equal">
      <formula>"Nuc.Gen"</formula>
    </cfRule>
  </conditionalFormatting>
  <conditionalFormatting sqref="E13">
    <cfRule type="timePeriod" dxfId="1426" priority="1642" timePeriod="tomorrow">
      <formula>FLOOR(E13,1)=TODAY()+1</formula>
    </cfRule>
  </conditionalFormatting>
  <conditionalFormatting sqref="F13">
    <cfRule type="timePeriod" dxfId="1425" priority="1641" timePeriod="tomorrow">
      <formula>FLOOR(F13,1)=TODAY()+1</formula>
    </cfRule>
  </conditionalFormatting>
  <conditionalFormatting sqref="A7">
    <cfRule type="cellIs" dxfId="1424" priority="1637" operator="equal">
      <formula>"50HzT"</formula>
    </cfRule>
    <cfRule type="cellIs" dxfId="1423" priority="1638" operator="equal">
      <formula>"TERNA"</formula>
    </cfRule>
    <cfRule type="cellIs" dxfId="1422" priority="1639" operator="equal">
      <formula>"RTE"</formula>
    </cfRule>
    <cfRule type="cellIs" dxfId="1421" priority="1640" operator="equal">
      <formula>"ELIA"</formula>
    </cfRule>
  </conditionalFormatting>
  <conditionalFormatting sqref="B7:B8">
    <cfRule type="cellIs" dxfId="1420" priority="1633" operator="equal">
      <formula>"Transformer"</formula>
    </cfRule>
    <cfRule type="cellIs" dxfId="1419" priority="1634" operator="equal">
      <formula>"Fossil.Gen"</formula>
    </cfRule>
    <cfRule type="cellIs" dxfId="1418" priority="1635" operator="equal">
      <formula>"Hydro.Gen"</formula>
    </cfRule>
    <cfRule type="cellIs" dxfId="1417" priority="1636" operator="equal">
      <formula>"Nuc.Gen"</formula>
    </cfRule>
  </conditionalFormatting>
  <conditionalFormatting sqref="D7:D8">
    <cfRule type="timePeriod" dxfId="1416" priority="1632" timePeriod="tomorrow">
      <formula>FLOOR(D7,1)=TODAY()+1</formula>
    </cfRule>
  </conditionalFormatting>
  <conditionalFormatting sqref="E7:E8">
    <cfRule type="timePeriod" dxfId="1415" priority="1631" timePeriod="tomorrow">
      <formula>FLOOR(E7,1)=TODAY()+1</formula>
    </cfRule>
  </conditionalFormatting>
  <conditionalFormatting sqref="B13">
    <cfRule type="cellIs" dxfId="1414" priority="1627" operator="equal">
      <formula>"50HzT"</formula>
    </cfRule>
    <cfRule type="cellIs" dxfId="1413" priority="1628" operator="equal">
      <formula>"TERNA"</formula>
    </cfRule>
    <cfRule type="cellIs" dxfId="1412" priority="1629" operator="equal">
      <formula>"RTE"</formula>
    </cfRule>
    <cfRule type="cellIs" dxfId="1411" priority="1630" operator="equal">
      <formula>"ELIA"</formula>
    </cfRule>
  </conditionalFormatting>
  <conditionalFormatting sqref="C13">
    <cfRule type="cellIs" dxfId="1410" priority="1623" operator="equal">
      <formula>"Transformer"</formula>
    </cfRule>
    <cfRule type="cellIs" dxfId="1409" priority="1624" operator="equal">
      <formula>"Fossil.Gen"</formula>
    </cfRule>
    <cfRule type="cellIs" dxfId="1408" priority="1625" operator="equal">
      <formula>"Hydro.Gen"</formula>
    </cfRule>
    <cfRule type="cellIs" dxfId="1407" priority="1626" operator="equal">
      <formula>"Nuc.Gen"</formula>
    </cfRule>
  </conditionalFormatting>
  <conditionalFormatting sqref="E13">
    <cfRule type="timePeriod" dxfId="1406" priority="1622" timePeriod="tomorrow">
      <formula>FLOOR(E13,1)=TODAY()+1</formula>
    </cfRule>
  </conditionalFormatting>
  <conditionalFormatting sqref="F13">
    <cfRule type="timePeriod" dxfId="1405" priority="1621" timePeriod="tomorrow">
      <formula>FLOOR(F13,1)=TODAY()+1</formula>
    </cfRule>
  </conditionalFormatting>
  <conditionalFormatting sqref="A7">
    <cfRule type="cellIs" dxfId="1404" priority="1617" operator="equal">
      <formula>"50HzT"</formula>
    </cfRule>
    <cfRule type="cellIs" dxfId="1403" priority="1618" operator="equal">
      <formula>"TERNA"</formula>
    </cfRule>
    <cfRule type="cellIs" dxfId="1402" priority="1619" operator="equal">
      <formula>"RTE"</formula>
    </cfRule>
    <cfRule type="cellIs" dxfId="1401" priority="1620" operator="equal">
      <formula>"ELIA"</formula>
    </cfRule>
  </conditionalFormatting>
  <conditionalFormatting sqref="B7:B8">
    <cfRule type="cellIs" dxfId="1400" priority="1613" operator="equal">
      <formula>"Transformer"</formula>
    </cfRule>
    <cfRule type="cellIs" dxfId="1399" priority="1614" operator="equal">
      <formula>"Fossil.Gen"</formula>
    </cfRule>
    <cfRule type="cellIs" dxfId="1398" priority="1615" operator="equal">
      <formula>"Hydro.Gen"</formula>
    </cfRule>
    <cfRule type="cellIs" dxfId="1397" priority="1616" operator="equal">
      <formula>"Nuc.Gen"</formula>
    </cfRule>
  </conditionalFormatting>
  <conditionalFormatting sqref="D7:D8">
    <cfRule type="timePeriod" dxfId="1396" priority="1612" timePeriod="tomorrow">
      <formula>FLOOR(D7,1)=TODAY()+1</formula>
    </cfRule>
  </conditionalFormatting>
  <conditionalFormatting sqref="E7:E8">
    <cfRule type="timePeriod" dxfId="1395" priority="1611" timePeriod="tomorrow">
      <formula>FLOOR(E7,1)=TODAY()+1</formula>
    </cfRule>
  </conditionalFormatting>
  <conditionalFormatting sqref="B13">
    <cfRule type="cellIs" dxfId="1394" priority="1607" operator="equal">
      <formula>"50HzT"</formula>
    </cfRule>
    <cfRule type="cellIs" dxfId="1393" priority="1608" operator="equal">
      <formula>"TERNA"</formula>
    </cfRule>
    <cfRule type="cellIs" dxfId="1392" priority="1609" operator="equal">
      <formula>"RTE"</formula>
    </cfRule>
    <cfRule type="cellIs" dxfId="1391" priority="1610" operator="equal">
      <formula>"ELIA"</formula>
    </cfRule>
  </conditionalFormatting>
  <conditionalFormatting sqref="C13">
    <cfRule type="cellIs" dxfId="1390" priority="1603" operator="equal">
      <formula>"Transformer"</formula>
    </cfRule>
    <cfRule type="cellIs" dxfId="1389" priority="1604" operator="equal">
      <formula>"Fossil.Gen"</formula>
    </cfRule>
    <cfRule type="cellIs" dxfId="1388" priority="1605" operator="equal">
      <formula>"Hydro.Gen"</formula>
    </cfRule>
    <cfRule type="cellIs" dxfId="1387" priority="1606" operator="equal">
      <formula>"Nuc.Gen"</formula>
    </cfRule>
  </conditionalFormatting>
  <conditionalFormatting sqref="E13">
    <cfRule type="timePeriod" dxfId="1386" priority="1602" timePeriod="tomorrow">
      <formula>FLOOR(E13,1)=TODAY()+1</formula>
    </cfRule>
  </conditionalFormatting>
  <conditionalFormatting sqref="F13">
    <cfRule type="timePeriod" dxfId="1385" priority="1601" timePeriod="tomorrow">
      <formula>FLOOR(F13,1)=TODAY()+1</formula>
    </cfRule>
  </conditionalFormatting>
  <conditionalFormatting sqref="A7">
    <cfRule type="cellIs" dxfId="1384" priority="1597" operator="equal">
      <formula>"50HzT"</formula>
    </cfRule>
    <cfRule type="cellIs" dxfId="1383" priority="1598" operator="equal">
      <formula>"TERNA"</formula>
    </cfRule>
    <cfRule type="cellIs" dxfId="1382" priority="1599" operator="equal">
      <formula>"RTE"</formula>
    </cfRule>
    <cfRule type="cellIs" dxfId="1381" priority="1600" operator="equal">
      <formula>"ELIA"</formula>
    </cfRule>
  </conditionalFormatting>
  <conditionalFormatting sqref="B7:B8">
    <cfRule type="cellIs" dxfId="1380" priority="1593" operator="equal">
      <formula>"Transformer"</formula>
    </cfRule>
    <cfRule type="cellIs" dxfId="1379" priority="1594" operator="equal">
      <formula>"Fossil.Gen"</formula>
    </cfRule>
    <cfRule type="cellIs" dxfId="1378" priority="1595" operator="equal">
      <formula>"Hydro.Gen"</formula>
    </cfRule>
    <cfRule type="cellIs" dxfId="1377" priority="1596" operator="equal">
      <formula>"Nuc.Gen"</formula>
    </cfRule>
  </conditionalFormatting>
  <conditionalFormatting sqref="D7:D8">
    <cfRule type="timePeriod" dxfId="1376" priority="1592" timePeriod="tomorrow">
      <formula>FLOOR(D7,1)=TODAY()+1</formula>
    </cfRule>
  </conditionalFormatting>
  <conditionalFormatting sqref="E7:E8">
    <cfRule type="timePeriod" dxfId="1375" priority="1591" timePeriod="tomorrow">
      <formula>FLOOR(E7,1)=TODAY()+1</formula>
    </cfRule>
  </conditionalFormatting>
  <conditionalFormatting sqref="B13">
    <cfRule type="cellIs" dxfId="1374" priority="1587" operator="equal">
      <formula>"50HzT"</formula>
    </cfRule>
    <cfRule type="cellIs" dxfId="1373" priority="1588" operator="equal">
      <formula>"TERNA"</formula>
    </cfRule>
    <cfRule type="cellIs" dxfId="1372" priority="1589" operator="equal">
      <formula>"RTE"</formula>
    </cfRule>
    <cfRule type="cellIs" dxfId="1371" priority="1590" operator="equal">
      <formula>"ELIA"</formula>
    </cfRule>
  </conditionalFormatting>
  <conditionalFormatting sqref="C13">
    <cfRule type="cellIs" dxfId="1370" priority="1583" operator="equal">
      <formula>"Transformer"</formula>
    </cfRule>
    <cfRule type="cellIs" dxfId="1369" priority="1584" operator="equal">
      <formula>"Fossil.Gen"</formula>
    </cfRule>
    <cfRule type="cellIs" dxfId="1368" priority="1585" operator="equal">
      <formula>"Hydro.Gen"</formula>
    </cfRule>
    <cfRule type="cellIs" dxfId="1367" priority="1586" operator="equal">
      <formula>"Nuc.Gen"</formula>
    </cfRule>
  </conditionalFormatting>
  <conditionalFormatting sqref="E13">
    <cfRule type="timePeriod" dxfId="1366" priority="1582" timePeriod="tomorrow">
      <formula>FLOOR(E13,1)=TODAY()+1</formula>
    </cfRule>
  </conditionalFormatting>
  <conditionalFormatting sqref="F13">
    <cfRule type="timePeriod" dxfId="1365" priority="1581" timePeriod="tomorrow">
      <formula>FLOOR(F13,1)=TODAY()+1</formula>
    </cfRule>
  </conditionalFormatting>
  <conditionalFormatting sqref="A7">
    <cfRule type="cellIs" dxfId="1364" priority="1577" operator="equal">
      <formula>"50HzT"</formula>
    </cfRule>
    <cfRule type="cellIs" dxfId="1363" priority="1578" operator="equal">
      <formula>"TERNA"</formula>
    </cfRule>
    <cfRule type="cellIs" dxfId="1362" priority="1579" operator="equal">
      <formula>"RTE"</formula>
    </cfRule>
    <cfRule type="cellIs" dxfId="1361" priority="1580" operator="equal">
      <formula>"ELIA"</formula>
    </cfRule>
  </conditionalFormatting>
  <conditionalFormatting sqref="B7:B8">
    <cfRule type="cellIs" dxfId="1360" priority="1573" operator="equal">
      <formula>"Transformer"</formula>
    </cfRule>
    <cfRule type="cellIs" dxfId="1359" priority="1574" operator="equal">
      <formula>"Fossil.Gen"</formula>
    </cfRule>
    <cfRule type="cellIs" dxfId="1358" priority="1575" operator="equal">
      <formula>"Hydro.Gen"</formula>
    </cfRule>
    <cfRule type="cellIs" dxfId="1357" priority="1576" operator="equal">
      <formula>"Nuc.Gen"</formula>
    </cfRule>
  </conditionalFormatting>
  <conditionalFormatting sqref="D7:D8">
    <cfRule type="timePeriod" dxfId="1356" priority="1572" timePeriod="tomorrow">
      <formula>FLOOR(D7,1)=TODAY()+1</formula>
    </cfRule>
  </conditionalFormatting>
  <conditionalFormatting sqref="E7:E8">
    <cfRule type="timePeriod" dxfId="1355" priority="1571" timePeriod="tomorrow">
      <formula>FLOOR(E7,1)=TODAY()+1</formula>
    </cfRule>
  </conditionalFormatting>
  <conditionalFormatting sqref="B13">
    <cfRule type="cellIs" dxfId="1354" priority="1567" operator="equal">
      <formula>"50HzT"</formula>
    </cfRule>
    <cfRule type="cellIs" dxfId="1353" priority="1568" operator="equal">
      <formula>"TERNA"</formula>
    </cfRule>
    <cfRule type="cellIs" dxfId="1352" priority="1569" operator="equal">
      <formula>"RTE"</formula>
    </cfRule>
    <cfRule type="cellIs" dxfId="1351" priority="1570" operator="equal">
      <formula>"ELIA"</formula>
    </cfRule>
  </conditionalFormatting>
  <conditionalFormatting sqref="C13">
    <cfRule type="cellIs" dxfId="1350" priority="1563" operator="equal">
      <formula>"Transformer"</formula>
    </cfRule>
    <cfRule type="cellIs" dxfId="1349" priority="1564" operator="equal">
      <formula>"Fossil.Gen"</formula>
    </cfRule>
    <cfRule type="cellIs" dxfId="1348" priority="1565" operator="equal">
      <formula>"Hydro.Gen"</formula>
    </cfRule>
    <cfRule type="cellIs" dxfId="1347" priority="1566" operator="equal">
      <formula>"Nuc.Gen"</formula>
    </cfRule>
  </conditionalFormatting>
  <conditionalFormatting sqref="E13">
    <cfRule type="timePeriod" dxfId="1346" priority="1562" timePeriod="tomorrow">
      <formula>FLOOR(E13,1)=TODAY()+1</formula>
    </cfRule>
  </conditionalFormatting>
  <conditionalFormatting sqref="F13">
    <cfRule type="timePeriod" dxfId="1345" priority="1561" timePeriod="tomorrow">
      <formula>FLOOR(F13,1)=TODAY()+1</formula>
    </cfRule>
  </conditionalFormatting>
  <conditionalFormatting sqref="A7">
    <cfRule type="cellIs" dxfId="1344" priority="1557" operator="equal">
      <formula>"50HzT"</formula>
    </cfRule>
    <cfRule type="cellIs" dxfId="1343" priority="1558" operator="equal">
      <formula>"TERNA"</formula>
    </cfRule>
    <cfRule type="cellIs" dxfId="1342" priority="1559" operator="equal">
      <formula>"RTE"</formula>
    </cfRule>
    <cfRule type="cellIs" dxfId="1341" priority="1560" operator="equal">
      <formula>"ELIA"</formula>
    </cfRule>
  </conditionalFormatting>
  <conditionalFormatting sqref="B7:B8">
    <cfRule type="cellIs" dxfId="1340" priority="1553" operator="equal">
      <formula>"Transformer"</formula>
    </cfRule>
    <cfRule type="cellIs" dxfId="1339" priority="1554" operator="equal">
      <formula>"Fossil.Gen"</formula>
    </cfRule>
    <cfRule type="cellIs" dxfId="1338" priority="1555" operator="equal">
      <formula>"Hydro.Gen"</formula>
    </cfRule>
    <cfRule type="cellIs" dxfId="1337" priority="1556" operator="equal">
      <formula>"Nuc.Gen"</formula>
    </cfRule>
  </conditionalFormatting>
  <conditionalFormatting sqref="D7:D8">
    <cfRule type="timePeriod" dxfId="1336" priority="1552" timePeriod="tomorrow">
      <formula>FLOOR(D7,1)=TODAY()+1</formula>
    </cfRule>
  </conditionalFormatting>
  <conditionalFormatting sqref="E7:E8">
    <cfRule type="timePeriod" dxfId="1335" priority="1551" timePeriod="tomorrow">
      <formula>FLOOR(E7,1)=TODAY()+1</formula>
    </cfRule>
  </conditionalFormatting>
  <conditionalFormatting sqref="B13">
    <cfRule type="cellIs" dxfId="1334" priority="1547" operator="equal">
      <formula>"50HzT"</formula>
    </cfRule>
    <cfRule type="cellIs" dxfId="1333" priority="1548" operator="equal">
      <formula>"TERNA"</formula>
    </cfRule>
    <cfRule type="cellIs" dxfId="1332" priority="1549" operator="equal">
      <formula>"RTE"</formula>
    </cfRule>
    <cfRule type="cellIs" dxfId="1331" priority="1550" operator="equal">
      <formula>"ELIA"</formula>
    </cfRule>
  </conditionalFormatting>
  <conditionalFormatting sqref="C13">
    <cfRule type="cellIs" dxfId="1330" priority="1543" operator="equal">
      <formula>"Transformer"</formula>
    </cfRule>
    <cfRule type="cellIs" dxfId="1329" priority="1544" operator="equal">
      <formula>"Fossil.Gen"</formula>
    </cfRule>
    <cfRule type="cellIs" dxfId="1328" priority="1545" operator="equal">
      <formula>"Hydro.Gen"</formula>
    </cfRule>
    <cfRule type="cellIs" dxfId="1327" priority="1546" operator="equal">
      <formula>"Nuc.Gen"</formula>
    </cfRule>
  </conditionalFormatting>
  <conditionalFormatting sqref="E13">
    <cfRule type="timePeriod" dxfId="1326" priority="1542" timePeriod="tomorrow">
      <formula>FLOOR(E13,1)=TODAY()+1</formula>
    </cfRule>
  </conditionalFormatting>
  <conditionalFormatting sqref="F13">
    <cfRule type="timePeriod" dxfId="1325" priority="1541" timePeriod="tomorrow">
      <formula>FLOOR(F13,1)=TODAY()+1</formula>
    </cfRule>
  </conditionalFormatting>
  <conditionalFormatting sqref="A7">
    <cfRule type="cellIs" dxfId="1324" priority="1537" operator="equal">
      <formula>"50HzT"</formula>
    </cfRule>
    <cfRule type="cellIs" dxfId="1323" priority="1538" operator="equal">
      <formula>"TERNA"</formula>
    </cfRule>
    <cfRule type="cellIs" dxfId="1322" priority="1539" operator="equal">
      <formula>"RTE"</formula>
    </cfRule>
    <cfRule type="cellIs" dxfId="1321" priority="1540" operator="equal">
      <formula>"ELIA"</formula>
    </cfRule>
  </conditionalFormatting>
  <conditionalFormatting sqref="B7:B8">
    <cfRule type="cellIs" dxfId="1320" priority="1533" operator="equal">
      <formula>"Transformer"</formula>
    </cfRule>
    <cfRule type="cellIs" dxfId="1319" priority="1534" operator="equal">
      <formula>"Fossil.Gen"</formula>
    </cfRule>
    <cfRule type="cellIs" dxfId="1318" priority="1535" operator="equal">
      <formula>"Hydro.Gen"</formula>
    </cfRule>
    <cfRule type="cellIs" dxfId="1317" priority="1536" operator="equal">
      <formula>"Nuc.Gen"</formula>
    </cfRule>
  </conditionalFormatting>
  <conditionalFormatting sqref="D7:D8">
    <cfRule type="timePeriod" dxfId="1316" priority="1532" timePeriod="tomorrow">
      <formula>FLOOR(D7,1)=TODAY()+1</formula>
    </cfRule>
  </conditionalFormatting>
  <conditionalFormatting sqref="E7:E8">
    <cfRule type="timePeriod" dxfId="1315" priority="1531" timePeriod="tomorrow">
      <formula>FLOOR(E7,1)=TODAY()+1</formula>
    </cfRule>
  </conditionalFormatting>
  <conditionalFormatting sqref="B13">
    <cfRule type="cellIs" dxfId="1314" priority="1527" operator="equal">
      <formula>"50HzT"</formula>
    </cfRule>
    <cfRule type="cellIs" dxfId="1313" priority="1528" operator="equal">
      <formula>"TERNA"</formula>
    </cfRule>
    <cfRule type="cellIs" dxfId="1312" priority="1529" operator="equal">
      <formula>"RTE"</formula>
    </cfRule>
    <cfRule type="cellIs" dxfId="1311" priority="1530" operator="equal">
      <formula>"ELIA"</formula>
    </cfRule>
  </conditionalFormatting>
  <conditionalFormatting sqref="C13">
    <cfRule type="cellIs" dxfId="1310" priority="1523" operator="equal">
      <formula>"Transformer"</formula>
    </cfRule>
    <cfRule type="cellIs" dxfId="1309" priority="1524" operator="equal">
      <formula>"Fossil.Gen"</formula>
    </cfRule>
    <cfRule type="cellIs" dxfId="1308" priority="1525" operator="equal">
      <formula>"Hydro.Gen"</formula>
    </cfRule>
    <cfRule type="cellIs" dxfId="1307" priority="1526" operator="equal">
      <formula>"Nuc.Gen"</formula>
    </cfRule>
  </conditionalFormatting>
  <conditionalFormatting sqref="E13">
    <cfRule type="timePeriod" dxfId="1306" priority="1522" timePeriod="tomorrow">
      <formula>FLOOR(E13,1)=TODAY()+1</formula>
    </cfRule>
  </conditionalFormatting>
  <conditionalFormatting sqref="F13">
    <cfRule type="timePeriod" dxfId="1305" priority="1521" timePeriod="tomorrow">
      <formula>FLOOR(F13,1)=TODAY()+1</formula>
    </cfRule>
  </conditionalFormatting>
  <conditionalFormatting sqref="A7">
    <cfRule type="cellIs" dxfId="1304" priority="1517" operator="equal">
      <formula>"50HzT"</formula>
    </cfRule>
    <cfRule type="cellIs" dxfId="1303" priority="1518" operator="equal">
      <formula>"TERNA"</formula>
    </cfRule>
    <cfRule type="cellIs" dxfId="1302" priority="1519" operator="equal">
      <formula>"RTE"</formula>
    </cfRule>
    <cfRule type="cellIs" dxfId="1301" priority="1520" operator="equal">
      <formula>"ELIA"</formula>
    </cfRule>
  </conditionalFormatting>
  <conditionalFormatting sqref="B7:B8">
    <cfRule type="cellIs" dxfId="1300" priority="1513" operator="equal">
      <formula>"Transformer"</formula>
    </cfRule>
    <cfRule type="cellIs" dxfId="1299" priority="1514" operator="equal">
      <formula>"Fossil.Gen"</formula>
    </cfRule>
    <cfRule type="cellIs" dxfId="1298" priority="1515" operator="equal">
      <formula>"Hydro.Gen"</formula>
    </cfRule>
    <cfRule type="cellIs" dxfId="1297" priority="1516" operator="equal">
      <formula>"Nuc.Gen"</formula>
    </cfRule>
  </conditionalFormatting>
  <conditionalFormatting sqref="D7:D8">
    <cfRule type="timePeriod" dxfId="1296" priority="1512" timePeriod="tomorrow">
      <formula>FLOOR(D7,1)=TODAY()+1</formula>
    </cfRule>
  </conditionalFormatting>
  <conditionalFormatting sqref="E7:E8">
    <cfRule type="timePeriod" dxfId="1295" priority="1511" timePeriod="tomorrow">
      <formula>FLOOR(E7,1)=TODAY()+1</formula>
    </cfRule>
  </conditionalFormatting>
  <conditionalFormatting sqref="B13">
    <cfRule type="cellIs" dxfId="1294" priority="1507" operator="equal">
      <formula>"50HzT"</formula>
    </cfRule>
    <cfRule type="cellIs" dxfId="1293" priority="1508" operator="equal">
      <formula>"TERNA"</formula>
    </cfRule>
    <cfRule type="cellIs" dxfId="1292" priority="1509" operator="equal">
      <formula>"RTE"</formula>
    </cfRule>
    <cfRule type="cellIs" dxfId="1291" priority="1510" operator="equal">
      <formula>"ELIA"</formula>
    </cfRule>
  </conditionalFormatting>
  <conditionalFormatting sqref="C13">
    <cfRule type="cellIs" dxfId="1290" priority="1503" operator="equal">
      <formula>"Transformer"</formula>
    </cfRule>
    <cfRule type="cellIs" dxfId="1289" priority="1504" operator="equal">
      <formula>"Fossil.Gen"</formula>
    </cfRule>
    <cfRule type="cellIs" dxfId="1288" priority="1505" operator="equal">
      <formula>"Hydro.Gen"</formula>
    </cfRule>
    <cfRule type="cellIs" dxfId="1287" priority="1506" operator="equal">
      <formula>"Nuc.Gen"</formula>
    </cfRule>
  </conditionalFormatting>
  <conditionalFormatting sqref="E13">
    <cfRule type="timePeriod" dxfId="1286" priority="1502" timePeriod="tomorrow">
      <formula>FLOOR(E13,1)=TODAY()+1</formula>
    </cfRule>
  </conditionalFormatting>
  <conditionalFormatting sqref="F13">
    <cfRule type="timePeriod" dxfId="1285" priority="1501" timePeriod="tomorrow">
      <formula>FLOOR(F13,1)=TODAY()+1</formula>
    </cfRule>
  </conditionalFormatting>
  <conditionalFormatting sqref="A7">
    <cfRule type="cellIs" dxfId="1284" priority="1497" operator="equal">
      <formula>"50HzT"</formula>
    </cfRule>
    <cfRule type="cellIs" dxfId="1283" priority="1498" operator="equal">
      <formula>"TERNA"</formula>
    </cfRule>
    <cfRule type="cellIs" dxfId="1282" priority="1499" operator="equal">
      <formula>"RTE"</formula>
    </cfRule>
    <cfRule type="cellIs" dxfId="1281" priority="1500" operator="equal">
      <formula>"ELIA"</formula>
    </cfRule>
  </conditionalFormatting>
  <conditionalFormatting sqref="B7:B8">
    <cfRule type="cellIs" dxfId="1280" priority="1493" operator="equal">
      <formula>"Transformer"</formula>
    </cfRule>
    <cfRule type="cellIs" dxfId="1279" priority="1494" operator="equal">
      <formula>"Fossil.Gen"</formula>
    </cfRule>
    <cfRule type="cellIs" dxfId="1278" priority="1495" operator="equal">
      <formula>"Hydro.Gen"</formula>
    </cfRule>
    <cfRule type="cellIs" dxfId="1277" priority="1496" operator="equal">
      <formula>"Nuc.Gen"</formula>
    </cfRule>
  </conditionalFormatting>
  <conditionalFormatting sqref="D7:D8">
    <cfRule type="timePeriod" dxfId="1276" priority="1492" timePeriod="tomorrow">
      <formula>FLOOR(D7,1)=TODAY()+1</formula>
    </cfRule>
  </conditionalFormatting>
  <conditionalFormatting sqref="E7:E8">
    <cfRule type="timePeriod" dxfId="1275" priority="1491" timePeriod="tomorrow">
      <formula>FLOOR(E7,1)=TODAY()+1</formula>
    </cfRule>
  </conditionalFormatting>
  <conditionalFormatting sqref="B13">
    <cfRule type="cellIs" dxfId="1274" priority="1487" operator="equal">
      <formula>"50HzT"</formula>
    </cfRule>
    <cfRule type="cellIs" dxfId="1273" priority="1488" operator="equal">
      <formula>"TERNA"</formula>
    </cfRule>
    <cfRule type="cellIs" dxfId="1272" priority="1489" operator="equal">
      <formula>"RTE"</formula>
    </cfRule>
    <cfRule type="cellIs" dxfId="1271" priority="1490" operator="equal">
      <formula>"ELIA"</formula>
    </cfRule>
  </conditionalFormatting>
  <conditionalFormatting sqref="C13">
    <cfRule type="cellIs" dxfId="1270" priority="1483" operator="equal">
      <formula>"Transformer"</formula>
    </cfRule>
    <cfRule type="cellIs" dxfId="1269" priority="1484" operator="equal">
      <formula>"Fossil.Gen"</formula>
    </cfRule>
    <cfRule type="cellIs" dxfId="1268" priority="1485" operator="equal">
      <formula>"Hydro.Gen"</formula>
    </cfRule>
    <cfRule type="cellIs" dxfId="1267" priority="1486" operator="equal">
      <formula>"Nuc.Gen"</formula>
    </cfRule>
  </conditionalFormatting>
  <conditionalFormatting sqref="E13">
    <cfRule type="timePeriod" dxfId="1266" priority="1482" timePeriod="tomorrow">
      <formula>FLOOR(E13,1)=TODAY()+1</formula>
    </cfRule>
  </conditionalFormatting>
  <conditionalFormatting sqref="F13">
    <cfRule type="timePeriod" dxfId="1265" priority="1481" timePeriod="tomorrow">
      <formula>FLOOR(F13,1)=TODAY()+1</formula>
    </cfRule>
  </conditionalFormatting>
  <conditionalFormatting sqref="A7">
    <cfRule type="cellIs" dxfId="1264" priority="1477" operator="equal">
      <formula>"50HzT"</formula>
    </cfRule>
    <cfRule type="cellIs" dxfId="1263" priority="1478" operator="equal">
      <formula>"TERNA"</formula>
    </cfRule>
    <cfRule type="cellIs" dxfId="1262" priority="1479" operator="equal">
      <formula>"RTE"</formula>
    </cfRule>
    <cfRule type="cellIs" dxfId="1261" priority="1480" operator="equal">
      <formula>"ELIA"</formula>
    </cfRule>
  </conditionalFormatting>
  <conditionalFormatting sqref="B7:B8">
    <cfRule type="cellIs" dxfId="1260" priority="1473" operator="equal">
      <formula>"Transformer"</formula>
    </cfRule>
    <cfRule type="cellIs" dxfId="1259" priority="1474" operator="equal">
      <formula>"Fossil.Gen"</formula>
    </cfRule>
    <cfRule type="cellIs" dxfId="1258" priority="1475" operator="equal">
      <formula>"Hydro.Gen"</formula>
    </cfRule>
    <cfRule type="cellIs" dxfId="1257" priority="1476" operator="equal">
      <formula>"Nuc.Gen"</formula>
    </cfRule>
  </conditionalFormatting>
  <conditionalFormatting sqref="D7:D8">
    <cfRule type="timePeriod" dxfId="1256" priority="1472" timePeriod="tomorrow">
      <formula>FLOOR(D7,1)=TODAY()+1</formula>
    </cfRule>
  </conditionalFormatting>
  <conditionalFormatting sqref="E7:E8">
    <cfRule type="timePeriod" dxfId="1255" priority="1471" timePeriod="tomorrow">
      <formula>FLOOR(E7,1)=TODAY()+1</formula>
    </cfRule>
  </conditionalFormatting>
  <conditionalFormatting sqref="B13">
    <cfRule type="cellIs" dxfId="1254" priority="1467" operator="equal">
      <formula>"50HzT"</formula>
    </cfRule>
    <cfRule type="cellIs" dxfId="1253" priority="1468" operator="equal">
      <formula>"TERNA"</formula>
    </cfRule>
    <cfRule type="cellIs" dxfId="1252" priority="1469" operator="equal">
      <formula>"RTE"</formula>
    </cfRule>
    <cfRule type="cellIs" dxfId="1251" priority="1470" operator="equal">
      <formula>"ELIA"</formula>
    </cfRule>
  </conditionalFormatting>
  <conditionalFormatting sqref="C13">
    <cfRule type="cellIs" dxfId="1250" priority="1463" operator="equal">
      <formula>"Transformer"</formula>
    </cfRule>
    <cfRule type="cellIs" dxfId="1249" priority="1464" operator="equal">
      <formula>"Fossil.Gen"</formula>
    </cfRule>
    <cfRule type="cellIs" dxfId="1248" priority="1465" operator="equal">
      <formula>"Hydro.Gen"</formula>
    </cfRule>
    <cfRule type="cellIs" dxfId="1247" priority="1466" operator="equal">
      <formula>"Nuc.Gen"</formula>
    </cfRule>
  </conditionalFormatting>
  <conditionalFormatting sqref="E13">
    <cfRule type="timePeriod" dxfId="1246" priority="1462" timePeriod="tomorrow">
      <formula>FLOOR(E13,1)=TODAY()+1</formula>
    </cfRule>
  </conditionalFormatting>
  <conditionalFormatting sqref="F13">
    <cfRule type="timePeriod" dxfId="1245" priority="1461" timePeriod="tomorrow">
      <formula>FLOOR(F13,1)=TODAY()+1</formula>
    </cfRule>
  </conditionalFormatting>
  <conditionalFormatting sqref="A7">
    <cfRule type="cellIs" dxfId="1244" priority="1207" operator="equal">
      <formula>"50HzT"</formula>
    </cfRule>
    <cfRule type="cellIs" dxfId="1243" priority="1208" operator="equal">
      <formula>"TERNA"</formula>
    </cfRule>
    <cfRule type="cellIs" dxfId="1242" priority="1209" operator="equal">
      <formula>"RTE"</formula>
    </cfRule>
    <cfRule type="cellIs" dxfId="1241" priority="1210" operator="equal">
      <formula>"ELIA"</formula>
    </cfRule>
  </conditionalFormatting>
  <conditionalFormatting sqref="B7:B8">
    <cfRule type="cellIs" dxfId="1240" priority="1203" operator="equal">
      <formula>"Transformer"</formula>
    </cfRule>
    <cfRule type="cellIs" dxfId="1239" priority="1204" operator="equal">
      <formula>"Fossil.Gen"</formula>
    </cfRule>
    <cfRule type="cellIs" dxfId="1238" priority="1205" operator="equal">
      <formula>"Hydro.Gen"</formula>
    </cfRule>
    <cfRule type="cellIs" dxfId="1237" priority="1206" operator="equal">
      <formula>"Nuc.Gen"</formula>
    </cfRule>
  </conditionalFormatting>
  <conditionalFormatting sqref="D7:D8">
    <cfRule type="timePeriod" dxfId="1236" priority="1202" timePeriod="tomorrow">
      <formula>FLOOR(D7,1)=TODAY()+1</formula>
    </cfRule>
  </conditionalFormatting>
  <conditionalFormatting sqref="E7:E8">
    <cfRule type="timePeriod" dxfId="1235" priority="1201" timePeriod="tomorrow">
      <formula>FLOOR(E7,1)=TODAY()+1</formula>
    </cfRule>
  </conditionalFormatting>
  <conditionalFormatting sqref="B13">
    <cfRule type="cellIs" dxfId="1234" priority="1197" operator="equal">
      <formula>"50HzT"</formula>
    </cfRule>
    <cfRule type="cellIs" dxfId="1233" priority="1198" operator="equal">
      <formula>"TERNA"</formula>
    </cfRule>
    <cfRule type="cellIs" dxfId="1232" priority="1199" operator="equal">
      <formula>"RTE"</formula>
    </cfRule>
    <cfRule type="cellIs" dxfId="1231" priority="1200" operator="equal">
      <formula>"ELIA"</formula>
    </cfRule>
  </conditionalFormatting>
  <conditionalFormatting sqref="C13">
    <cfRule type="cellIs" dxfId="1230" priority="1193" operator="equal">
      <formula>"Transformer"</formula>
    </cfRule>
    <cfRule type="cellIs" dxfId="1229" priority="1194" operator="equal">
      <formula>"Fossil.Gen"</formula>
    </cfRule>
    <cfRule type="cellIs" dxfId="1228" priority="1195" operator="equal">
      <formula>"Hydro.Gen"</formula>
    </cfRule>
    <cfRule type="cellIs" dxfId="1227" priority="1196" operator="equal">
      <formula>"Nuc.Gen"</formula>
    </cfRule>
  </conditionalFormatting>
  <conditionalFormatting sqref="E13">
    <cfRule type="timePeriod" dxfId="1226" priority="1192" timePeriod="tomorrow">
      <formula>FLOOR(E13,1)=TODAY()+1</formula>
    </cfRule>
  </conditionalFormatting>
  <conditionalFormatting sqref="F13">
    <cfRule type="timePeriod" dxfId="1225" priority="1191" timePeriod="tomorrow">
      <formula>FLOOR(F13,1)=TODAY()+1</formula>
    </cfRule>
  </conditionalFormatting>
  <conditionalFormatting sqref="A7">
    <cfRule type="cellIs" dxfId="1224" priority="1187" operator="equal">
      <formula>"50HzT"</formula>
    </cfRule>
    <cfRule type="cellIs" dxfId="1223" priority="1188" operator="equal">
      <formula>"TERNA"</formula>
    </cfRule>
    <cfRule type="cellIs" dxfId="1222" priority="1189" operator="equal">
      <formula>"RTE"</formula>
    </cfRule>
    <cfRule type="cellIs" dxfId="1221" priority="1190" operator="equal">
      <formula>"ELIA"</formula>
    </cfRule>
  </conditionalFormatting>
  <conditionalFormatting sqref="B7:B8">
    <cfRule type="cellIs" dxfId="1220" priority="1183" operator="equal">
      <formula>"Transformer"</formula>
    </cfRule>
    <cfRule type="cellIs" dxfId="1219" priority="1184" operator="equal">
      <formula>"Fossil.Gen"</formula>
    </cfRule>
    <cfRule type="cellIs" dxfId="1218" priority="1185" operator="equal">
      <formula>"Hydro.Gen"</formula>
    </cfRule>
    <cfRule type="cellIs" dxfId="1217" priority="1186" operator="equal">
      <formula>"Nuc.Gen"</formula>
    </cfRule>
  </conditionalFormatting>
  <conditionalFormatting sqref="D7:D8">
    <cfRule type="timePeriod" dxfId="1216" priority="1182" timePeriod="tomorrow">
      <formula>FLOOR(D7,1)=TODAY()+1</formula>
    </cfRule>
  </conditionalFormatting>
  <conditionalFormatting sqref="E7:E8">
    <cfRule type="timePeriod" dxfId="1215" priority="1181" timePeriod="tomorrow">
      <formula>FLOOR(E7,1)=TODAY()+1</formula>
    </cfRule>
  </conditionalFormatting>
  <conditionalFormatting sqref="B13">
    <cfRule type="cellIs" dxfId="1214" priority="1177" operator="equal">
      <formula>"50HzT"</formula>
    </cfRule>
    <cfRule type="cellIs" dxfId="1213" priority="1178" operator="equal">
      <formula>"TERNA"</formula>
    </cfRule>
    <cfRule type="cellIs" dxfId="1212" priority="1179" operator="equal">
      <formula>"RTE"</formula>
    </cfRule>
    <cfRule type="cellIs" dxfId="1211" priority="1180" operator="equal">
      <formula>"ELIA"</formula>
    </cfRule>
  </conditionalFormatting>
  <conditionalFormatting sqref="C13">
    <cfRule type="cellIs" dxfId="1210" priority="1173" operator="equal">
      <formula>"Transformer"</formula>
    </cfRule>
    <cfRule type="cellIs" dxfId="1209" priority="1174" operator="equal">
      <formula>"Fossil.Gen"</formula>
    </cfRule>
    <cfRule type="cellIs" dxfId="1208" priority="1175" operator="equal">
      <formula>"Hydro.Gen"</formula>
    </cfRule>
    <cfRule type="cellIs" dxfId="1207" priority="1176" operator="equal">
      <formula>"Nuc.Gen"</formula>
    </cfRule>
  </conditionalFormatting>
  <conditionalFormatting sqref="E13">
    <cfRule type="timePeriod" dxfId="1206" priority="1172" timePeriod="tomorrow">
      <formula>FLOOR(E13,1)=TODAY()+1</formula>
    </cfRule>
  </conditionalFormatting>
  <conditionalFormatting sqref="F13">
    <cfRule type="timePeriod" dxfId="1205" priority="1171" timePeriod="tomorrow">
      <formula>FLOOR(F13,1)=TODAY()+1</formula>
    </cfRule>
  </conditionalFormatting>
  <conditionalFormatting sqref="A7">
    <cfRule type="cellIs" dxfId="1204" priority="1167" operator="equal">
      <formula>"50HzT"</formula>
    </cfRule>
    <cfRule type="cellIs" dxfId="1203" priority="1168" operator="equal">
      <formula>"TERNA"</formula>
    </cfRule>
    <cfRule type="cellIs" dxfId="1202" priority="1169" operator="equal">
      <formula>"RTE"</formula>
    </cfRule>
    <cfRule type="cellIs" dxfId="1201" priority="1170" operator="equal">
      <formula>"ELIA"</formula>
    </cfRule>
  </conditionalFormatting>
  <conditionalFormatting sqref="B7:B8">
    <cfRule type="cellIs" dxfId="1200" priority="1163" operator="equal">
      <formula>"Transformer"</formula>
    </cfRule>
    <cfRule type="cellIs" dxfId="1199" priority="1164" operator="equal">
      <formula>"Fossil.Gen"</formula>
    </cfRule>
    <cfRule type="cellIs" dxfId="1198" priority="1165" operator="equal">
      <formula>"Hydro.Gen"</formula>
    </cfRule>
    <cfRule type="cellIs" dxfId="1197" priority="1166" operator="equal">
      <formula>"Nuc.Gen"</formula>
    </cfRule>
  </conditionalFormatting>
  <conditionalFormatting sqref="D7:D8">
    <cfRule type="timePeriod" dxfId="1196" priority="1162" timePeriod="tomorrow">
      <formula>FLOOR(D7,1)=TODAY()+1</formula>
    </cfRule>
  </conditionalFormatting>
  <conditionalFormatting sqref="E7:E8">
    <cfRule type="timePeriod" dxfId="1195" priority="1161" timePeriod="tomorrow">
      <formula>FLOOR(E7,1)=TODAY()+1</formula>
    </cfRule>
  </conditionalFormatting>
  <conditionalFormatting sqref="B13">
    <cfRule type="cellIs" dxfId="1194" priority="1157" operator="equal">
      <formula>"50HzT"</formula>
    </cfRule>
    <cfRule type="cellIs" dxfId="1193" priority="1158" operator="equal">
      <formula>"TERNA"</formula>
    </cfRule>
    <cfRule type="cellIs" dxfId="1192" priority="1159" operator="equal">
      <formula>"RTE"</formula>
    </cfRule>
    <cfRule type="cellIs" dxfId="1191" priority="1160" operator="equal">
      <formula>"ELIA"</formula>
    </cfRule>
  </conditionalFormatting>
  <conditionalFormatting sqref="C13">
    <cfRule type="cellIs" dxfId="1190" priority="1153" operator="equal">
      <formula>"Transformer"</formula>
    </cfRule>
    <cfRule type="cellIs" dxfId="1189" priority="1154" operator="equal">
      <formula>"Fossil.Gen"</formula>
    </cfRule>
    <cfRule type="cellIs" dxfId="1188" priority="1155" operator="equal">
      <formula>"Hydro.Gen"</formula>
    </cfRule>
    <cfRule type="cellIs" dxfId="1187" priority="1156" operator="equal">
      <formula>"Nuc.Gen"</formula>
    </cfRule>
  </conditionalFormatting>
  <conditionalFormatting sqref="E13">
    <cfRule type="timePeriod" dxfId="1186" priority="1152" timePeriod="tomorrow">
      <formula>FLOOR(E13,1)=TODAY()+1</formula>
    </cfRule>
  </conditionalFormatting>
  <conditionalFormatting sqref="F13">
    <cfRule type="timePeriod" dxfId="1185" priority="1151" timePeriod="tomorrow">
      <formula>FLOOR(F13,1)=TODAY()+1</formula>
    </cfRule>
  </conditionalFormatting>
  <conditionalFormatting sqref="A7">
    <cfRule type="cellIs" dxfId="1184" priority="1147" operator="equal">
      <formula>"50HzT"</formula>
    </cfRule>
    <cfRule type="cellIs" dxfId="1183" priority="1148" operator="equal">
      <formula>"TERNA"</formula>
    </cfRule>
    <cfRule type="cellIs" dxfId="1182" priority="1149" operator="equal">
      <formula>"RTE"</formula>
    </cfRule>
    <cfRule type="cellIs" dxfId="1181" priority="1150" operator="equal">
      <formula>"ELIA"</formula>
    </cfRule>
  </conditionalFormatting>
  <conditionalFormatting sqref="B7:B8">
    <cfRule type="cellIs" dxfId="1180" priority="1143" operator="equal">
      <formula>"Transformer"</formula>
    </cfRule>
    <cfRule type="cellIs" dxfId="1179" priority="1144" operator="equal">
      <formula>"Fossil.Gen"</formula>
    </cfRule>
    <cfRule type="cellIs" dxfId="1178" priority="1145" operator="equal">
      <formula>"Hydro.Gen"</formula>
    </cfRule>
    <cfRule type="cellIs" dxfId="1177" priority="1146" operator="equal">
      <formula>"Nuc.Gen"</formula>
    </cfRule>
  </conditionalFormatting>
  <conditionalFormatting sqref="D7:D8">
    <cfRule type="timePeriod" dxfId="1176" priority="1142" timePeriod="tomorrow">
      <formula>FLOOR(D7,1)=TODAY()+1</formula>
    </cfRule>
  </conditionalFormatting>
  <conditionalFormatting sqref="E7:E8">
    <cfRule type="timePeriod" dxfId="1175" priority="1141" timePeriod="tomorrow">
      <formula>FLOOR(E7,1)=TODAY()+1</formula>
    </cfRule>
  </conditionalFormatting>
  <conditionalFormatting sqref="B13">
    <cfRule type="cellIs" dxfId="1174" priority="1137" operator="equal">
      <formula>"50HzT"</formula>
    </cfRule>
    <cfRule type="cellIs" dxfId="1173" priority="1138" operator="equal">
      <formula>"TERNA"</formula>
    </cfRule>
    <cfRule type="cellIs" dxfId="1172" priority="1139" operator="equal">
      <formula>"RTE"</formula>
    </cfRule>
    <cfRule type="cellIs" dxfId="1171" priority="1140" operator="equal">
      <formula>"ELIA"</formula>
    </cfRule>
  </conditionalFormatting>
  <conditionalFormatting sqref="C13">
    <cfRule type="cellIs" dxfId="1170" priority="1133" operator="equal">
      <formula>"Transformer"</formula>
    </cfRule>
    <cfRule type="cellIs" dxfId="1169" priority="1134" operator="equal">
      <formula>"Fossil.Gen"</formula>
    </cfRule>
    <cfRule type="cellIs" dxfId="1168" priority="1135" operator="equal">
      <formula>"Hydro.Gen"</formula>
    </cfRule>
    <cfRule type="cellIs" dxfId="1167" priority="1136" operator="equal">
      <formula>"Nuc.Gen"</formula>
    </cfRule>
  </conditionalFormatting>
  <conditionalFormatting sqref="E13">
    <cfRule type="timePeriod" dxfId="1166" priority="1132" timePeriod="tomorrow">
      <formula>FLOOR(E13,1)=TODAY()+1</formula>
    </cfRule>
  </conditionalFormatting>
  <conditionalFormatting sqref="F13">
    <cfRule type="timePeriod" dxfId="1165" priority="1131" timePeriod="tomorrow">
      <formula>FLOOR(F13,1)=TODAY()+1</formula>
    </cfRule>
  </conditionalFormatting>
  <conditionalFormatting sqref="C5:F5">
    <cfRule type="cellIs" dxfId="1164" priority="1127" operator="equal">
      <formula>"Transformer"</formula>
    </cfRule>
    <cfRule type="cellIs" dxfId="1163" priority="1128" operator="equal">
      <formula>"Fossil.Gen"</formula>
    </cfRule>
    <cfRule type="cellIs" dxfId="1162" priority="1129" operator="equal">
      <formula>"Hydro.Gen"</formula>
    </cfRule>
    <cfRule type="cellIs" dxfId="1161" priority="1130" operator="equal">
      <formula>"Nuc.Gen"</formula>
    </cfRule>
  </conditionalFormatting>
  <conditionalFormatting sqref="C13:F13">
    <cfRule type="cellIs" dxfId="1160" priority="1123" operator="equal">
      <formula>"50HzT"</formula>
    </cfRule>
    <cfRule type="cellIs" dxfId="1159" priority="1124" operator="equal">
      <formula>"TERNA"</formula>
    </cfRule>
    <cfRule type="cellIs" dxfId="1158" priority="1125" operator="equal">
      <formula>"RTE"</formula>
    </cfRule>
    <cfRule type="cellIs" dxfId="1157" priority="1126" operator="equal">
      <formula>"ELIA"</formula>
    </cfRule>
  </conditionalFormatting>
  <conditionalFormatting sqref="C13:F13">
    <cfRule type="cellIs" dxfId="1156" priority="1119" operator="equal">
      <formula>"50HzT"</formula>
    </cfRule>
    <cfRule type="cellIs" dxfId="1155" priority="1120" operator="equal">
      <formula>"TERNA"</formula>
    </cfRule>
    <cfRule type="cellIs" dxfId="1154" priority="1121" operator="equal">
      <formula>"RTE"</formula>
    </cfRule>
    <cfRule type="cellIs" dxfId="1153" priority="1122" operator="equal">
      <formula>"ELIA"</formula>
    </cfRule>
  </conditionalFormatting>
  <conditionalFormatting sqref="C13:F13">
    <cfRule type="cellIs" dxfId="1152" priority="1115" operator="equal">
      <formula>"50HzT"</formula>
    </cfRule>
    <cfRule type="cellIs" dxfId="1151" priority="1116" operator="equal">
      <formula>"TERNA"</formula>
    </cfRule>
    <cfRule type="cellIs" dxfId="1150" priority="1117" operator="equal">
      <formula>"RTE"</formula>
    </cfRule>
    <cfRule type="cellIs" dxfId="1149" priority="1118" operator="equal">
      <formula>"ELIA"</formula>
    </cfRule>
  </conditionalFormatting>
  <conditionalFormatting sqref="C13:F13">
    <cfRule type="cellIs" dxfId="1148" priority="1111" operator="equal">
      <formula>"50HzT"</formula>
    </cfRule>
    <cfRule type="cellIs" dxfId="1147" priority="1112" operator="equal">
      <formula>"TERNA"</formula>
    </cfRule>
    <cfRule type="cellIs" dxfId="1146" priority="1113" operator="equal">
      <formula>"RTE"</formula>
    </cfRule>
    <cfRule type="cellIs" dxfId="1145" priority="1114" operator="equal">
      <formula>"ELIA"</formula>
    </cfRule>
  </conditionalFormatting>
  <conditionalFormatting sqref="C13:F13">
    <cfRule type="cellIs" dxfId="1144" priority="1107" operator="equal">
      <formula>"50HzT"</formula>
    </cfRule>
    <cfRule type="cellIs" dxfId="1143" priority="1108" operator="equal">
      <formula>"TERNA"</formula>
    </cfRule>
    <cfRule type="cellIs" dxfId="1142" priority="1109" operator="equal">
      <formula>"RTE"</formula>
    </cfRule>
    <cfRule type="cellIs" dxfId="1141" priority="1110" operator="equal">
      <formula>"ELIA"</formula>
    </cfRule>
  </conditionalFormatting>
  <conditionalFormatting sqref="C13:F13">
    <cfRule type="cellIs" dxfId="1140" priority="1103" operator="equal">
      <formula>"50HzT"</formula>
    </cfRule>
    <cfRule type="cellIs" dxfId="1139" priority="1104" operator="equal">
      <formula>"TERNA"</formula>
    </cfRule>
    <cfRule type="cellIs" dxfId="1138" priority="1105" operator="equal">
      <formula>"RTE"</formula>
    </cfRule>
    <cfRule type="cellIs" dxfId="1137" priority="1106" operator="equal">
      <formula>"ELIA"</formula>
    </cfRule>
  </conditionalFormatting>
  <conditionalFormatting sqref="C13:F13">
    <cfRule type="cellIs" dxfId="1136" priority="1099" operator="equal">
      <formula>"50HzT"</formula>
    </cfRule>
    <cfRule type="cellIs" dxfId="1135" priority="1100" operator="equal">
      <formula>"TERNA"</formula>
    </cfRule>
    <cfRule type="cellIs" dxfId="1134" priority="1101" operator="equal">
      <formula>"RTE"</formula>
    </cfRule>
    <cfRule type="cellIs" dxfId="1133" priority="1102" operator="equal">
      <formula>"ELIA"</formula>
    </cfRule>
  </conditionalFormatting>
  <conditionalFormatting sqref="C13:F13">
    <cfRule type="cellIs" dxfId="1132" priority="1095" operator="equal">
      <formula>"50HzT"</formula>
    </cfRule>
    <cfRule type="cellIs" dxfId="1131" priority="1096" operator="equal">
      <formula>"TERNA"</formula>
    </cfRule>
    <cfRule type="cellIs" dxfId="1130" priority="1097" operator="equal">
      <formula>"RTE"</formula>
    </cfRule>
    <cfRule type="cellIs" dxfId="1129" priority="1098" operator="equal">
      <formula>"ELIA"</formula>
    </cfRule>
  </conditionalFormatting>
  <conditionalFormatting sqref="C13:F13">
    <cfRule type="cellIs" dxfId="1128" priority="1091" operator="equal">
      <formula>"50HzT"</formula>
    </cfRule>
    <cfRule type="cellIs" dxfId="1127" priority="1092" operator="equal">
      <formula>"TERNA"</formula>
    </cfRule>
    <cfRule type="cellIs" dxfId="1126" priority="1093" operator="equal">
      <formula>"RTE"</formula>
    </cfRule>
    <cfRule type="cellIs" dxfId="1125" priority="1094" operator="equal">
      <formula>"ELIA"</formula>
    </cfRule>
  </conditionalFormatting>
  <conditionalFormatting sqref="C13:F13">
    <cfRule type="cellIs" dxfId="1124" priority="1087" operator="equal">
      <formula>"50HzT"</formula>
    </cfRule>
    <cfRule type="cellIs" dxfId="1123" priority="1088" operator="equal">
      <formula>"TERNA"</formula>
    </cfRule>
    <cfRule type="cellIs" dxfId="1122" priority="1089" operator="equal">
      <formula>"RTE"</formula>
    </cfRule>
    <cfRule type="cellIs" dxfId="1121" priority="1090" operator="equal">
      <formula>"ELIA"</formula>
    </cfRule>
  </conditionalFormatting>
  <conditionalFormatting sqref="C13:F13">
    <cfRule type="cellIs" dxfId="1120" priority="1083" operator="equal">
      <formula>"50HzT"</formula>
    </cfRule>
    <cfRule type="cellIs" dxfId="1119" priority="1084" operator="equal">
      <formula>"TERNA"</formula>
    </cfRule>
    <cfRule type="cellIs" dxfId="1118" priority="1085" operator="equal">
      <formula>"RTE"</formula>
    </cfRule>
    <cfRule type="cellIs" dxfId="1117" priority="1086" operator="equal">
      <formula>"ELIA"</formula>
    </cfRule>
  </conditionalFormatting>
  <conditionalFormatting sqref="C13:F13">
    <cfRule type="cellIs" dxfId="1116" priority="1079" operator="equal">
      <formula>"50HzT"</formula>
    </cfRule>
    <cfRule type="cellIs" dxfId="1115" priority="1080" operator="equal">
      <formula>"TERNA"</formula>
    </cfRule>
    <cfRule type="cellIs" dxfId="1114" priority="1081" operator="equal">
      <formula>"RTE"</formula>
    </cfRule>
    <cfRule type="cellIs" dxfId="1113" priority="1082" operator="equal">
      <formula>"ELIA"</formula>
    </cfRule>
  </conditionalFormatting>
  <conditionalFormatting sqref="C13:F13">
    <cfRule type="cellIs" dxfId="1112" priority="1075" operator="equal">
      <formula>"50HzT"</formula>
    </cfRule>
    <cfRule type="cellIs" dxfId="1111" priority="1076" operator="equal">
      <formula>"TERNA"</formula>
    </cfRule>
    <cfRule type="cellIs" dxfId="1110" priority="1077" operator="equal">
      <formula>"RTE"</formula>
    </cfRule>
    <cfRule type="cellIs" dxfId="1109" priority="1078" operator="equal">
      <formula>"ELIA"</formula>
    </cfRule>
  </conditionalFormatting>
  <conditionalFormatting sqref="C13:F13">
    <cfRule type="cellIs" dxfId="1108" priority="1071" operator="equal">
      <formula>"50HzT"</formula>
    </cfRule>
    <cfRule type="cellIs" dxfId="1107" priority="1072" operator="equal">
      <formula>"TERNA"</formula>
    </cfRule>
    <cfRule type="cellIs" dxfId="1106" priority="1073" operator="equal">
      <formula>"RTE"</formula>
    </cfRule>
    <cfRule type="cellIs" dxfId="1105" priority="1074" operator="equal">
      <formula>"ELIA"</formula>
    </cfRule>
  </conditionalFormatting>
  <conditionalFormatting sqref="C13:F13">
    <cfRule type="cellIs" dxfId="1104" priority="1067" operator="equal">
      <formula>"50HzT"</formula>
    </cfRule>
    <cfRule type="cellIs" dxfId="1103" priority="1068" operator="equal">
      <formula>"TERNA"</formula>
    </cfRule>
    <cfRule type="cellIs" dxfId="1102" priority="1069" operator="equal">
      <formula>"RTE"</formula>
    </cfRule>
    <cfRule type="cellIs" dxfId="1101" priority="1070" operator="equal">
      <formula>"ELIA"</formula>
    </cfRule>
  </conditionalFormatting>
  <conditionalFormatting sqref="C13:F13">
    <cfRule type="cellIs" dxfId="1100" priority="1063" operator="equal">
      <formula>"50HzT"</formula>
    </cfRule>
    <cfRule type="cellIs" dxfId="1099" priority="1064" operator="equal">
      <formula>"TERNA"</formula>
    </cfRule>
    <cfRule type="cellIs" dxfId="1098" priority="1065" operator="equal">
      <formula>"RTE"</formula>
    </cfRule>
    <cfRule type="cellIs" dxfId="1097" priority="1066" operator="equal">
      <formula>"ELIA"</formula>
    </cfRule>
  </conditionalFormatting>
  <conditionalFormatting sqref="C13:F13">
    <cfRule type="cellIs" dxfId="1096" priority="1059" operator="equal">
      <formula>"50HzT"</formula>
    </cfRule>
    <cfRule type="cellIs" dxfId="1095" priority="1060" operator="equal">
      <formula>"TERNA"</formula>
    </cfRule>
    <cfRule type="cellIs" dxfId="1094" priority="1061" operator="equal">
      <formula>"RTE"</formula>
    </cfRule>
    <cfRule type="cellIs" dxfId="1093" priority="1062" operator="equal">
      <formula>"ELIA"</formula>
    </cfRule>
  </conditionalFormatting>
  <conditionalFormatting sqref="C13:F13">
    <cfRule type="cellIs" dxfId="1092" priority="1055" operator="equal">
      <formula>"50HzT"</formula>
    </cfRule>
    <cfRule type="cellIs" dxfId="1091" priority="1056" operator="equal">
      <formula>"TERNA"</formula>
    </cfRule>
    <cfRule type="cellIs" dxfId="1090" priority="1057" operator="equal">
      <formula>"RTE"</formula>
    </cfRule>
    <cfRule type="cellIs" dxfId="1089" priority="1058" operator="equal">
      <formula>"ELIA"</formula>
    </cfRule>
  </conditionalFormatting>
  <conditionalFormatting sqref="C13:F13">
    <cfRule type="cellIs" dxfId="1088" priority="1051" operator="equal">
      <formula>"50HzT"</formula>
    </cfRule>
    <cfRule type="cellIs" dxfId="1087" priority="1052" operator="equal">
      <formula>"TERNA"</formula>
    </cfRule>
    <cfRule type="cellIs" dxfId="1086" priority="1053" operator="equal">
      <formula>"RTE"</formula>
    </cfRule>
    <cfRule type="cellIs" dxfId="1085" priority="1054" operator="equal">
      <formula>"ELIA"</formula>
    </cfRule>
  </conditionalFormatting>
  <conditionalFormatting sqref="C13:F13">
    <cfRule type="cellIs" dxfId="1084" priority="1047" operator="equal">
      <formula>"50HzT"</formula>
    </cfRule>
    <cfRule type="cellIs" dxfId="1083" priority="1048" operator="equal">
      <formula>"TERNA"</formula>
    </cfRule>
    <cfRule type="cellIs" dxfId="1082" priority="1049" operator="equal">
      <formula>"RTE"</formula>
    </cfRule>
    <cfRule type="cellIs" dxfId="1081" priority="1050" operator="equal">
      <formula>"ELIA"</formula>
    </cfRule>
  </conditionalFormatting>
  <conditionalFormatting sqref="C13:F13">
    <cfRule type="cellIs" dxfId="1080" priority="1043" operator="equal">
      <formula>"50HzT"</formula>
    </cfRule>
    <cfRule type="cellIs" dxfId="1079" priority="1044" operator="equal">
      <formula>"TERNA"</formula>
    </cfRule>
    <cfRule type="cellIs" dxfId="1078" priority="1045" operator="equal">
      <formula>"RTE"</formula>
    </cfRule>
    <cfRule type="cellIs" dxfId="1077" priority="1046" operator="equal">
      <formula>"ELIA"</formula>
    </cfRule>
  </conditionalFormatting>
  <conditionalFormatting sqref="C13:F13">
    <cfRule type="cellIs" dxfId="1076" priority="1039" operator="equal">
      <formula>"50HzT"</formula>
    </cfRule>
    <cfRule type="cellIs" dxfId="1075" priority="1040" operator="equal">
      <formula>"TERNA"</formula>
    </cfRule>
    <cfRule type="cellIs" dxfId="1074" priority="1041" operator="equal">
      <formula>"RTE"</formula>
    </cfRule>
    <cfRule type="cellIs" dxfId="1073" priority="1042" operator="equal">
      <formula>"ELIA"</formula>
    </cfRule>
  </conditionalFormatting>
  <conditionalFormatting sqref="C13:F13">
    <cfRule type="cellIs" dxfId="1072" priority="1035" operator="equal">
      <formula>"50HzT"</formula>
    </cfRule>
    <cfRule type="cellIs" dxfId="1071" priority="1036" operator="equal">
      <formula>"TERNA"</formula>
    </cfRule>
    <cfRule type="cellIs" dxfId="1070" priority="1037" operator="equal">
      <formula>"RTE"</formula>
    </cfRule>
    <cfRule type="cellIs" dxfId="1069" priority="1038" operator="equal">
      <formula>"ELIA"</formula>
    </cfRule>
  </conditionalFormatting>
  <conditionalFormatting sqref="C13:F13">
    <cfRule type="cellIs" dxfId="1068" priority="1031" operator="equal">
      <formula>"50HzT"</formula>
    </cfRule>
    <cfRule type="cellIs" dxfId="1067" priority="1032" operator="equal">
      <formula>"TERNA"</formula>
    </cfRule>
    <cfRule type="cellIs" dxfId="1066" priority="1033" operator="equal">
      <formula>"RTE"</formula>
    </cfRule>
    <cfRule type="cellIs" dxfId="1065" priority="1034" operator="equal">
      <formula>"ELIA"</formula>
    </cfRule>
  </conditionalFormatting>
  <conditionalFormatting sqref="C13:F13">
    <cfRule type="cellIs" dxfId="1064" priority="1027" operator="equal">
      <formula>"50HzT"</formula>
    </cfRule>
    <cfRule type="cellIs" dxfId="1063" priority="1028" operator="equal">
      <formula>"TERNA"</formula>
    </cfRule>
    <cfRule type="cellIs" dxfId="1062" priority="1029" operator="equal">
      <formula>"RTE"</formula>
    </cfRule>
    <cfRule type="cellIs" dxfId="1061" priority="1030" operator="equal">
      <formula>"ELIA"</formula>
    </cfRule>
  </conditionalFormatting>
  <conditionalFormatting sqref="C13:F13">
    <cfRule type="cellIs" dxfId="1060" priority="1023" operator="equal">
      <formula>"50HzT"</formula>
    </cfRule>
    <cfRule type="cellIs" dxfId="1059" priority="1024" operator="equal">
      <formula>"TERNA"</formula>
    </cfRule>
    <cfRule type="cellIs" dxfId="1058" priority="1025" operator="equal">
      <formula>"RTE"</formula>
    </cfRule>
    <cfRule type="cellIs" dxfId="1057" priority="1026" operator="equal">
      <formula>"ELIA"</formula>
    </cfRule>
  </conditionalFormatting>
  <conditionalFormatting sqref="C13:F13">
    <cfRule type="cellIs" dxfId="1056" priority="1019" operator="equal">
      <formula>"50HzT"</formula>
    </cfRule>
    <cfRule type="cellIs" dxfId="1055" priority="1020" operator="equal">
      <formula>"TERNA"</formula>
    </cfRule>
    <cfRule type="cellIs" dxfId="1054" priority="1021" operator="equal">
      <formula>"RTE"</formula>
    </cfRule>
    <cfRule type="cellIs" dxfId="1053" priority="1022" operator="equal">
      <formula>"ELIA"</formula>
    </cfRule>
  </conditionalFormatting>
  <conditionalFormatting sqref="C13:F13">
    <cfRule type="cellIs" dxfId="1052" priority="1015" operator="equal">
      <formula>"50HzT"</formula>
    </cfRule>
    <cfRule type="cellIs" dxfId="1051" priority="1016" operator="equal">
      <formula>"TERNA"</formula>
    </cfRule>
    <cfRule type="cellIs" dxfId="1050" priority="1017" operator="equal">
      <formula>"RTE"</formula>
    </cfRule>
    <cfRule type="cellIs" dxfId="1049" priority="1018" operator="equal">
      <formula>"ELIA"</formula>
    </cfRule>
  </conditionalFormatting>
  <conditionalFormatting sqref="A7">
    <cfRule type="cellIs" dxfId="1048" priority="1011" operator="equal">
      <formula>"50HzT"</formula>
    </cfRule>
    <cfRule type="cellIs" dxfId="1047" priority="1012" operator="equal">
      <formula>"TERNA"</formula>
    </cfRule>
    <cfRule type="cellIs" dxfId="1046" priority="1013" operator="equal">
      <formula>"RTE"</formula>
    </cfRule>
    <cfRule type="cellIs" dxfId="1045" priority="1014" operator="equal">
      <formula>"ELIA"</formula>
    </cfRule>
  </conditionalFormatting>
  <conditionalFormatting sqref="B7:B8">
    <cfRule type="cellIs" dxfId="1044" priority="1007" operator="equal">
      <formula>"Transformer"</formula>
    </cfRule>
    <cfRule type="cellIs" dxfId="1043" priority="1008" operator="equal">
      <formula>"Fossil.Gen"</formula>
    </cfRule>
    <cfRule type="cellIs" dxfId="1042" priority="1009" operator="equal">
      <formula>"Hydro.Gen"</formula>
    </cfRule>
    <cfRule type="cellIs" dxfId="1041" priority="1010" operator="equal">
      <formula>"Nuc.Gen"</formula>
    </cfRule>
  </conditionalFormatting>
  <conditionalFormatting sqref="D7:D8">
    <cfRule type="timePeriod" dxfId="1040" priority="1006" timePeriod="tomorrow">
      <formula>FLOOR(D7,1)=TODAY()+1</formula>
    </cfRule>
  </conditionalFormatting>
  <conditionalFormatting sqref="E7:E8">
    <cfRule type="timePeriod" dxfId="1039" priority="1005" timePeriod="tomorrow">
      <formula>FLOOR(E7,1)=TODAY()+1</formula>
    </cfRule>
  </conditionalFormatting>
  <conditionalFormatting sqref="B13">
    <cfRule type="cellIs" dxfId="1038" priority="1001" operator="equal">
      <formula>"50HzT"</formula>
    </cfRule>
    <cfRule type="cellIs" dxfId="1037" priority="1002" operator="equal">
      <formula>"TERNA"</formula>
    </cfRule>
    <cfRule type="cellIs" dxfId="1036" priority="1003" operator="equal">
      <formula>"RTE"</formula>
    </cfRule>
    <cfRule type="cellIs" dxfId="1035" priority="1004" operator="equal">
      <formula>"ELIA"</formula>
    </cfRule>
  </conditionalFormatting>
  <conditionalFormatting sqref="C13">
    <cfRule type="cellIs" dxfId="1034" priority="997" operator="equal">
      <formula>"Transformer"</formula>
    </cfRule>
    <cfRule type="cellIs" dxfId="1033" priority="998" operator="equal">
      <formula>"Fossil.Gen"</formula>
    </cfRule>
    <cfRule type="cellIs" dxfId="1032" priority="999" operator="equal">
      <formula>"Hydro.Gen"</formula>
    </cfRule>
    <cfRule type="cellIs" dxfId="1031" priority="1000" operator="equal">
      <formula>"Nuc.Gen"</formula>
    </cfRule>
  </conditionalFormatting>
  <conditionalFormatting sqref="E13">
    <cfRule type="timePeriod" dxfId="1030" priority="996" timePeriod="tomorrow">
      <formula>FLOOR(E13,1)=TODAY()+1</formula>
    </cfRule>
  </conditionalFormatting>
  <conditionalFormatting sqref="F13">
    <cfRule type="timePeriod" dxfId="1029" priority="995" timePeriod="tomorrow">
      <formula>FLOOR(F13,1)=TODAY()+1</formula>
    </cfRule>
  </conditionalFormatting>
  <conditionalFormatting sqref="A7">
    <cfRule type="cellIs" dxfId="1028" priority="991" operator="equal">
      <formula>"50HzT"</formula>
    </cfRule>
    <cfRule type="cellIs" dxfId="1027" priority="992" operator="equal">
      <formula>"TERNA"</formula>
    </cfRule>
    <cfRule type="cellIs" dxfId="1026" priority="993" operator="equal">
      <formula>"RTE"</formula>
    </cfRule>
    <cfRule type="cellIs" dxfId="1025" priority="994" operator="equal">
      <formula>"ELIA"</formula>
    </cfRule>
  </conditionalFormatting>
  <conditionalFormatting sqref="B7:B8">
    <cfRule type="cellIs" dxfId="1024" priority="987" operator="equal">
      <formula>"Transformer"</formula>
    </cfRule>
    <cfRule type="cellIs" dxfId="1023" priority="988" operator="equal">
      <formula>"Fossil.Gen"</formula>
    </cfRule>
    <cfRule type="cellIs" dxfId="1022" priority="989" operator="equal">
      <formula>"Hydro.Gen"</formula>
    </cfRule>
    <cfRule type="cellIs" dxfId="1021" priority="990" operator="equal">
      <formula>"Nuc.Gen"</formula>
    </cfRule>
  </conditionalFormatting>
  <conditionalFormatting sqref="D7:D8">
    <cfRule type="timePeriod" dxfId="1020" priority="986" timePeriod="tomorrow">
      <formula>FLOOR(D7,1)=TODAY()+1</formula>
    </cfRule>
  </conditionalFormatting>
  <conditionalFormatting sqref="E7:E8">
    <cfRule type="timePeriod" dxfId="1019" priority="985" timePeriod="tomorrow">
      <formula>FLOOR(E7,1)=TODAY()+1</formula>
    </cfRule>
  </conditionalFormatting>
  <conditionalFormatting sqref="B13">
    <cfRule type="cellIs" dxfId="1018" priority="981" operator="equal">
      <formula>"50HzT"</formula>
    </cfRule>
    <cfRule type="cellIs" dxfId="1017" priority="982" operator="equal">
      <formula>"TERNA"</formula>
    </cfRule>
    <cfRule type="cellIs" dxfId="1016" priority="983" operator="equal">
      <formula>"RTE"</formula>
    </cfRule>
    <cfRule type="cellIs" dxfId="1015" priority="984" operator="equal">
      <formula>"ELIA"</formula>
    </cfRule>
  </conditionalFormatting>
  <conditionalFormatting sqref="C13">
    <cfRule type="cellIs" dxfId="1014" priority="977" operator="equal">
      <formula>"Transformer"</formula>
    </cfRule>
    <cfRule type="cellIs" dxfId="1013" priority="978" operator="equal">
      <formula>"Fossil.Gen"</formula>
    </cfRule>
    <cfRule type="cellIs" dxfId="1012" priority="979" operator="equal">
      <formula>"Hydro.Gen"</formula>
    </cfRule>
    <cfRule type="cellIs" dxfId="1011" priority="980" operator="equal">
      <formula>"Nuc.Gen"</formula>
    </cfRule>
  </conditionalFormatting>
  <conditionalFormatting sqref="E13">
    <cfRule type="timePeriod" dxfId="1010" priority="976" timePeriod="tomorrow">
      <formula>FLOOR(E13,1)=TODAY()+1</formula>
    </cfRule>
  </conditionalFormatting>
  <conditionalFormatting sqref="F13">
    <cfRule type="timePeriod" dxfId="1009" priority="975" timePeriod="tomorrow">
      <formula>FLOOR(F13,1)=TODAY()+1</formula>
    </cfRule>
  </conditionalFormatting>
  <conditionalFormatting sqref="A7">
    <cfRule type="cellIs" dxfId="1008" priority="971" operator="equal">
      <formula>"50HzT"</formula>
    </cfRule>
    <cfRule type="cellIs" dxfId="1007" priority="972" operator="equal">
      <formula>"TERNA"</formula>
    </cfRule>
    <cfRule type="cellIs" dxfId="1006" priority="973" operator="equal">
      <formula>"RTE"</formula>
    </cfRule>
    <cfRule type="cellIs" dxfId="1005" priority="974" operator="equal">
      <formula>"ELIA"</formula>
    </cfRule>
  </conditionalFormatting>
  <conditionalFormatting sqref="B7:B8">
    <cfRule type="cellIs" dxfId="1004" priority="967" operator="equal">
      <formula>"Transformer"</formula>
    </cfRule>
    <cfRule type="cellIs" dxfId="1003" priority="968" operator="equal">
      <formula>"Fossil.Gen"</formula>
    </cfRule>
    <cfRule type="cellIs" dxfId="1002" priority="969" operator="equal">
      <formula>"Hydro.Gen"</formula>
    </cfRule>
    <cfRule type="cellIs" dxfId="1001" priority="970" operator="equal">
      <formula>"Nuc.Gen"</formula>
    </cfRule>
  </conditionalFormatting>
  <conditionalFormatting sqref="D7:D8">
    <cfRule type="timePeriod" dxfId="1000" priority="966" timePeriod="tomorrow">
      <formula>FLOOR(D7,1)=TODAY()+1</formula>
    </cfRule>
  </conditionalFormatting>
  <conditionalFormatting sqref="E7:E8">
    <cfRule type="timePeriod" dxfId="999" priority="965" timePeriod="tomorrow">
      <formula>FLOOR(E7,1)=TODAY()+1</formula>
    </cfRule>
  </conditionalFormatting>
  <conditionalFormatting sqref="B13">
    <cfRule type="cellIs" dxfId="998" priority="961" operator="equal">
      <formula>"50HzT"</formula>
    </cfRule>
    <cfRule type="cellIs" dxfId="997" priority="962" operator="equal">
      <formula>"TERNA"</formula>
    </cfRule>
    <cfRule type="cellIs" dxfId="996" priority="963" operator="equal">
      <formula>"RTE"</formula>
    </cfRule>
    <cfRule type="cellIs" dxfId="995" priority="964" operator="equal">
      <formula>"ELIA"</formula>
    </cfRule>
  </conditionalFormatting>
  <conditionalFormatting sqref="C13">
    <cfRule type="cellIs" dxfId="994" priority="957" operator="equal">
      <formula>"Transformer"</formula>
    </cfRule>
    <cfRule type="cellIs" dxfId="993" priority="958" operator="equal">
      <formula>"Fossil.Gen"</formula>
    </cfRule>
    <cfRule type="cellIs" dxfId="992" priority="959" operator="equal">
      <formula>"Hydro.Gen"</formula>
    </cfRule>
    <cfRule type="cellIs" dxfId="991" priority="960" operator="equal">
      <formula>"Nuc.Gen"</formula>
    </cfRule>
  </conditionalFormatting>
  <conditionalFormatting sqref="E13">
    <cfRule type="timePeriod" dxfId="990" priority="956" timePeriod="tomorrow">
      <formula>FLOOR(E13,1)=TODAY()+1</formula>
    </cfRule>
  </conditionalFormatting>
  <conditionalFormatting sqref="F13">
    <cfRule type="timePeriod" dxfId="989" priority="955" timePeriod="tomorrow">
      <formula>FLOOR(F13,1)=TODAY()+1</formula>
    </cfRule>
  </conditionalFormatting>
  <conditionalFormatting sqref="A7">
    <cfRule type="cellIs" dxfId="988" priority="951" operator="equal">
      <formula>"50HzT"</formula>
    </cfRule>
    <cfRule type="cellIs" dxfId="987" priority="952" operator="equal">
      <formula>"TERNA"</formula>
    </cfRule>
    <cfRule type="cellIs" dxfId="986" priority="953" operator="equal">
      <formula>"RTE"</formula>
    </cfRule>
    <cfRule type="cellIs" dxfId="985" priority="954" operator="equal">
      <formula>"ELIA"</formula>
    </cfRule>
  </conditionalFormatting>
  <conditionalFormatting sqref="B7:B8">
    <cfRule type="cellIs" dxfId="984" priority="947" operator="equal">
      <formula>"Transformer"</formula>
    </cfRule>
    <cfRule type="cellIs" dxfId="983" priority="948" operator="equal">
      <formula>"Fossil.Gen"</formula>
    </cfRule>
    <cfRule type="cellIs" dxfId="982" priority="949" operator="equal">
      <formula>"Hydro.Gen"</formula>
    </cfRule>
    <cfRule type="cellIs" dxfId="981" priority="950" operator="equal">
      <formula>"Nuc.Gen"</formula>
    </cfRule>
  </conditionalFormatting>
  <conditionalFormatting sqref="D7:D8">
    <cfRule type="timePeriod" dxfId="980" priority="946" timePeriod="tomorrow">
      <formula>FLOOR(D7,1)=TODAY()+1</formula>
    </cfRule>
  </conditionalFormatting>
  <conditionalFormatting sqref="E7:E8">
    <cfRule type="timePeriod" dxfId="979" priority="945" timePeriod="tomorrow">
      <formula>FLOOR(E7,1)=TODAY()+1</formula>
    </cfRule>
  </conditionalFormatting>
  <conditionalFormatting sqref="B13">
    <cfRule type="cellIs" dxfId="978" priority="941" operator="equal">
      <formula>"50HzT"</formula>
    </cfRule>
    <cfRule type="cellIs" dxfId="977" priority="942" operator="equal">
      <formula>"TERNA"</formula>
    </cfRule>
    <cfRule type="cellIs" dxfId="976" priority="943" operator="equal">
      <formula>"RTE"</formula>
    </cfRule>
    <cfRule type="cellIs" dxfId="975" priority="944" operator="equal">
      <formula>"ELIA"</formula>
    </cfRule>
  </conditionalFormatting>
  <conditionalFormatting sqref="C13">
    <cfRule type="cellIs" dxfId="974" priority="937" operator="equal">
      <formula>"Transformer"</formula>
    </cfRule>
    <cfRule type="cellIs" dxfId="973" priority="938" operator="equal">
      <formula>"Fossil.Gen"</formula>
    </cfRule>
    <cfRule type="cellIs" dxfId="972" priority="939" operator="equal">
      <formula>"Hydro.Gen"</formula>
    </cfRule>
    <cfRule type="cellIs" dxfId="971" priority="940" operator="equal">
      <formula>"Nuc.Gen"</formula>
    </cfRule>
  </conditionalFormatting>
  <conditionalFormatting sqref="E13">
    <cfRule type="timePeriod" dxfId="970" priority="936" timePeriod="tomorrow">
      <formula>FLOOR(E13,1)=TODAY()+1</formula>
    </cfRule>
  </conditionalFormatting>
  <conditionalFormatting sqref="F13">
    <cfRule type="timePeriod" dxfId="969" priority="935" timePeriod="tomorrow">
      <formula>FLOOR(F13,1)=TODAY()+1</formula>
    </cfRule>
  </conditionalFormatting>
  <conditionalFormatting sqref="A7">
    <cfRule type="cellIs" dxfId="968" priority="931" operator="equal">
      <formula>"50HzT"</formula>
    </cfRule>
    <cfRule type="cellIs" dxfId="967" priority="932" operator="equal">
      <formula>"TERNA"</formula>
    </cfRule>
    <cfRule type="cellIs" dxfId="966" priority="933" operator="equal">
      <formula>"RTE"</formula>
    </cfRule>
    <cfRule type="cellIs" dxfId="965" priority="934" operator="equal">
      <formula>"ELIA"</formula>
    </cfRule>
  </conditionalFormatting>
  <conditionalFormatting sqref="B7:B8">
    <cfRule type="cellIs" dxfId="964" priority="927" operator="equal">
      <formula>"Transformer"</formula>
    </cfRule>
    <cfRule type="cellIs" dxfId="963" priority="928" operator="equal">
      <formula>"Fossil.Gen"</formula>
    </cfRule>
    <cfRule type="cellIs" dxfId="962" priority="929" operator="equal">
      <formula>"Hydro.Gen"</formula>
    </cfRule>
    <cfRule type="cellIs" dxfId="961" priority="930" operator="equal">
      <formula>"Nuc.Gen"</formula>
    </cfRule>
  </conditionalFormatting>
  <conditionalFormatting sqref="D7:D8">
    <cfRule type="timePeriod" dxfId="960" priority="926" timePeriod="tomorrow">
      <formula>FLOOR(D7,1)=TODAY()+1</formula>
    </cfRule>
  </conditionalFormatting>
  <conditionalFormatting sqref="E7:E8">
    <cfRule type="timePeriod" dxfId="959" priority="925" timePeriod="tomorrow">
      <formula>FLOOR(E7,1)=TODAY()+1</formula>
    </cfRule>
  </conditionalFormatting>
  <conditionalFormatting sqref="B13">
    <cfRule type="cellIs" dxfId="958" priority="921" operator="equal">
      <formula>"50HzT"</formula>
    </cfRule>
    <cfRule type="cellIs" dxfId="957" priority="922" operator="equal">
      <formula>"TERNA"</formula>
    </cfRule>
    <cfRule type="cellIs" dxfId="956" priority="923" operator="equal">
      <formula>"RTE"</formula>
    </cfRule>
    <cfRule type="cellIs" dxfId="955" priority="924" operator="equal">
      <formula>"ELIA"</formula>
    </cfRule>
  </conditionalFormatting>
  <conditionalFormatting sqref="C13">
    <cfRule type="cellIs" dxfId="954" priority="917" operator="equal">
      <formula>"Transformer"</formula>
    </cfRule>
    <cfRule type="cellIs" dxfId="953" priority="918" operator="equal">
      <formula>"Fossil.Gen"</formula>
    </cfRule>
    <cfRule type="cellIs" dxfId="952" priority="919" operator="equal">
      <formula>"Hydro.Gen"</formula>
    </cfRule>
    <cfRule type="cellIs" dxfId="951" priority="920" operator="equal">
      <formula>"Nuc.Gen"</formula>
    </cfRule>
  </conditionalFormatting>
  <conditionalFormatting sqref="E13">
    <cfRule type="timePeriod" dxfId="950" priority="916" timePeriod="tomorrow">
      <formula>FLOOR(E13,1)=TODAY()+1</formula>
    </cfRule>
  </conditionalFormatting>
  <conditionalFormatting sqref="F13">
    <cfRule type="timePeriod" dxfId="949" priority="915" timePeriod="tomorrow">
      <formula>FLOOR(F13,1)=TODAY()+1</formula>
    </cfRule>
  </conditionalFormatting>
  <conditionalFormatting sqref="A7">
    <cfRule type="cellIs" dxfId="948" priority="911" operator="equal">
      <formula>"50HzT"</formula>
    </cfRule>
    <cfRule type="cellIs" dxfId="947" priority="912" operator="equal">
      <formula>"TERNA"</formula>
    </cfRule>
    <cfRule type="cellIs" dxfId="946" priority="913" operator="equal">
      <formula>"RTE"</formula>
    </cfRule>
    <cfRule type="cellIs" dxfId="945" priority="914" operator="equal">
      <formula>"ELIA"</formula>
    </cfRule>
  </conditionalFormatting>
  <conditionalFormatting sqref="B7:B8">
    <cfRule type="cellIs" dxfId="944" priority="907" operator="equal">
      <formula>"Transformer"</formula>
    </cfRule>
    <cfRule type="cellIs" dxfId="943" priority="908" operator="equal">
      <formula>"Fossil.Gen"</formula>
    </cfRule>
    <cfRule type="cellIs" dxfId="942" priority="909" operator="equal">
      <formula>"Hydro.Gen"</formula>
    </cfRule>
    <cfRule type="cellIs" dxfId="941" priority="910" operator="equal">
      <formula>"Nuc.Gen"</formula>
    </cfRule>
  </conditionalFormatting>
  <conditionalFormatting sqref="D7:D8">
    <cfRule type="timePeriod" dxfId="940" priority="906" timePeriod="tomorrow">
      <formula>FLOOR(D7,1)=TODAY()+1</formula>
    </cfRule>
  </conditionalFormatting>
  <conditionalFormatting sqref="E7:E8">
    <cfRule type="timePeriod" dxfId="939" priority="905" timePeriod="tomorrow">
      <formula>FLOOR(E7,1)=TODAY()+1</formula>
    </cfRule>
  </conditionalFormatting>
  <conditionalFormatting sqref="B13">
    <cfRule type="cellIs" dxfId="938" priority="901" operator="equal">
      <formula>"50HzT"</formula>
    </cfRule>
    <cfRule type="cellIs" dxfId="937" priority="902" operator="equal">
      <formula>"TERNA"</formula>
    </cfRule>
    <cfRule type="cellIs" dxfId="936" priority="903" operator="equal">
      <formula>"RTE"</formula>
    </cfRule>
    <cfRule type="cellIs" dxfId="935" priority="904" operator="equal">
      <formula>"ELIA"</formula>
    </cfRule>
  </conditionalFormatting>
  <conditionalFormatting sqref="C13">
    <cfRule type="cellIs" dxfId="934" priority="897" operator="equal">
      <formula>"Transformer"</formula>
    </cfRule>
    <cfRule type="cellIs" dxfId="933" priority="898" operator="equal">
      <formula>"Fossil.Gen"</formula>
    </cfRule>
    <cfRule type="cellIs" dxfId="932" priority="899" operator="equal">
      <formula>"Hydro.Gen"</formula>
    </cfRule>
    <cfRule type="cellIs" dxfId="931" priority="900" operator="equal">
      <formula>"Nuc.Gen"</formula>
    </cfRule>
  </conditionalFormatting>
  <conditionalFormatting sqref="E13">
    <cfRule type="timePeriod" dxfId="930" priority="896" timePeriod="tomorrow">
      <formula>FLOOR(E13,1)=TODAY()+1</formula>
    </cfRule>
  </conditionalFormatting>
  <conditionalFormatting sqref="F13">
    <cfRule type="timePeriod" dxfId="929" priority="895" timePeriod="tomorrow">
      <formula>FLOOR(F13,1)=TODAY()+1</formula>
    </cfRule>
  </conditionalFormatting>
  <conditionalFormatting sqref="A7">
    <cfRule type="cellIs" dxfId="928" priority="891" operator="equal">
      <formula>"50HzT"</formula>
    </cfRule>
    <cfRule type="cellIs" dxfId="927" priority="892" operator="equal">
      <formula>"TERNA"</formula>
    </cfRule>
    <cfRule type="cellIs" dxfId="926" priority="893" operator="equal">
      <formula>"RTE"</formula>
    </cfRule>
    <cfRule type="cellIs" dxfId="925" priority="894" operator="equal">
      <formula>"ELIA"</formula>
    </cfRule>
  </conditionalFormatting>
  <conditionalFormatting sqref="B7:B8">
    <cfRule type="cellIs" dxfId="924" priority="887" operator="equal">
      <formula>"Transformer"</formula>
    </cfRule>
    <cfRule type="cellIs" dxfId="923" priority="888" operator="equal">
      <formula>"Fossil.Gen"</formula>
    </cfRule>
    <cfRule type="cellIs" dxfId="922" priority="889" operator="equal">
      <formula>"Hydro.Gen"</formula>
    </cfRule>
    <cfRule type="cellIs" dxfId="921" priority="890" operator="equal">
      <formula>"Nuc.Gen"</formula>
    </cfRule>
  </conditionalFormatting>
  <conditionalFormatting sqref="D7:D8">
    <cfRule type="timePeriod" dxfId="920" priority="886" timePeriod="tomorrow">
      <formula>FLOOR(D7,1)=TODAY()+1</formula>
    </cfRule>
  </conditionalFormatting>
  <conditionalFormatting sqref="E7:E8">
    <cfRule type="timePeriod" dxfId="919" priority="885" timePeriod="tomorrow">
      <formula>FLOOR(E7,1)=TODAY()+1</formula>
    </cfRule>
  </conditionalFormatting>
  <conditionalFormatting sqref="B13">
    <cfRule type="cellIs" dxfId="918" priority="881" operator="equal">
      <formula>"50HzT"</formula>
    </cfRule>
    <cfRule type="cellIs" dxfId="917" priority="882" operator="equal">
      <formula>"TERNA"</formula>
    </cfRule>
    <cfRule type="cellIs" dxfId="916" priority="883" operator="equal">
      <formula>"RTE"</formula>
    </cfRule>
    <cfRule type="cellIs" dxfId="915" priority="884" operator="equal">
      <formula>"ELIA"</formula>
    </cfRule>
  </conditionalFormatting>
  <conditionalFormatting sqref="C13">
    <cfRule type="cellIs" dxfId="914" priority="877" operator="equal">
      <formula>"Transformer"</formula>
    </cfRule>
    <cfRule type="cellIs" dxfId="913" priority="878" operator="equal">
      <formula>"Fossil.Gen"</formula>
    </cfRule>
    <cfRule type="cellIs" dxfId="912" priority="879" operator="equal">
      <formula>"Hydro.Gen"</formula>
    </cfRule>
    <cfRule type="cellIs" dxfId="911" priority="880" operator="equal">
      <formula>"Nuc.Gen"</formula>
    </cfRule>
  </conditionalFormatting>
  <conditionalFormatting sqref="E13">
    <cfRule type="timePeriod" dxfId="910" priority="876" timePeriod="tomorrow">
      <formula>FLOOR(E13,1)=TODAY()+1</formula>
    </cfRule>
  </conditionalFormatting>
  <conditionalFormatting sqref="F13">
    <cfRule type="timePeriod" dxfId="909" priority="875" timePeriod="tomorrow">
      <formula>FLOOR(F13,1)=TODAY()+1</formula>
    </cfRule>
  </conditionalFormatting>
  <conditionalFormatting sqref="A7">
    <cfRule type="cellIs" dxfId="908" priority="871" operator="equal">
      <formula>"50HzT"</formula>
    </cfRule>
    <cfRule type="cellIs" dxfId="907" priority="872" operator="equal">
      <formula>"TERNA"</formula>
    </cfRule>
    <cfRule type="cellIs" dxfId="906" priority="873" operator="equal">
      <formula>"RTE"</formula>
    </cfRule>
    <cfRule type="cellIs" dxfId="905" priority="874" operator="equal">
      <formula>"ELIA"</formula>
    </cfRule>
  </conditionalFormatting>
  <conditionalFormatting sqref="B7:B8">
    <cfRule type="cellIs" dxfId="904" priority="867" operator="equal">
      <formula>"Transformer"</formula>
    </cfRule>
    <cfRule type="cellIs" dxfId="903" priority="868" operator="equal">
      <formula>"Fossil.Gen"</formula>
    </cfRule>
    <cfRule type="cellIs" dxfId="902" priority="869" operator="equal">
      <formula>"Hydro.Gen"</formula>
    </cfRule>
    <cfRule type="cellIs" dxfId="901" priority="870" operator="equal">
      <formula>"Nuc.Gen"</formula>
    </cfRule>
  </conditionalFormatting>
  <conditionalFormatting sqref="D7:D8">
    <cfRule type="timePeriod" dxfId="900" priority="866" timePeriod="tomorrow">
      <formula>FLOOR(D7,1)=TODAY()+1</formula>
    </cfRule>
  </conditionalFormatting>
  <conditionalFormatting sqref="E7:E8">
    <cfRule type="timePeriod" dxfId="899" priority="865" timePeriod="tomorrow">
      <formula>FLOOR(E7,1)=TODAY()+1</formula>
    </cfRule>
  </conditionalFormatting>
  <conditionalFormatting sqref="B13">
    <cfRule type="cellIs" dxfId="898" priority="861" operator="equal">
      <formula>"50HzT"</formula>
    </cfRule>
    <cfRule type="cellIs" dxfId="897" priority="862" operator="equal">
      <formula>"TERNA"</formula>
    </cfRule>
    <cfRule type="cellIs" dxfId="896" priority="863" operator="equal">
      <formula>"RTE"</formula>
    </cfRule>
    <cfRule type="cellIs" dxfId="895" priority="864" operator="equal">
      <formula>"ELIA"</formula>
    </cfRule>
  </conditionalFormatting>
  <conditionalFormatting sqref="C13">
    <cfRule type="cellIs" dxfId="894" priority="857" operator="equal">
      <formula>"Transformer"</formula>
    </cfRule>
    <cfRule type="cellIs" dxfId="893" priority="858" operator="equal">
      <formula>"Fossil.Gen"</formula>
    </cfRule>
    <cfRule type="cellIs" dxfId="892" priority="859" operator="equal">
      <formula>"Hydro.Gen"</formula>
    </cfRule>
    <cfRule type="cellIs" dxfId="891" priority="860" operator="equal">
      <formula>"Nuc.Gen"</formula>
    </cfRule>
  </conditionalFormatting>
  <conditionalFormatting sqref="E13">
    <cfRule type="timePeriod" dxfId="890" priority="856" timePeriod="tomorrow">
      <formula>FLOOR(E13,1)=TODAY()+1</formula>
    </cfRule>
  </conditionalFormatting>
  <conditionalFormatting sqref="F13">
    <cfRule type="timePeriod" dxfId="889" priority="855" timePeriod="tomorrow">
      <formula>FLOOR(F13,1)=TODAY()+1</formula>
    </cfRule>
  </conditionalFormatting>
  <conditionalFormatting sqref="A7">
    <cfRule type="cellIs" dxfId="888" priority="851" operator="equal">
      <formula>"50HzT"</formula>
    </cfRule>
    <cfRule type="cellIs" dxfId="887" priority="852" operator="equal">
      <formula>"TERNA"</formula>
    </cfRule>
    <cfRule type="cellIs" dxfId="886" priority="853" operator="equal">
      <formula>"RTE"</formula>
    </cfRule>
    <cfRule type="cellIs" dxfId="885" priority="854" operator="equal">
      <formula>"ELIA"</formula>
    </cfRule>
  </conditionalFormatting>
  <conditionalFormatting sqref="B7:B8">
    <cfRule type="cellIs" dxfId="884" priority="847" operator="equal">
      <formula>"Transformer"</formula>
    </cfRule>
    <cfRule type="cellIs" dxfId="883" priority="848" operator="equal">
      <formula>"Fossil.Gen"</formula>
    </cfRule>
    <cfRule type="cellIs" dxfId="882" priority="849" operator="equal">
      <formula>"Hydro.Gen"</formula>
    </cfRule>
    <cfRule type="cellIs" dxfId="881" priority="850" operator="equal">
      <formula>"Nuc.Gen"</formula>
    </cfRule>
  </conditionalFormatting>
  <conditionalFormatting sqref="D7:D8">
    <cfRule type="timePeriod" dxfId="880" priority="846" timePeriod="tomorrow">
      <formula>FLOOR(D7,1)=TODAY()+1</formula>
    </cfRule>
  </conditionalFormatting>
  <conditionalFormatting sqref="E7:E8">
    <cfRule type="timePeriod" dxfId="879" priority="845" timePeriod="tomorrow">
      <formula>FLOOR(E7,1)=TODAY()+1</formula>
    </cfRule>
  </conditionalFormatting>
  <conditionalFormatting sqref="B13">
    <cfRule type="cellIs" dxfId="878" priority="841" operator="equal">
      <formula>"50HzT"</formula>
    </cfRule>
    <cfRule type="cellIs" dxfId="877" priority="842" operator="equal">
      <formula>"TERNA"</formula>
    </cfRule>
    <cfRule type="cellIs" dxfId="876" priority="843" operator="equal">
      <formula>"RTE"</formula>
    </cfRule>
    <cfRule type="cellIs" dxfId="875" priority="844" operator="equal">
      <formula>"ELIA"</formula>
    </cfRule>
  </conditionalFormatting>
  <conditionalFormatting sqref="C13">
    <cfRule type="cellIs" dxfId="874" priority="837" operator="equal">
      <formula>"Transformer"</formula>
    </cfRule>
    <cfRule type="cellIs" dxfId="873" priority="838" operator="equal">
      <formula>"Fossil.Gen"</formula>
    </cfRule>
    <cfRule type="cellIs" dxfId="872" priority="839" operator="equal">
      <formula>"Hydro.Gen"</formula>
    </cfRule>
    <cfRule type="cellIs" dxfId="871" priority="840" operator="equal">
      <formula>"Nuc.Gen"</formula>
    </cfRule>
  </conditionalFormatting>
  <conditionalFormatting sqref="E13">
    <cfRule type="timePeriod" dxfId="870" priority="836" timePeriod="tomorrow">
      <formula>FLOOR(E13,1)=TODAY()+1</formula>
    </cfRule>
  </conditionalFormatting>
  <conditionalFormatting sqref="F13">
    <cfRule type="timePeriod" dxfId="869" priority="835" timePeriod="tomorrow">
      <formula>FLOOR(F13,1)=TODAY()+1</formula>
    </cfRule>
  </conditionalFormatting>
  <conditionalFormatting sqref="A7">
    <cfRule type="cellIs" dxfId="868" priority="831" operator="equal">
      <formula>"50HzT"</formula>
    </cfRule>
    <cfRule type="cellIs" dxfId="867" priority="832" operator="equal">
      <formula>"TERNA"</formula>
    </cfRule>
    <cfRule type="cellIs" dxfId="866" priority="833" operator="equal">
      <formula>"RTE"</formula>
    </cfRule>
    <cfRule type="cellIs" dxfId="865" priority="834" operator="equal">
      <formula>"ELIA"</formula>
    </cfRule>
  </conditionalFormatting>
  <conditionalFormatting sqref="B7:B8">
    <cfRule type="cellIs" dxfId="864" priority="827" operator="equal">
      <formula>"Transformer"</formula>
    </cfRule>
    <cfRule type="cellIs" dxfId="863" priority="828" operator="equal">
      <formula>"Fossil.Gen"</formula>
    </cfRule>
    <cfRule type="cellIs" dxfId="862" priority="829" operator="equal">
      <formula>"Hydro.Gen"</formula>
    </cfRule>
    <cfRule type="cellIs" dxfId="861" priority="830" operator="equal">
      <formula>"Nuc.Gen"</formula>
    </cfRule>
  </conditionalFormatting>
  <conditionalFormatting sqref="D7:D8">
    <cfRule type="timePeriod" dxfId="860" priority="826" timePeriod="tomorrow">
      <formula>FLOOR(D7,1)=TODAY()+1</formula>
    </cfRule>
  </conditionalFormatting>
  <conditionalFormatting sqref="E7:E8">
    <cfRule type="timePeriod" dxfId="859" priority="825" timePeriod="tomorrow">
      <formula>FLOOR(E7,1)=TODAY()+1</formula>
    </cfRule>
  </conditionalFormatting>
  <conditionalFormatting sqref="B13">
    <cfRule type="cellIs" dxfId="858" priority="821" operator="equal">
      <formula>"50HzT"</formula>
    </cfRule>
    <cfRule type="cellIs" dxfId="857" priority="822" operator="equal">
      <formula>"TERNA"</formula>
    </cfRule>
    <cfRule type="cellIs" dxfId="856" priority="823" operator="equal">
      <formula>"RTE"</formula>
    </cfRule>
    <cfRule type="cellIs" dxfId="855" priority="824" operator="equal">
      <formula>"ELIA"</formula>
    </cfRule>
  </conditionalFormatting>
  <conditionalFormatting sqref="C13">
    <cfRule type="cellIs" dxfId="854" priority="817" operator="equal">
      <formula>"Transformer"</formula>
    </cfRule>
    <cfRule type="cellIs" dxfId="853" priority="818" operator="equal">
      <formula>"Fossil.Gen"</formula>
    </cfRule>
    <cfRule type="cellIs" dxfId="852" priority="819" operator="equal">
      <formula>"Hydro.Gen"</formula>
    </cfRule>
    <cfRule type="cellIs" dxfId="851" priority="820" operator="equal">
      <formula>"Nuc.Gen"</formula>
    </cfRule>
  </conditionalFormatting>
  <conditionalFormatting sqref="E13">
    <cfRule type="timePeriod" dxfId="850" priority="816" timePeriod="tomorrow">
      <formula>FLOOR(E13,1)=TODAY()+1</formula>
    </cfRule>
  </conditionalFormatting>
  <conditionalFormatting sqref="F13">
    <cfRule type="timePeriod" dxfId="849" priority="815" timePeriod="tomorrow">
      <formula>FLOOR(F13,1)=TODAY()+1</formula>
    </cfRule>
  </conditionalFormatting>
  <conditionalFormatting sqref="A7">
    <cfRule type="cellIs" dxfId="848" priority="811" operator="equal">
      <formula>"50HzT"</formula>
    </cfRule>
    <cfRule type="cellIs" dxfId="847" priority="812" operator="equal">
      <formula>"TERNA"</formula>
    </cfRule>
    <cfRule type="cellIs" dxfId="846" priority="813" operator="equal">
      <formula>"RTE"</formula>
    </cfRule>
    <cfRule type="cellIs" dxfId="845" priority="814" operator="equal">
      <formula>"ELIA"</formula>
    </cfRule>
  </conditionalFormatting>
  <conditionalFormatting sqref="B7:B8">
    <cfRule type="cellIs" dxfId="844" priority="807" operator="equal">
      <formula>"Transformer"</formula>
    </cfRule>
    <cfRule type="cellIs" dxfId="843" priority="808" operator="equal">
      <formula>"Fossil.Gen"</formula>
    </cfRule>
    <cfRule type="cellIs" dxfId="842" priority="809" operator="equal">
      <formula>"Hydro.Gen"</formula>
    </cfRule>
    <cfRule type="cellIs" dxfId="841" priority="810" operator="equal">
      <formula>"Nuc.Gen"</formula>
    </cfRule>
  </conditionalFormatting>
  <conditionalFormatting sqref="D7:D8">
    <cfRule type="timePeriod" dxfId="840" priority="806" timePeriod="tomorrow">
      <formula>FLOOR(D7,1)=TODAY()+1</formula>
    </cfRule>
  </conditionalFormatting>
  <conditionalFormatting sqref="E7:E8">
    <cfRule type="timePeriod" dxfId="839" priority="805" timePeriod="tomorrow">
      <formula>FLOOR(E7,1)=TODAY()+1</formula>
    </cfRule>
  </conditionalFormatting>
  <conditionalFormatting sqref="B13">
    <cfRule type="cellIs" dxfId="838" priority="801" operator="equal">
      <formula>"50HzT"</formula>
    </cfRule>
    <cfRule type="cellIs" dxfId="837" priority="802" operator="equal">
      <formula>"TERNA"</formula>
    </cfRule>
    <cfRule type="cellIs" dxfId="836" priority="803" operator="equal">
      <formula>"RTE"</formula>
    </cfRule>
    <cfRule type="cellIs" dxfId="835" priority="804" operator="equal">
      <formula>"ELIA"</formula>
    </cfRule>
  </conditionalFormatting>
  <conditionalFormatting sqref="C13">
    <cfRule type="cellIs" dxfId="834" priority="797" operator="equal">
      <formula>"Transformer"</formula>
    </cfRule>
    <cfRule type="cellIs" dxfId="833" priority="798" operator="equal">
      <formula>"Fossil.Gen"</formula>
    </cfRule>
    <cfRule type="cellIs" dxfId="832" priority="799" operator="equal">
      <formula>"Hydro.Gen"</formula>
    </cfRule>
    <cfRule type="cellIs" dxfId="831" priority="800" operator="equal">
      <formula>"Nuc.Gen"</formula>
    </cfRule>
  </conditionalFormatting>
  <conditionalFormatting sqref="E13">
    <cfRule type="timePeriod" dxfId="830" priority="796" timePeriod="tomorrow">
      <formula>FLOOR(E13,1)=TODAY()+1</formula>
    </cfRule>
  </conditionalFormatting>
  <conditionalFormatting sqref="F13">
    <cfRule type="timePeriod" dxfId="829" priority="795" timePeriod="tomorrow">
      <formula>FLOOR(F13,1)=TODAY()+1</formula>
    </cfRule>
  </conditionalFormatting>
  <conditionalFormatting sqref="A7">
    <cfRule type="cellIs" dxfId="828" priority="791" operator="equal">
      <formula>"50HzT"</formula>
    </cfRule>
    <cfRule type="cellIs" dxfId="827" priority="792" operator="equal">
      <formula>"TERNA"</formula>
    </cfRule>
    <cfRule type="cellIs" dxfId="826" priority="793" operator="equal">
      <formula>"RTE"</formula>
    </cfRule>
    <cfRule type="cellIs" dxfId="825" priority="794" operator="equal">
      <formula>"ELIA"</formula>
    </cfRule>
  </conditionalFormatting>
  <conditionalFormatting sqref="B7:B8">
    <cfRule type="cellIs" dxfId="824" priority="787" operator="equal">
      <formula>"Transformer"</formula>
    </cfRule>
    <cfRule type="cellIs" dxfId="823" priority="788" operator="equal">
      <formula>"Fossil.Gen"</formula>
    </cfRule>
    <cfRule type="cellIs" dxfId="822" priority="789" operator="equal">
      <formula>"Hydro.Gen"</formula>
    </cfRule>
    <cfRule type="cellIs" dxfId="821" priority="790" operator="equal">
      <formula>"Nuc.Gen"</formula>
    </cfRule>
  </conditionalFormatting>
  <conditionalFormatting sqref="D7:D8">
    <cfRule type="timePeriod" dxfId="820" priority="786" timePeriod="tomorrow">
      <formula>FLOOR(D7,1)=TODAY()+1</formula>
    </cfRule>
  </conditionalFormatting>
  <conditionalFormatting sqref="E7:E8">
    <cfRule type="timePeriod" dxfId="819" priority="785" timePeriod="tomorrow">
      <formula>FLOOR(E7,1)=TODAY()+1</formula>
    </cfRule>
  </conditionalFormatting>
  <conditionalFormatting sqref="B13">
    <cfRule type="cellIs" dxfId="818" priority="781" operator="equal">
      <formula>"50HzT"</formula>
    </cfRule>
    <cfRule type="cellIs" dxfId="817" priority="782" operator="equal">
      <formula>"TERNA"</formula>
    </cfRule>
    <cfRule type="cellIs" dxfId="816" priority="783" operator="equal">
      <formula>"RTE"</formula>
    </cfRule>
    <cfRule type="cellIs" dxfId="815" priority="784" operator="equal">
      <formula>"ELIA"</formula>
    </cfRule>
  </conditionalFormatting>
  <conditionalFormatting sqref="C13">
    <cfRule type="cellIs" dxfId="814" priority="777" operator="equal">
      <formula>"Transformer"</formula>
    </cfRule>
    <cfRule type="cellIs" dxfId="813" priority="778" operator="equal">
      <formula>"Fossil.Gen"</formula>
    </cfRule>
    <cfRule type="cellIs" dxfId="812" priority="779" operator="equal">
      <formula>"Hydro.Gen"</formula>
    </cfRule>
    <cfRule type="cellIs" dxfId="811" priority="780" operator="equal">
      <formula>"Nuc.Gen"</formula>
    </cfRule>
  </conditionalFormatting>
  <conditionalFormatting sqref="E13">
    <cfRule type="timePeriod" dxfId="810" priority="776" timePeriod="tomorrow">
      <formula>FLOOR(E13,1)=TODAY()+1</formula>
    </cfRule>
  </conditionalFormatting>
  <conditionalFormatting sqref="F13">
    <cfRule type="timePeriod" dxfId="809" priority="775" timePeriod="tomorrow">
      <formula>FLOOR(F13,1)=TODAY()+1</formula>
    </cfRule>
  </conditionalFormatting>
  <conditionalFormatting sqref="A7">
    <cfRule type="cellIs" dxfId="808" priority="771" operator="equal">
      <formula>"50HzT"</formula>
    </cfRule>
    <cfRule type="cellIs" dxfId="807" priority="772" operator="equal">
      <formula>"TERNA"</formula>
    </cfRule>
    <cfRule type="cellIs" dxfId="806" priority="773" operator="equal">
      <formula>"RTE"</formula>
    </cfRule>
    <cfRule type="cellIs" dxfId="805" priority="774" operator="equal">
      <formula>"ELIA"</formula>
    </cfRule>
  </conditionalFormatting>
  <conditionalFormatting sqref="B7:B8">
    <cfRule type="cellIs" dxfId="804" priority="767" operator="equal">
      <formula>"Transformer"</formula>
    </cfRule>
    <cfRule type="cellIs" dxfId="803" priority="768" operator="equal">
      <formula>"Fossil.Gen"</formula>
    </cfRule>
    <cfRule type="cellIs" dxfId="802" priority="769" operator="equal">
      <formula>"Hydro.Gen"</formula>
    </cfRule>
    <cfRule type="cellIs" dxfId="801" priority="770" operator="equal">
      <formula>"Nuc.Gen"</formula>
    </cfRule>
  </conditionalFormatting>
  <conditionalFormatting sqref="D7:D8">
    <cfRule type="timePeriod" dxfId="800" priority="766" timePeriod="tomorrow">
      <formula>FLOOR(D7,1)=TODAY()+1</formula>
    </cfRule>
  </conditionalFormatting>
  <conditionalFormatting sqref="E7:E8">
    <cfRule type="timePeriod" dxfId="799" priority="765" timePeriod="tomorrow">
      <formula>FLOOR(E7,1)=TODAY()+1</formula>
    </cfRule>
  </conditionalFormatting>
  <conditionalFormatting sqref="B13">
    <cfRule type="cellIs" dxfId="798" priority="761" operator="equal">
      <formula>"50HzT"</formula>
    </cfRule>
    <cfRule type="cellIs" dxfId="797" priority="762" operator="equal">
      <formula>"TERNA"</formula>
    </cfRule>
    <cfRule type="cellIs" dxfId="796" priority="763" operator="equal">
      <formula>"RTE"</formula>
    </cfRule>
    <cfRule type="cellIs" dxfId="795" priority="764" operator="equal">
      <formula>"ELIA"</formula>
    </cfRule>
  </conditionalFormatting>
  <conditionalFormatting sqref="C13">
    <cfRule type="cellIs" dxfId="794" priority="757" operator="equal">
      <formula>"Transformer"</formula>
    </cfRule>
    <cfRule type="cellIs" dxfId="793" priority="758" operator="equal">
      <formula>"Fossil.Gen"</formula>
    </cfRule>
    <cfRule type="cellIs" dxfId="792" priority="759" operator="equal">
      <formula>"Hydro.Gen"</formula>
    </cfRule>
    <cfRule type="cellIs" dxfId="791" priority="760" operator="equal">
      <formula>"Nuc.Gen"</formula>
    </cfRule>
  </conditionalFormatting>
  <conditionalFormatting sqref="E13">
    <cfRule type="timePeriod" dxfId="790" priority="756" timePeriod="tomorrow">
      <formula>FLOOR(E13,1)=TODAY()+1</formula>
    </cfRule>
  </conditionalFormatting>
  <conditionalFormatting sqref="F13">
    <cfRule type="timePeriod" dxfId="789" priority="755" timePeriod="tomorrow">
      <formula>FLOOR(F13,1)=TODAY()+1</formula>
    </cfRule>
  </conditionalFormatting>
  <conditionalFormatting sqref="A7">
    <cfRule type="cellIs" dxfId="788" priority="751" operator="equal">
      <formula>"50HzT"</formula>
    </cfRule>
    <cfRule type="cellIs" dxfId="787" priority="752" operator="equal">
      <formula>"TERNA"</formula>
    </cfRule>
    <cfRule type="cellIs" dxfId="786" priority="753" operator="equal">
      <formula>"RTE"</formula>
    </cfRule>
    <cfRule type="cellIs" dxfId="785" priority="754" operator="equal">
      <formula>"ELIA"</formula>
    </cfRule>
  </conditionalFormatting>
  <conditionalFormatting sqref="B7:B8">
    <cfRule type="cellIs" dxfId="784" priority="747" operator="equal">
      <formula>"Transformer"</formula>
    </cfRule>
    <cfRule type="cellIs" dxfId="783" priority="748" operator="equal">
      <formula>"Fossil.Gen"</formula>
    </cfRule>
    <cfRule type="cellIs" dxfId="782" priority="749" operator="equal">
      <formula>"Hydro.Gen"</formula>
    </cfRule>
    <cfRule type="cellIs" dxfId="781" priority="750" operator="equal">
      <formula>"Nuc.Gen"</formula>
    </cfRule>
  </conditionalFormatting>
  <conditionalFormatting sqref="D7:D8">
    <cfRule type="timePeriod" dxfId="780" priority="746" timePeriod="tomorrow">
      <formula>FLOOR(D7,1)=TODAY()+1</formula>
    </cfRule>
  </conditionalFormatting>
  <conditionalFormatting sqref="E7:E8">
    <cfRule type="timePeriod" dxfId="779" priority="745" timePeriod="tomorrow">
      <formula>FLOOR(E7,1)=TODAY()+1</formula>
    </cfRule>
  </conditionalFormatting>
  <conditionalFormatting sqref="B13">
    <cfRule type="cellIs" dxfId="778" priority="741" operator="equal">
      <formula>"50HzT"</formula>
    </cfRule>
    <cfRule type="cellIs" dxfId="777" priority="742" operator="equal">
      <formula>"TERNA"</formula>
    </cfRule>
    <cfRule type="cellIs" dxfId="776" priority="743" operator="equal">
      <formula>"RTE"</formula>
    </cfRule>
    <cfRule type="cellIs" dxfId="775" priority="744" operator="equal">
      <formula>"ELIA"</formula>
    </cfRule>
  </conditionalFormatting>
  <conditionalFormatting sqref="C13">
    <cfRule type="cellIs" dxfId="774" priority="737" operator="equal">
      <formula>"Transformer"</formula>
    </cfRule>
    <cfRule type="cellIs" dxfId="773" priority="738" operator="equal">
      <formula>"Fossil.Gen"</formula>
    </cfRule>
    <cfRule type="cellIs" dxfId="772" priority="739" operator="equal">
      <formula>"Hydro.Gen"</formula>
    </cfRule>
    <cfRule type="cellIs" dxfId="771" priority="740" operator="equal">
      <formula>"Nuc.Gen"</formula>
    </cfRule>
  </conditionalFormatting>
  <conditionalFormatting sqref="E13">
    <cfRule type="timePeriod" dxfId="770" priority="736" timePeriod="tomorrow">
      <formula>FLOOR(E13,1)=TODAY()+1</formula>
    </cfRule>
  </conditionalFormatting>
  <conditionalFormatting sqref="F13">
    <cfRule type="timePeriod" dxfId="769" priority="735" timePeriod="tomorrow">
      <formula>FLOOR(F13,1)=TODAY()+1</formula>
    </cfRule>
  </conditionalFormatting>
  <conditionalFormatting sqref="A7">
    <cfRule type="cellIs" dxfId="768" priority="731" operator="equal">
      <formula>"50HzT"</formula>
    </cfRule>
    <cfRule type="cellIs" dxfId="767" priority="732" operator="equal">
      <formula>"TERNA"</formula>
    </cfRule>
    <cfRule type="cellIs" dxfId="766" priority="733" operator="equal">
      <formula>"RTE"</formula>
    </cfRule>
    <cfRule type="cellIs" dxfId="765" priority="734" operator="equal">
      <formula>"ELIA"</formula>
    </cfRule>
  </conditionalFormatting>
  <conditionalFormatting sqref="B7:B8">
    <cfRule type="cellIs" dxfId="764" priority="727" operator="equal">
      <formula>"Transformer"</formula>
    </cfRule>
    <cfRule type="cellIs" dxfId="763" priority="728" operator="equal">
      <formula>"Fossil.Gen"</formula>
    </cfRule>
    <cfRule type="cellIs" dxfId="762" priority="729" operator="equal">
      <formula>"Hydro.Gen"</formula>
    </cfRule>
    <cfRule type="cellIs" dxfId="761" priority="730" operator="equal">
      <formula>"Nuc.Gen"</formula>
    </cfRule>
  </conditionalFormatting>
  <conditionalFormatting sqref="D7:D8">
    <cfRule type="timePeriod" dxfId="760" priority="726" timePeriod="tomorrow">
      <formula>FLOOR(D7,1)=TODAY()+1</formula>
    </cfRule>
  </conditionalFormatting>
  <conditionalFormatting sqref="E7:E8">
    <cfRule type="timePeriod" dxfId="759" priority="725" timePeriod="tomorrow">
      <formula>FLOOR(E7,1)=TODAY()+1</formula>
    </cfRule>
  </conditionalFormatting>
  <conditionalFormatting sqref="B13">
    <cfRule type="cellIs" dxfId="758" priority="721" operator="equal">
      <formula>"50HzT"</formula>
    </cfRule>
    <cfRule type="cellIs" dxfId="757" priority="722" operator="equal">
      <formula>"TERNA"</formula>
    </cfRule>
    <cfRule type="cellIs" dxfId="756" priority="723" operator="equal">
      <formula>"RTE"</formula>
    </cfRule>
    <cfRule type="cellIs" dxfId="755" priority="724" operator="equal">
      <formula>"ELIA"</formula>
    </cfRule>
  </conditionalFormatting>
  <conditionalFormatting sqref="C13">
    <cfRule type="cellIs" dxfId="754" priority="717" operator="equal">
      <formula>"Transformer"</formula>
    </cfRule>
    <cfRule type="cellIs" dxfId="753" priority="718" operator="equal">
      <formula>"Fossil.Gen"</formula>
    </cfRule>
    <cfRule type="cellIs" dxfId="752" priority="719" operator="equal">
      <formula>"Hydro.Gen"</formula>
    </cfRule>
    <cfRule type="cellIs" dxfId="751" priority="720" operator="equal">
      <formula>"Nuc.Gen"</formula>
    </cfRule>
  </conditionalFormatting>
  <conditionalFormatting sqref="E13">
    <cfRule type="timePeriod" dxfId="750" priority="716" timePeriod="tomorrow">
      <formula>FLOOR(E13,1)=TODAY()+1</formula>
    </cfRule>
  </conditionalFormatting>
  <conditionalFormatting sqref="F13">
    <cfRule type="timePeriod" dxfId="749" priority="715" timePeriod="tomorrow">
      <formula>FLOOR(F13,1)=TODAY()+1</formula>
    </cfRule>
  </conditionalFormatting>
  <conditionalFormatting sqref="A7">
    <cfRule type="cellIs" dxfId="748" priority="711" operator="equal">
      <formula>"50HzT"</formula>
    </cfRule>
    <cfRule type="cellIs" dxfId="747" priority="712" operator="equal">
      <formula>"TERNA"</formula>
    </cfRule>
    <cfRule type="cellIs" dxfId="746" priority="713" operator="equal">
      <formula>"RTE"</formula>
    </cfRule>
    <cfRule type="cellIs" dxfId="745" priority="714" operator="equal">
      <formula>"ELIA"</formula>
    </cfRule>
  </conditionalFormatting>
  <conditionalFormatting sqref="B7:B8">
    <cfRule type="cellIs" dxfId="744" priority="707" operator="equal">
      <formula>"Transformer"</formula>
    </cfRule>
    <cfRule type="cellIs" dxfId="743" priority="708" operator="equal">
      <formula>"Fossil.Gen"</formula>
    </cfRule>
    <cfRule type="cellIs" dxfId="742" priority="709" operator="equal">
      <formula>"Hydro.Gen"</formula>
    </cfRule>
    <cfRule type="cellIs" dxfId="741" priority="710" operator="equal">
      <formula>"Nuc.Gen"</formula>
    </cfRule>
  </conditionalFormatting>
  <conditionalFormatting sqref="D7:D8">
    <cfRule type="timePeriod" dxfId="740" priority="706" timePeriod="tomorrow">
      <formula>FLOOR(D7,1)=TODAY()+1</formula>
    </cfRule>
  </conditionalFormatting>
  <conditionalFormatting sqref="E7:E8">
    <cfRule type="timePeriod" dxfId="739" priority="705" timePeriod="tomorrow">
      <formula>FLOOR(E7,1)=TODAY()+1</formula>
    </cfRule>
  </conditionalFormatting>
  <conditionalFormatting sqref="B13">
    <cfRule type="cellIs" dxfId="738" priority="701" operator="equal">
      <formula>"50HzT"</formula>
    </cfRule>
    <cfRule type="cellIs" dxfId="737" priority="702" operator="equal">
      <formula>"TERNA"</formula>
    </cfRule>
    <cfRule type="cellIs" dxfId="736" priority="703" operator="equal">
      <formula>"RTE"</formula>
    </cfRule>
    <cfRule type="cellIs" dxfId="735" priority="704" operator="equal">
      <formula>"ELIA"</formula>
    </cfRule>
  </conditionalFormatting>
  <conditionalFormatting sqref="C13">
    <cfRule type="cellIs" dxfId="734" priority="697" operator="equal">
      <formula>"Transformer"</formula>
    </cfRule>
    <cfRule type="cellIs" dxfId="733" priority="698" operator="equal">
      <formula>"Fossil.Gen"</formula>
    </cfRule>
    <cfRule type="cellIs" dxfId="732" priority="699" operator="equal">
      <formula>"Hydro.Gen"</formula>
    </cfRule>
    <cfRule type="cellIs" dxfId="731" priority="700" operator="equal">
      <formula>"Nuc.Gen"</formula>
    </cfRule>
  </conditionalFormatting>
  <conditionalFormatting sqref="E13">
    <cfRule type="timePeriod" dxfId="730" priority="696" timePeriod="tomorrow">
      <formula>FLOOR(E13,1)=TODAY()+1</formula>
    </cfRule>
  </conditionalFormatting>
  <conditionalFormatting sqref="F13">
    <cfRule type="timePeriod" dxfId="729" priority="695" timePeriod="tomorrow">
      <formula>FLOOR(F13,1)=TODAY()+1</formula>
    </cfRule>
  </conditionalFormatting>
  <conditionalFormatting sqref="D5:D6">
    <cfRule type="timePeriod" dxfId="728" priority="694" timePeriod="tomorrow">
      <formula>FLOOR(D5,1)=TODAY()+1</formula>
    </cfRule>
  </conditionalFormatting>
  <conditionalFormatting sqref="E5:E6">
    <cfRule type="timePeriod" dxfId="727" priority="693" timePeriod="tomorrow">
      <formula>FLOOR(E5,1)=TODAY()+1</formula>
    </cfRule>
  </conditionalFormatting>
  <conditionalFormatting sqref="D5:D6">
    <cfRule type="timePeriod" dxfId="726" priority="692" timePeriod="tomorrow">
      <formula>FLOOR(D5,1)=TODAY()+1</formula>
    </cfRule>
  </conditionalFormatting>
  <conditionalFormatting sqref="E5:E6">
    <cfRule type="timePeriod" dxfId="725" priority="691" timePeriod="tomorrow">
      <formula>FLOOR(E5,1)=TODAY()+1</formula>
    </cfRule>
  </conditionalFormatting>
  <conditionalFormatting sqref="D5:D6">
    <cfRule type="timePeriod" dxfId="724" priority="690" timePeriod="tomorrow">
      <formula>FLOOR(D5,1)=TODAY()+1</formula>
    </cfRule>
  </conditionalFormatting>
  <conditionalFormatting sqref="E5:E6">
    <cfRule type="timePeriod" dxfId="723" priority="689" timePeriod="tomorrow">
      <formula>FLOOR(E5,1)=TODAY()+1</formula>
    </cfRule>
  </conditionalFormatting>
  <conditionalFormatting sqref="D5:D6">
    <cfRule type="timePeriod" dxfId="722" priority="688" timePeriod="tomorrow">
      <formula>FLOOR(D5,1)=TODAY()+1</formula>
    </cfRule>
  </conditionalFormatting>
  <conditionalFormatting sqref="E5:E6">
    <cfRule type="timePeriod" dxfId="721" priority="687" timePeriod="tomorrow">
      <formula>FLOOR(E5,1)=TODAY()+1</formula>
    </cfRule>
  </conditionalFormatting>
  <conditionalFormatting sqref="D5:D6">
    <cfRule type="timePeriod" dxfId="720" priority="686" timePeriod="tomorrow">
      <formula>FLOOR(D5,1)=TODAY()+1</formula>
    </cfRule>
  </conditionalFormatting>
  <conditionalFormatting sqref="E5:E6">
    <cfRule type="timePeriod" dxfId="719" priority="685" timePeriod="tomorrow">
      <formula>FLOOR(E5,1)=TODAY()+1</formula>
    </cfRule>
  </conditionalFormatting>
  <conditionalFormatting sqref="D5:D6">
    <cfRule type="timePeriod" dxfId="718" priority="684" timePeriod="tomorrow">
      <formula>FLOOR(D5,1)=TODAY()+1</formula>
    </cfRule>
  </conditionalFormatting>
  <conditionalFormatting sqref="E5:E6">
    <cfRule type="timePeriod" dxfId="717" priority="683" timePeriod="tomorrow">
      <formula>FLOOR(E5,1)=TODAY()+1</formula>
    </cfRule>
  </conditionalFormatting>
  <conditionalFormatting sqref="D5:D6">
    <cfRule type="timePeriod" dxfId="716" priority="682" timePeriod="tomorrow">
      <formula>FLOOR(D5,1)=TODAY()+1</formula>
    </cfRule>
  </conditionalFormatting>
  <conditionalFormatting sqref="E5:E6">
    <cfRule type="timePeriod" dxfId="715" priority="681" timePeriod="tomorrow">
      <formula>FLOOR(E5,1)=TODAY()+1</formula>
    </cfRule>
  </conditionalFormatting>
  <conditionalFormatting sqref="D5:D6">
    <cfRule type="timePeriod" dxfId="714" priority="680" timePeriod="tomorrow">
      <formula>FLOOR(D5,1)=TODAY()+1</formula>
    </cfRule>
  </conditionalFormatting>
  <conditionalFormatting sqref="E5:E6">
    <cfRule type="timePeriod" dxfId="713" priority="679" timePeriod="tomorrow">
      <formula>FLOOR(E5,1)=TODAY()+1</formula>
    </cfRule>
  </conditionalFormatting>
  <conditionalFormatting sqref="D5:D6">
    <cfRule type="timePeriod" dxfId="712" priority="678" timePeriod="tomorrow">
      <formula>FLOOR(D5,1)=TODAY()+1</formula>
    </cfRule>
  </conditionalFormatting>
  <conditionalFormatting sqref="E5:E6">
    <cfRule type="timePeriod" dxfId="711" priority="677" timePeriod="tomorrow">
      <formula>FLOOR(E5,1)=TODAY()+1</formula>
    </cfRule>
  </conditionalFormatting>
  <conditionalFormatting sqref="D5:D6">
    <cfRule type="timePeriod" dxfId="710" priority="676" timePeriod="tomorrow">
      <formula>FLOOR(D5,1)=TODAY()+1</formula>
    </cfRule>
  </conditionalFormatting>
  <conditionalFormatting sqref="E5:E6">
    <cfRule type="timePeriod" dxfId="709" priority="675" timePeriod="tomorrow">
      <formula>FLOOR(E5,1)=TODAY()+1</formula>
    </cfRule>
  </conditionalFormatting>
  <conditionalFormatting sqref="D5:D6">
    <cfRule type="timePeriod" dxfId="708" priority="674" timePeriod="tomorrow">
      <formula>FLOOR(D5,1)=TODAY()+1</formula>
    </cfRule>
  </conditionalFormatting>
  <conditionalFormatting sqref="E5:E6">
    <cfRule type="timePeriod" dxfId="707" priority="673" timePeriod="tomorrow">
      <formula>FLOOR(E5,1)=TODAY()+1</formula>
    </cfRule>
  </conditionalFormatting>
  <conditionalFormatting sqref="D5:D6">
    <cfRule type="timePeriod" dxfId="706" priority="672" timePeriod="tomorrow">
      <formula>FLOOR(D5,1)=TODAY()+1</formula>
    </cfRule>
  </conditionalFormatting>
  <conditionalFormatting sqref="E5:E6">
    <cfRule type="timePeriod" dxfId="705" priority="671" timePeriod="tomorrow">
      <formula>FLOOR(E5,1)=TODAY()+1</formula>
    </cfRule>
  </conditionalFormatting>
  <conditionalFormatting sqref="D5:D6">
    <cfRule type="timePeriod" dxfId="704" priority="670" timePeriod="tomorrow">
      <formula>FLOOR(D5,1)=TODAY()+1</formula>
    </cfRule>
  </conditionalFormatting>
  <conditionalFormatting sqref="E5:E6">
    <cfRule type="timePeriod" dxfId="703" priority="669" timePeriod="tomorrow">
      <formula>FLOOR(E5,1)=TODAY()+1</formula>
    </cfRule>
  </conditionalFormatting>
  <conditionalFormatting sqref="D5:D6">
    <cfRule type="timePeriod" dxfId="702" priority="668" timePeriod="tomorrow">
      <formula>FLOOR(D5,1)=TODAY()+1</formula>
    </cfRule>
  </conditionalFormatting>
  <conditionalFormatting sqref="E5:E6">
    <cfRule type="timePeriod" dxfId="701" priority="667" timePeriod="tomorrow">
      <formula>FLOOR(E5,1)=TODAY()+1</formula>
    </cfRule>
  </conditionalFormatting>
  <conditionalFormatting sqref="D5:D6">
    <cfRule type="timePeriod" dxfId="700" priority="666" timePeriod="tomorrow">
      <formula>FLOOR(D5,1)=TODAY()+1</formula>
    </cfRule>
  </conditionalFormatting>
  <conditionalFormatting sqref="E5:E6">
    <cfRule type="timePeriod" dxfId="699" priority="665" timePeriod="tomorrow">
      <formula>FLOOR(E5,1)=TODAY()+1</formula>
    </cfRule>
  </conditionalFormatting>
  <conditionalFormatting sqref="D5:D6">
    <cfRule type="timePeriod" dxfId="698" priority="664" timePeriod="tomorrow">
      <formula>FLOOR(D5,1)=TODAY()+1</formula>
    </cfRule>
  </conditionalFormatting>
  <conditionalFormatting sqref="E5:E6">
    <cfRule type="timePeriod" dxfId="697" priority="663" timePeriod="tomorrow">
      <formula>FLOOR(E5,1)=TODAY()+1</formula>
    </cfRule>
  </conditionalFormatting>
  <conditionalFormatting sqref="D5:D6">
    <cfRule type="timePeriod" dxfId="696" priority="662" timePeriod="tomorrow">
      <formula>FLOOR(D5,1)=TODAY()+1</formula>
    </cfRule>
  </conditionalFormatting>
  <conditionalFormatting sqref="E5:E6">
    <cfRule type="timePeriod" dxfId="695" priority="661" timePeriod="tomorrow">
      <formula>FLOOR(E5,1)=TODAY()+1</formula>
    </cfRule>
  </conditionalFormatting>
  <conditionalFormatting sqref="D5:D6">
    <cfRule type="timePeriod" dxfId="694" priority="660" timePeriod="tomorrow">
      <formula>FLOOR(D5,1)=TODAY()+1</formula>
    </cfRule>
  </conditionalFormatting>
  <conditionalFormatting sqref="E5:E6">
    <cfRule type="timePeriod" dxfId="693" priority="659" timePeriod="tomorrow">
      <formula>FLOOR(E5,1)=TODAY()+1</formula>
    </cfRule>
  </conditionalFormatting>
  <conditionalFormatting sqref="D5:D6">
    <cfRule type="timePeriod" dxfId="692" priority="658" timePeriod="tomorrow">
      <formula>FLOOR(D5,1)=TODAY()+1</formula>
    </cfRule>
  </conditionalFormatting>
  <conditionalFormatting sqref="E5:E6">
    <cfRule type="timePeriod" dxfId="691" priority="657" timePeriod="tomorrow">
      <formula>FLOOR(E5,1)=TODAY()+1</formula>
    </cfRule>
  </conditionalFormatting>
  <conditionalFormatting sqref="D5:D6">
    <cfRule type="timePeriod" dxfId="690" priority="656" timePeriod="tomorrow">
      <formula>FLOOR(D5,1)=TODAY()+1</formula>
    </cfRule>
  </conditionalFormatting>
  <conditionalFormatting sqref="E5:E6">
    <cfRule type="timePeriod" dxfId="689" priority="655" timePeriod="tomorrow">
      <formula>FLOOR(E5,1)=TODAY()+1</formula>
    </cfRule>
  </conditionalFormatting>
  <conditionalFormatting sqref="D5:D6">
    <cfRule type="timePeriod" dxfId="688" priority="654" timePeriod="tomorrow">
      <formula>FLOOR(D5,1)=TODAY()+1</formula>
    </cfRule>
  </conditionalFormatting>
  <conditionalFormatting sqref="E5:E6">
    <cfRule type="timePeriod" dxfId="687" priority="653" timePeriod="tomorrow">
      <formula>FLOOR(E5,1)=TODAY()+1</formula>
    </cfRule>
  </conditionalFormatting>
  <conditionalFormatting sqref="D5:D6">
    <cfRule type="timePeriod" dxfId="686" priority="652" timePeriod="tomorrow">
      <formula>FLOOR(D5,1)=TODAY()+1</formula>
    </cfRule>
  </conditionalFormatting>
  <conditionalFormatting sqref="E5:E6">
    <cfRule type="timePeriod" dxfId="685" priority="651" timePeriod="tomorrow">
      <formula>FLOOR(E5,1)=TODAY()+1</formula>
    </cfRule>
  </conditionalFormatting>
  <conditionalFormatting sqref="D5:D6">
    <cfRule type="timePeriod" dxfId="684" priority="650" timePeriod="tomorrow">
      <formula>FLOOR(D5,1)=TODAY()+1</formula>
    </cfRule>
  </conditionalFormatting>
  <conditionalFormatting sqref="E5:E6">
    <cfRule type="timePeriod" dxfId="683" priority="649" timePeriod="tomorrow">
      <formula>FLOOR(E5,1)=TODAY()+1</formula>
    </cfRule>
  </conditionalFormatting>
  <conditionalFormatting sqref="D5:D6">
    <cfRule type="timePeriod" dxfId="682" priority="648" timePeriod="tomorrow">
      <formula>FLOOR(D5,1)=TODAY()+1</formula>
    </cfRule>
  </conditionalFormatting>
  <conditionalFormatting sqref="E5:E6">
    <cfRule type="timePeriod" dxfId="681" priority="647" timePeriod="tomorrow">
      <formula>FLOOR(E5,1)=TODAY()+1</formula>
    </cfRule>
  </conditionalFormatting>
  <conditionalFormatting sqref="D5:D6">
    <cfRule type="timePeriod" dxfId="680" priority="646" timePeriod="tomorrow">
      <formula>FLOOR(D5,1)=TODAY()+1</formula>
    </cfRule>
  </conditionalFormatting>
  <conditionalFormatting sqref="E5:E6">
    <cfRule type="timePeriod" dxfId="679" priority="645" timePeriod="tomorrow">
      <formula>FLOOR(E5,1)=TODAY()+1</formula>
    </cfRule>
  </conditionalFormatting>
  <conditionalFormatting sqref="D5:D6">
    <cfRule type="timePeriod" dxfId="678" priority="644" timePeriod="tomorrow">
      <formula>FLOOR(D5,1)=TODAY()+1</formula>
    </cfRule>
  </conditionalFormatting>
  <conditionalFormatting sqref="E5:E6">
    <cfRule type="timePeriod" dxfId="677" priority="643" timePeriod="tomorrow">
      <formula>FLOOR(E5,1)=TODAY()+1</formula>
    </cfRule>
  </conditionalFormatting>
  <conditionalFormatting sqref="D5:D6">
    <cfRule type="timePeriod" dxfId="676" priority="642" timePeriod="tomorrow">
      <formula>FLOOR(D5,1)=TODAY()+1</formula>
    </cfRule>
  </conditionalFormatting>
  <conditionalFormatting sqref="E5:E6">
    <cfRule type="timePeriod" dxfId="675" priority="641" timePeriod="tomorrow">
      <formula>FLOOR(E5,1)=TODAY()+1</formula>
    </cfRule>
  </conditionalFormatting>
  <conditionalFormatting sqref="D5:D6">
    <cfRule type="timePeriod" dxfId="674" priority="640" timePeriod="tomorrow">
      <formula>FLOOR(D5,1)=TODAY()+1</formula>
    </cfRule>
  </conditionalFormatting>
  <conditionalFormatting sqref="E5:E6">
    <cfRule type="timePeriod" dxfId="673" priority="639" timePeriod="tomorrow">
      <formula>FLOOR(E5,1)=TODAY()+1</formula>
    </cfRule>
  </conditionalFormatting>
  <conditionalFormatting sqref="D5:D6">
    <cfRule type="timePeriod" dxfId="672" priority="638" timePeriod="tomorrow">
      <formula>FLOOR(D5,1)=TODAY()+1</formula>
    </cfRule>
  </conditionalFormatting>
  <conditionalFormatting sqref="E5:E6">
    <cfRule type="timePeriod" dxfId="671" priority="637" timePeriod="tomorrow">
      <formula>FLOOR(E5,1)=TODAY()+1</formula>
    </cfRule>
  </conditionalFormatting>
  <conditionalFormatting sqref="D5:D6">
    <cfRule type="timePeriod" dxfId="670" priority="636" timePeriod="tomorrow">
      <formula>FLOOR(D5,1)=TODAY()+1</formula>
    </cfRule>
  </conditionalFormatting>
  <conditionalFormatting sqref="E5:E6">
    <cfRule type="timePeriod" dxfId="669" priority="635" timePeriod="tomorrow">
      <formula>FLOOR(E5,1)=TODAY()+1</formula>
    </cfRule>
  </conditionalFormatting>
  <conditionalFormatting sqref="D5:D6">
    <cfRule type="timePeriod" dxfId="668" priority="634" timePeriod="tomorrow">
      <formula>FLOOR(D5,1)=TODAY()+1</formula>
    </cfRule>
  </conditionalFormatting>
  <conditionalFormatting sqref="E5:E6">
    <cfRule type="timePeriod" dxfId="667" priority="633" timePeriod="tomorrow">
      <formula>FLOOR(E5,1)=TODAY()+1</formula>
    </cfRule>
  </conditionalFormatting>
  <conditionalFormatting sqref="D5:D6">
    <cfRule type="timePeriod" dxfId="666" priority="632" timePeriod="tomorrow">
      <formula>FLOOR(D5,1)=TODAY()+1</formula>
    </cfRule>
  </conditionalFormatting>
  <conditionalFormatting sqref="E5:E6">
    <cfRule type="timePeriod" dxfId="665" priority="631" timePeriod="tomorrow">
      <formula>FLOOR(E5,1)=TODAY()+1</formula>
    </cfRule>
  </conditionalFormatting>
  <conditionalFormatting sqref="D5:D6">
    <cfRule type="timePeriod" dxfId="664" priority="630" timePeriod="tomorrow">
      <formula>FLOOR(D5,1)=TODAY()+1</formula>
    </cfRule>
  </conditionalFormatting>
  <conditionalFormatting sqref="E5:E6">
    <cfRule type="timePeriod" dxfId="663" priority="629" timePeriod="tomorrow">
      <formula>FLOOR(E5,1)=TODAY()+1</formula>
    </cfRule>
  </conditionalFormatting>
  <conditionalFormatting sqref="D5:D6">
    <cfRule type="timePeriod" dxfId="662" priority="628" timePeriod="tomorrow">
      <formula>FLOOR(D5,1)=TODAY()+1</formula>
    </cfRule>
  </conditionalFormatting>
  <conditionalFormatting sqref="E5:E6">
    <cfRule type="timePeriod" dxfId="661" priority="627" timePeriod="tomorrow">
      <formula>FLOOR(E5,1)=TODAY()+1</formula>
    </cfRule>
  </conditionalFormatting>
  <conditionalFormatting sqref="D5:D6">
    <cfRule type="timePeriod" dxfId="660" priority="626" timePeriod="tomorrow">
      <formula>FLOOR(D5,1)=TODAY()+1</formula>
    </cfRule>
  </conditionalFormatting>
  <conditionalFormatting sqref="E5:E6">
    <cfRule type="timePeriod" dxfId="659" priority="625" timePeriod="tomorrow">
      <formula>FLOOR(E5,1)=TODAY()+1</formula>
    </cfRule>
  </conditionalFormatting>
  <conditionalFormatting sqref="D5:D6">
    <cfRule type="timePeriod" dxfId="658" priority="624" timePeriod="tomorrow">
      <formula>FLOOR(D5,1)=TODAY()+1</formula>
    </cfRule>
  </conditionalFormatting>
  <conditionalFormatting sqref="E5:E6">
    <cfRule type="timePeriod" dxfId="657" priority="623" timePeriod="tomorrow">
      <formula>FLOOR(E5,1)=TODAY()+1</formula>
    </cfRule>
  </conditionalFormatting>
  <conditionalFormatting sqref="D5:D6">
    <cfRule type="timePeriod" dxfId="656" priority="622" timePeriod="tomorrow">
      <formula>FLOOR(D5,1)=TODAY()+1</formula>
    </cfRule>
  </conditionalFormatting>
  <conditionalFormatting sqref="E5:E6">
    <cfRule type="timePeriod" dxfId="655" priority="621" timePeriod="tomorrow">
      <formula>FLOOR(E5,1)=TODAY()+1</formula>
    </cfRule>
  </conditionalFormatting>
  <conditionalFormatting sqref="D5:D6">
    <cfRule type="timePeriod" dxfId="654" priority="620" timePeriod="tomorrow">
      <formula>FLOOR(D5,1)=TODAY()+1</formula>
    </cfRule>
  </conditionalFormatting>
  <conditionalFormatting sqref="E5:E6">
    <cfRule type="timePeriod" dxfId="653" priority="619" timePeriod="tomorrow">
      <formula>FLOOR(E5,1)=TODAY()+1</formula>
    </cfRule>
  </conditionalFormatting>
  <conditionalFormatting sqref="D5:D6">
    <cfRule type="timePeriod" dxfId="652" priority="618" timePeriod="tomorrow">
      <formula>FLOOR(D5,1)=TODAY()+1</formula>
    </cfRule>
  </conditionalFormatting>
  <conditionalFormatting sqref="E5:E6">
    <cfRule type="timePeriod" dxfId="651" priority="617" timePeriod="tomorrow">
      <formula>FLOOR(E5,1)=TODAY()+1</formula>
    </cfRule>
  </conditionalFormatting>
  <conditionalFormatting sqref="D5:D6">
    <cfRule type="timePeriod" dxfId="650" priority="616" timePeriod="tomorrow">
      <formula>FLOOR(D5,1)=TODAY()+1</formula>
    </cfRule>
  </conditionalFormatting>
  <conditionalFormatting sqref="E5:E6">
    <cfRule type="timePeriod" dxfId="649" priority="615" timePeriod="tomorrow">
      <formula>FLOOR(E5,1)=TODAY()+1</formula>
    </cfRule>
  </conditionalFormatting>
  <conditionalFormatting sqref="D5:D6">
    <cfRule type="timePeriod" dxfId="648" priority="614" timePeriod="tomorrow">
      <formula>FLOOR(D5,1)=TODAY()+1</formula>
    </cfRule>
  </conditionalFormatting>
  <conditionalFormatting sqref="E5:E6">
    <cfRule type="timePeriod" dxfId="647" priority="613" timePeriod="tomorrow">
      <formula>FLOOR(E5,1)=TODAY()+1</formula>
    </cfRule>
  </conditionalFormatting>
  <conditionalFormatting sqref="D5:D6">
    <cfRule type="timePeriod" dxfId="646" priority="612" timePeriod="tomorrow">
      <formula>FLOOR(D5,1)=TODAY()+1</formula>
    </cfRule>
  </conditionalFormatting>
  <conditionalFormatting sqref="E5:E6">
    <cfRule type="timePeriod" dxfId="645" priority="611" timePeriod="tomorrow">
      <formula>FLOOR(E5,1)=TODAY()+1</formula>
    </cfRule>
  </conditionalFormatting>
  <conditionalFormatting sqref="D5:D6">
    <cfRule type="timePeriod" dxfId="644" priority="610" timePeriod="tomorrow">
      <formula>FLOOR(D5,1)=TODAY()+1</formula>
    </cfRule>
  </conditionalFormatting>
  <conditionalFormatting sqref="E5:E6">
    <cfRule type="timePeriod" dxfId="643" priority="609" timePeriod="tomorrow">
      <formula>FLOOR(E5,1)=TODAY()+1</formula>
    </cfRule>
  </conditionalFormatting>
  <conditionalFormatting sqref="D5:D6">
    <cfRule type="timePeriod" dxfId="642" priority="608" timePeriod="tomorrow">
      <formula>FLOOR(D5,1)=TODAY()+1</formula>
    </cfRule>
  </conditionalFormatting>
  <conditionalFormatting sqref="E5:E6">
    <cfRule type="timePeriod" dxfId="641" priority="607" timePeriod="tomorrow">
      <formula>FLOOR(E5,1)=TODAY()+1</formula>
    </cfRule>
  </conditionalFormatting>
  <conditionalFormatting sqref="D7">
    <cfRule type="timePeriod" dxfId="640" priority="606" timePeriod="tomorrow">
      <formula>FLOOR(D7,1)=TODAY()+1</formula>
    </cfRule>
  </conditionalFormatting>
  <conditionalFormatting sqref="E7">
    <cfRule type="timePeriod" dxfId="639" priority="605" timePeriod="tomorrow">
      <formula>FLOOR(E7,1)=TODAY()+1</formula>
    </cfRule>
  </conditionalFormatting>
  <conditionalFormatting sqref="C7:F7">
    <cfRule type="cellIs" dxfId="638" priority="601" operator="equal">
      <formula>"Transformer"</formula>
    </cfRule>
    <cfRule type="cellIs" dxfId="637" priority="602" operator="equal">
      <formula>"Fossil.Gen"</formula>
    </cfRule>
    <cfRule type="cellIs" dxfId="636" priority="603" operator="equal">
      <formula>"Hydro.Gen"</formula>
    </cfRule>
    <cfRule type="cellIs" dxfId="635" priority="604" operator="equal">
      <formula>"Nuc.Gen"</formula>
    </cfRule>
  </conditionalFormatting>
  <conditionalFormatting sqref="D7">
    <cfRule type="timePeriod" dxfId="634" priority="600" timePeriod="tomorrow">
      <formula>FLOOR(D7,1)=TODAY()+1</formula>
    </cfRule>
  </conditionalFormatting>
  <conditionalFormatting sqref="E7">
    <cfRule type="timePeriod" dxfId="633" priority="599" timePeriod="tomorrow">
      <formula>FLOOR(E7,1)=TODAY()+1</formula>
    </cfRule>
  </conditionalFormatting>
  <conditionalFormatting sqref="D7">
    <cfRule type="timePeriod" dxfId="632" priority="598" timePeriod="tomorrow">
      <formula>FLOOR(D7,1)=TODAY()+1</formula>
    </cfRule>
  </conditionalFormatting>
  <conditionalFormatting sqref="E7">
    <cfRule type="timePeriod" dxfId="631" priority="597" timePeriod="tomorrow">
      <formula>FLOOR(E7,1)=TODAY()+1</formula>
    </cfRule>
  </conditionalFormatting>
  <conditionalFormatting sqref="D7">
    <cfRule type="timePeriod" dxfId="630" priority="596" timePeriod="tomorrow">
      <formula>FLOOR(D7,1)=TODAY()+1</formula>
    </cfRule>
  </conditionalFormatting>
  <conditionalFormatting sqref="E7">
    <cfRule type="timePeriod" dxfId="629" priority="595" timePeriod="tomorrow">
      <formula>FLOOR(E7,1)=TODAY()+1</formula>
    </cfRule>
  </conditionalFormatting>
  <conditionalFormatting sqref="D7">
    <cfRule type="timePeriod" dxfId="628" priority="594" timePeriod="tomorrow">
      <formula>FLOOR(D7,1)=TODAY()+1</formula>
    </cfRule>
  </conditionalFormatting>
  <conditionalFormatting sqref="E7">
    <cfRule type="timePeriod" dxfId="627" priority="593" timePeriod="tomorrow">
      <formula>FLOOR(E7,1)=TODAY()+1</formula>
    </cfRule>
  </conditionalFormatting>
  <conditionalFormatting sqref="D7">
    <cfRule type="timePeriod" dxfId="626" priority="592" timePeriod="tomorrow">
      <formula>FLOOR(D7,1)=TODAY()+1</formula>
    </cfRule>
  </conditionalFormatting>
  <conditionalFormatting sqref="E7">
    <cfRule type="timePeriod" dxfId="625" priority="591" timePeriod="tomorrow">
      <formula>FLOOR(E7,1)=TODAY()+1</formula>
    </cfRule>
  </conditionalFormatting>
  <conditionalFormatting sqref="D7">
    <cfRule type="timePeriod" dxfId="624" priority="590" timePeriod="tomorrow">
      <formula>FLOOR(D7,1)=TODAY()+1</formula>
    </cfRule>
  </conditionalFormatting>
  <conditionalFormatting sqref="E7">
    <cfRule type="timePeriod" dxfId="623" priority="589" timePeriod="tomorrow">
      <formula>FLOOR(E7,1)=TODAY()+1</formula>
    </cfRule>
  </conditionalFormatting>
  <conditionalFormatting sqref="D7">
    <cfRule type="timePeriod" dxfId="622" priority="588" timePeriod="tomorrow">
      <formula>FLOOR(D7,1)=TODAY()+1</formula>
    </cfRule>
  </conditionalFormatting>
  <conditionalFormatting sqref="E7">
    <cfRule type="timePeriod" dxfId="621" priority="587" timePeriod="tomorrow">
      <formula>FLOOR(E7,1)=TODAY()+1</formula>
    </cfRule>
  </conditionalFormatting>
  <conditionalFormatting sqref="D7">
    <cfRule type="timePeriod" dxfId="620" priority="586" timePeriod="tomorrow">
      <formula>FLOOR(D7,1)=TODAY()+1</formula>
    </cfRule>
  </conditionalFormatting>
  <conditionalFormatting sqref="E7">
    <cfRule type="timePeriod" dxfId="619" priority="585" timePeriod="tomorrow">
      <formula>FLOOR(E7,1)=TODAY()+1</formula>
    </cfRule>
  </conditionalFormatting>
  <conditionalFormatting sqref="D7">
    <cfRule type="timePeriod" dxfId="618" priority="584" timePeriod="tomorrow">
      <formula>FLOOR(D7,1)=TODAY()+1</formula>
    </cfRule>
  </conditionalFormatting>
  <conditionalFormatting sqref="E7">
    <cfRule type="timePeriod" dxfId="617" priority="583" timePeriod="tomorrow">
      <formula>FLOOR(E7,1)=TODAY()+1</formula>
    </cfRule>
  </conditionalFormatting>
  <conditionalFormatting sqref="D7">
    <cfRule type="timePeriod" dxfId="616" priority="582" timePeriod="tomorrow">
      <formula>FLOOR(D7,1)=TODAY()+1</formula>
    </cfRule>
  </conditionalFormatting>
  <conditionalFormatting sqref="E7">
    <cfRule type="timePeriod" dxfId="615" priority="581" timePeriod="tomorrow">
      <formula>FLOOR(E7,1)=TODAY()+1</formula>
    </cfRule>
  </conditionalFormatting>
  <conditionalFormatting sqref="D7">
    <cfRule type="timePeriod" dxfId="614" priority="580" timePeriod="tomorrow">
      <formula>FLOOR(D7,1)=TODAY()+1</formula>
    </cfRule>
  </conditionalFormatting>
  <conditionalFormatting sqref="E7">
    <cfRule type="timePeriod" dxfId="613" priority="579" timePeriod="tomorrow">
      <formula>FLOOR(E7,1)=TODAY()+1</formula>
    </cfRule>
  </conditionalFormatting>
  <conditionalFormatting sqref="D7">
    <cfRule type="timePeriod" dxfId="612" priority="578" timePeriod="tomorrow">
      <formula>FLOOR(D7,1)=TODAY()+1</formula>
    </cfRule>
  </conditionalFormatting>
  <conditionalFormatting sqref="E7">
    <cfRule type="timePeriod" dxfId="611" priority="577" timePeriod="tomorrow">
      <formula>FLOOR(E7,1)=TODAY()+1</formula>
    </cfRule>
  </conditionalFormatting>
  <conditionalFormatting sqref="D7">
    <cfRule type="timePeriod" dxfId="610" priority="576" timePeriod="tomorrow">
      <formula>FLOOR(D7,1)=TODAY()+1</formula>
    </cfRule>
  </conditionalFormatting>
  <conditionalFormatting sqref="E7">
    <cfRule type="timePeriod" dxfId="609" priority="575" timePeriod="tomorrow">
      <formula>FLOOR(E7,1)=TODAY()+1</formula>
    </cfRule>
  </conditionalFormatting>
  <conditionalFormatting sqref="D7">
    <cfRule type="timePeriod" dxfId="608" priority="574" timePeriod="tomorrow">
      <formula>FLOOR(D7,1)=TODAY()+1</formula>
    </cfRule>
  </conditionalFormatting>
  <conditionalFormatting sqref="E7">
    <cfRule type="timePeriod" dxfId="607" priority="573" timePeriod="tomorrow">
      <formula>FLOOR(E7,1)=TODAY()+1</formula>
    </cfRule>
  </conditionalFormatting>
  <conditionalFormatting sqref="D7">
    <cfRule type="timePeriod" dxfId="606" priority="572" timePeriod="tomorrow">
      <formula>FLOOR(D7,1)=TODAY()+1</formula>
    </cfRule>
  </conditionalFormatting>
  <conditionalFormatting sqref="E7">
    <cfRule type="timePeriod" dxfId="605" priority="571" timePeriod="tomorrow">
      <formula>FLOOR(E7,1)=TODAY()+1</formula>
    </cfRule>
  </conditionalFormatting>
  <conditionalFormatting sqref="D7">
    <cfRule type="timePeriod" dxfId="604" priority="570" timePeriod="tomorrow">
      <formula>FLOOR(D7,1)=TODAY()+1</formula>
    </cfRule>
  </conditionalFormatting>
  <conditionalFormatting sqref="E7">
    <cfRule type="timePeriod" dxfId="603" priority="569" timePeriod="tomorrow">
      <formula>FLOOR(E7,1)=TODAY()+1</formula>
    </cfRule>
  </conditionalFormatting>
  <conditionalFormatting sqref="D7">
    <cfRule type="timePeriod" dxfId="602" priority="568" timePeriod="tomorrow">
      <formula>FLOOR(D7,1)=TODAY()+1</formula>
    </cfRule>
  </conditionalFormatting>
  <conditionalFormatting sqref="E7">
    <cfRule type="timePeriod" dxfId="601" priority="567" timePeriod="tomorrow">
      <formula>FLOOR(E7,1)=TODAY()+1</formula>
    </cfRule>
  </conditionalFormatting>
  <conditionalFormatting sqref="D7">
    <cfRule type="timePeriod" dxfId="600" priority="566" timePeriod="tomorrow">
      <formula>FLOOR(D7,1)=TODAY()+1</formula>
    </cfRule>
  </conditionalFormatting>
  <conditionalFormatting sqref="E7">
    <cfRule type="timePeriod" dxfId="599" priority="565" timePeriod="tomorrow">
      <formula>FLOOR(E7,1)=TODAY()+1</formula>
    </cfRule>
  </conditionalFormatting>
  <conditionalFormatting sqref="D7">
    <cfRule type="timePeriod" dxfId="598" priority="564" timePeriod="tomorrow">
      <formula>FLOOR(D7,1)=TODAY()+1</formula>
    </cfRule>
  </conditionalFormatting>
  <conditionalFormatting sqref="E7">
    <cfRule type="timePeriod" dxfId="597" priority="563" timePeriod="tomorrow">
      <formula>FLOOR(E7,1)=TODAY()+1</formula>
    </cfRule>
  </conditionalFormatting>
  <conditionalFormatting sqref="D7">
    <cfRule type="timePeriod" dxfId="596" priority="562" timePeriod="tomorrow">
      <formula>FLOOR(D7,1)=TODAY()+1</formula>
    </cfRule>
  </conditionalFormatting>
  <conditionalFormatting sqref="E7">
    <cfRule type="timePeriod" dxfId="595" priority="561" timePeriod="tomorrow">
      <formula>FLOOR(E7,1)=TODAY()+1</formula>
    </cfRule>
  </conditionalFormatting>
  <conditionalFormatting sqref="D7">
    <cfRule type="timePeriod" dxfId="594" priority="560" timePeriod="tomorrow">
      <formula>FLOOR(D7,1)=TODAY()+1</formula>
    </cfRule>
  </conditionalFormatting>
  <conditionalFormatting sqref="E7">
    <cfRule type="timePeriod" dxfId="593" priority="559" timePeriod="tomorrow">
      <formula>FLOOR(E7,1)=TODAY()+1</formula>
    </cfRule>
  </conditionalFormatting>
  <conditionalFormatting sqref="D7">
    <cfRule type="timePeriod" dxfId="592" priority="558" timePeriod="tomorrow">
      <formula>FLOOR(D7,1)=TODAY()+1</formula>
    </cfRule>
  </conditionalFormatting>
  <conditionalFormatting sqref="E7">
    <cfRule type="timePeriod" dxfId="591" priority="557" timePeriod="tomorrow">
      <formula>FLOOR(E7,1)=TODAY()+1</formula>
    </cfRule>
  </conditionalFormatting>
  <conditionalFormatting sqref="D7">
    <cfRule type="timePeriod" dxfId="590" priority="556" timePeriod="tomorrow">
      <formula>FLOOR(D7,1)=TODAY()+1</formula>
    </cfRule>
  </conditionalFormatting>
  <conditionalFormatting sqref="E7">
    <cfRule type="timePeriod" dxfId="589" priority="555" timePeriod="tomorrow">
      <formula>FLOOR(E7,1)=TODAY()+1</formula>
    </cfRule>
  </conditionalFormatting>
  <conditionalFormatting sqref="D7">
    <cfRule type="timePeriod" dxfId="588" priority="554" timePeriod="tomorrow">
      <formula>FLOOR(D7,1)=TODAY()+1</formula>
    </cfRule>
  </conditionalFormatting>
  <conditionalFormatting sqref="E7">
    <cfRule type="timePeriod" dxfId="587" priority="553" timePeriod="tomorrow">
      <formula>FLOOR(E7,1)=TODAY()+1</formula>
    </cfRule>
  </conditionalFormatting>
  <conditionalFormatting sqref="D7">
    <cfRule type="timePeriod" dxfId="586" priority="552" timePeriod="tomorrow">
      <formula>FLOOR(D7,1)=TODAY()+1</formula>
    </cfRule>
  </conditionalFormatting>
  <conditionalFormatting sqref="E7">
    <cfRule type="timePeriod" dxfId="585" priority="551" timePeriod="tomorrow">
      <formula>FLOOR(E7,1)=TODAY()+1</formula>
    </cfRule>
  </conditionalFormatting>
  <conditionalFormatting sqref="D7">
    <cfRule type="timePeriod" dxfId="584" priority="550" timePeriod="tomorrow">
      <formula>FLOOR(D7,1)=TODAY()+1</formula>
    </cfRule>
  </conditionalFormatting>
  <conditionalFormatting sqref="E7">
    <cfRule type="timePeriod" dxfId="583" priority="549" timePeriod="tomorrow">
      <formula>FLOOR(E7,1)=TODAY()+1</formula>
    </cfRule>
  </conditionalFormatting>
  <conditionalFormatting sqref="D7">
    <cfRule type="timePeriod" dxfId="582" priority="548" timePeriod="tomorrow">
      <formula>FLOOR(D7,1)=TODAY()+1</formula>
    </cfRule>
  </conditionalFormatting>
  <conditionalFormatting sqref="E7">
    <cfRule type="timePeriod" dxfId="581" priority="547" timePeriod="tomorrow">
      <formula>FLOOR(E7,1)=TODAY()+1</formula>
    </cfRule>
  </conditionalFormatting>
  <conditionalFormatting sqref="D7">
    <cfRule type="timePeriod" dxfId="580" priority="546" timePeriod="tomorrow">
      <formula>FLOOR(D7,1)=TODAY()+1</formula>
    </cfRule>
  </conditionalFormatting>
  <conditionalFormatting sqref="E7">
    <cfRule type="timePeriod" dxfId="579" priority="545" timePeriod="tomorrow">
      <formula>FLOOR(E7,1)=TODAY()+1</formula>
    </cfRule>
  </conditionalFormatting>
  <conditionalFormatting sqref="D7">
    <cfRule type="timePeriod" dxfId="578" priority="544" timePeriod="tomorrow">
      <formula>FLOOR(D7,1)=TODAY()+1</formula>
    </cfRule>
  </conditionalFormatting>
  <conditionalFormatting sqref="E7">
    <cfRule type="timePeriod" dxfId="577" priority="543" timePeriod="tomorrow">
      <formula>FLOOR(E7,1)=TODAY()+1</formula>
    </cfRule>
  </conditionalFormatting>
  <conditionalFormatting sqref="D7">
    <cfRule type="timePeriod" dxfId="576" priority="542" timePeriod="tomorrow">
      <formula>FLOOR(D7,1)=TODAY()+1</formula>
    </cfRule>
  </conditionalFormatting>
  <conditionalFormatting sqref="E7">
    <cfRule type="timePeriod" dxfId="575" priority="541" timePeriod="tomorrow">
      <formula>FLOOR(E7,1)=TODAY()+1</formula>
    </cfRule>
  </conditionalFormatting>
  <conditionalFormatting sqref="D7">
    <cfRule type="timePeriod" dxfId="574" priority="540" timePeriod="tomorrow">
      <formula>FLOOR(D7,1)=TODAY()+1</formula>
    </cfRule>
  </conditionalFormatting>
  <conditionalFormatting sqref="E7">
    <cfRule type="timePeriod" dxfId="573" priority="539" timePeriod="tomorrow">
      <formula>FLOOR(E7,1)=TODAY()+1</formula>
    </cfRule>
  </conditionalFormatting>
  <conditionalFormatting sqref="D7">
    <cfRule type="timePeriod" dxfId="572" priority="538" timePeriod="tomorrow">
      <formula>FLOOR(D7,1)=TODAY()+1</formula>
    </cfRule>
  </conditionalFormatting>
  <conditionalFormatting sqref="E7">
    <cfRule type="timePeriod" dxfId="571" priority="537" timePeriod="tomorrow">
      <formula>FLOOR(E7,1)=TODAY()+1</formula>
    </cfRule>
  </conditionalFormatting>
  <conditionalFormatting sqref="D7">
    <cfRule type="timePeriod" dxfId="570" priority="536" timePeriod="tomorrow">
      <formula>FLOOR(D7,1)=TODAY()+1</formula>
    </cfRule>
  </conditionalFormatting>
  <conditionalFormatting sqref="E7">
    <cfRule type="timePeriod" dxfId="569" priority="535" timePeriod="tomorrow">
      <formula>FLOOR(E7,1)=TODAY()+1</formula>
    </cfRule>
  </conditionalFormatting>
  <conditionalFormatting sqref="D7">
    <cfRule type="timePeriod" dxfId="568" priority="534" timePeriod="tomorrow">
      <formula>FLOOR(D7,1)=TODAY()+1</formula>
    </cfRule>
  </conditionalFormatting>
  <conditionalFormatting sqref="E7">
    <cfRule type="timePeriod" dxfId="567" priority="533" timePeriod="tomorrow">
      <formula>FLOOR(E7,1)=TODAY()+1</formula>
    </cfRule>
  </conditionalFormatting>
  <conditionalFormatting sqref="D7">
    <cfRule type="timePeriod" dxfId="566" priority="532" timePeriod="tomorrow">
      <formula>FLOOR(D7,1)=TODAY()+1</formula>
    </cfRule>
  </conditionalFormatting>
  <conditionalFormatting sqref="E7">
    <cfRule type="timePeriod" dxfId="565" priority="531" timePeriod="tomorrow">
      <formula>FLOOR(E7,1)=TODAY()+1</formula>
    </cfRule>
  </conditionalFormatting>
  <conditionalFormatting sqref="D7">
    <cfRule type="timePeriod" dxfId="564" priority="530" timePeriod="tomorrow">
      <formula>FLOOR(D7,1)=TODAY()+1</formula>
    </cfRule>
  </conditionalFormatting>
  <conditionalFormatting sqref="E7">
    <cfRule type="timePeriod" dxfId="563" priority="529" timePeriod="tomorrow">
      <formula>FLOOR(E7,1)=TODAY()+1</formula>
    </cfRule>
  </conditionalFormatting>
  <conditionalFormatting sqref="D7">
    <cfRule type="timePeriod" dxfId="562" priority="528" timePeriod="tomorrow">
      <formula>FLOOR(D7,1)=TODAY()+1</formula>
    </cfRule>
  </conditionalFormatting>
  <conditionalFormatting sqref="E7">
    <cfRule type="timePeriod" dxfId="561" priority="527" timePeriod="tomorrow">
      <formula>FLOOR(E7,1)=TODAY()+1</formula>
    </cfRule>
  </conditionalFormatting>
  <conditionalFormatting sqref="D7">
    <cfRule type="timePeriod" dxfId="560" priority="526" timePeriod="tomorrow">
      <formula>FLOOR(D7,1)=TODAY()+1</formula>
    </cfRule>
  </conditionalFormatting>
  <conditionalFormatting sqref="E7">
    <cfRule type="timePeriod" dxfId="559" priority="525" timePeriod="tomorrow">
      <formula>FLOOR(E7,1)=TODAY()+1</formula>
    </cfRule>
  </conditionalFormatting>
  <conditionalFormatting sqref="D7">
    <cfRule type="timePeriod" dxfId="558" priority="524" timePeriod="tomorrow">
      <formula>FLOOR(D7,1)=TODAY()+1</formula>
    </cfRule>
  </conditionalFormatting>
  <conditionalFormatting sqref="E7">
    <cfRule type="timePeriod" dxfId="557" priority="523" timePeriod="tomorrow">
      <formula>FLOOR(E7,1)=TODAY()+1</formula>
    </cfRule>
  </conditionalFormatting>
  <conditionalFormatting sqref="D7">
    <cfRule type="timePeriod" dxfId="556" priority="522" timePeriod="tomorrow">
      <formula>FLOOR(D7,1)=TODAY()+1</formula>
    </cfRule>
  </conditionalFormatting>
  <conditionalFormatting sqref="E7">
    <cfRule type="timePeriod" dxfId="555" priority="521" timePeriod="tomorrow">
      <formula>FLOOR(E7,1)=TODAY()+1</formula>
    </cfRule>
  </conditionalFormatting>
  <conditionalFormatting sqref="D7">
    <cfRule type="timePeriod" dxfId="554" priority="520" timePeriod="tomorrow">
      <formula>FLOOR(D7,1)=TODAY()+1</formula>
    </cfRule>
  </conditionalFormatting>
  <conditionalFormatting sqref="E7">
    <cfRule type="timePeriod" dxfId="553" priority="519" timePeriod="tomorrow">
      <formula>FLOOR(E7,1)=TODAY()+1</formula>
    </cfRule>
  </conditionalFormatting>
  <conditionalFormatting sqref="D7">
    <cfRule type="timePeriod" dxfId="552" priority="518" timePeriod="tomorrow">
      <formula>FLOOR(D7,1)=TODAY()+1</formula>
    </cfRule>
  </conditionalFormatting>
  <conditionalFormatting sqref="E7">
    <cfRule type="timePeriod" dxfId="551" priority="517" timePeriod="tomorrow">
      <formula>FLOOR(E7,1)=TODAY()+1</formula>
    </cfRule>
  </conditionalFormatting>
  <conditionalFormatting sqref="D7">
    <cfRule type="timePeriod" dxfId="550" priority="516" timePeriod="tomorrow">
      <formula>FLOOR(D7,1)=TODAY()+1</formula>
    </cfRule>
  </conditionalFormatting>
  <conditionalFormatting sqref="E7">
    <cfRule type="timePeriod" dxfId="549" priority="515" timePeriod="tomorrow">
      <formula>FLOOR(E7,1)=TODAY()+1</formula>
    </cfRule>
  </conditionalFormatting>
  <conditionalFormatting sqref="D7">
    <cfRule type="timePeriod" dxfId="548" priority="514" timePeriod="tomorrow">
      <formula>FLOOR(D7,1)=TODAY()+1</formula>
    </cfRule>
  </conditionalFormatting>
  <conditionalFormatting sqref="E7">
    <cfRule type="timePeriod" dxfId="547" priority="513" timePeriod="tomorrow">
      <formula>FLOOR(E7,1)=TODAY()+1</formula>
    </cfRule>
  </conditionalFormatting>
  <conditionalFormatting sqref="D7">
    <cfRule type="timePeriod" dxfId="546" priority="512" timePeriod="tomorrow">
      <formula>FLOOR(D7,1)=TODAY()+1</formula>
    </cfRule>
  </conditionalFormatting>
  <conditionalFormatting sqref="E7">
    <cfRule type="timePeriod" dxfId="545" priority="511" timePeriod="tomorrow">
      <formula>FLOOR(E7,1)=TODAY()+1</formula>
    </cfRule>
  </conditionalFormatting>
  <conditionalFormatting sqref="C7:F7">
    <cfRule type="cellIs" dxfId="544" priority="507" operator="equal">
      <formula>"Transformer"</formula>
    </cfRule>
    <cfRule type="cellIs" dxfId="543" priority="508" operator="equal">
      <formula>"Fossil.Gen"</formula>
    </cfRule>
    <cfRule type="cellIs" dxfId="542" priority="509" operator="equal">
      <formula>"Hydro.Gen"</formula>
    </cfRule>
    <cfRule type="cellIs" dxfId="541" priority="510" operator="equal">
      <formula>"Nuc.Gen"</formula>
    </cfRule>
  </conditionalFormatting>
  <conditionalFormatting sqref="D7">
    <cfRule type="timePeriod" dxfId="540" priority="506" timePeriod="tomorrow">
      <formula>FLOOR(D7,1)=TODAY()+1</formula>
    </cfRule>
  </conditionalFormatting>
  <conditionalFormatting sqref="E7">
    <cfRule type="timePeriod" dxfId="539" priority="505" timePeriod="tomorrow">
      <formula>FLOOR(E7,1)=TODAY()+1</formula>
    </cfRule>
  </conditionalFormatting>
  <conditionalFormatting sqref="D7">
    <cfRule type="timePeriod" dxfId="538" priority="504" timePeriod="tomorrow">
      <formula>FLOOR(D7,1)=TODAY()+1</formula>
    </cfRule>
  </conditionalFormatting>
  <conditionalFormatting sqref="E7">
    <cfRule type="timePeriod" dxfId="537" priority="503" timePeriod="tomorrow">
      <formula>FLOOR(E7,1)=TODAY()+1</formula>
    </cfRule>
  </conditionalFormatting>
  <conditionalFormatting sqref="D7">
    <cfRule type="timePeriod" dxfId="536" priority="502" timePeriod="tomorrow">
      <formula>FLOOR(D7,1)=TODAY()+1</formula>
    </cfRule>
  </conditionalFormatting>
  <conditionalFormatting sqref="E7">
    <cfRule type="timePeriod" dxfId="535" priority="501" timePeriod="tomorrow">
      <formula>FLOOR(E7,1)=TODAY()+1</formula>
    </cfRule>
  </conditionalFormatting>
  <conditionalFormatting sqref="D7">
    <cfRule type="timePeriod" dxfId="534" priority="500" timePeriod="tomorrow">
      <formula>FLOOR(D7,1)=TODAY()+1</formula>
    </cfRule>
  </conditionalFormatting>
  <conditionalFormatting sqref="E7">
    <cfRule type="timePeriod" dxfId="533" priority="499" timePeriod="tomorrow">
      <formula>FLOOR(E7,1)=TODAY()+1</formula>
    </cfRule>
  </conditionalFormatting>
  <conditionalFormatting sqref="D7">
    <cfRule type="timePeriod" dxfId="532" priority="498" timePeriod="tomorrow">
      <formula>FLOOR(D7,1)=TODAY()+1</formula>
    </cfRule>
  </conditionalFormatting>
  <conditionalFormatting sqref="E7">
    <cfRule type="timePeriod" dxfId="531" priority="497" timePeriod="tomorrow">
      <formula>FLOOR(E7,1)=TODAY()+1</formula>
    </cfRule>
  </conditionalFormatting>
  <conditionalFormatting sqref="D7">
    <cfRule type="timePeriod" dxfId="530" priority="496" timePeriod="tomorrow">
      <formula>FLOOR(D7,1)=TODAY()+1</formula>
    </cfRule>
  </conditionalFormatting>
  <conditionalFormatting sqref="E7">
    <cfRule type="timePeriod" dxfId="529" priority="495" timePeriod="tomorrow">
      <formula>FLOOR(E7,1)=TODAY()+1</formula>
    </cfRule>
  </conditionalFormatting>
  <conditionalFormatting sqref="D7">
    <cfRule type="timePeriod" dxfId="528" priority="494" timePeriod="tomorrow">
      <formula>FLOOR(D7,1)=TODAY()+1</formula>
    </cfRule>
  </conditionalFormatting>
  <conditionalFormatting sqref="E7">
    <cfRule type="timePeriod" dxfId="527" priority="493" timePeriod="tomorrow">
      <formula>FLOOR(E7,1)=TODAY()+1</formula>
    </cfRule>
  </conditionalFormatting>
  <conditionalFormatting sqref="D7">
    <cfRule type="timePeriod" dxfId="526" priority="492" timePeriod="tomorrow">
      <formula>FLOOR(D7,1)=TODAY()+1</formula>
    </cfRule>
  </conditionalFormatting>
  <conditionalFormatting sqref="E7">
    <cfRule type="timePeriod" dxfId="525" priority="491" timePeriod="tomorrow">
      <formula>FLOOR(E7,1)=TODAY()+1</formula>
    </cfRule>
  </conditionalFormatting>
  <conditionalFormatting sqref="D7">
    <cfRule type="timePeriod" dxfId="524" priority="490" timePeriod="tomorrow">
      <formula>FLOOR(D7,1)=TODAY()+1</formula>
    </cfRule>
  </conditionalFormatting>
  <conditionalFormatting sqref="E7">
    <cfRule type="timePeriod" dxfId="523" priority="489" timePeriod="tomorrow">
      <formula>FLOOR(E7,1)=TODAY()+1</formula>
    </cfRule>
  </conditionalFormatting>
  <conditionalFormatting sqref="D7">
    <cfRule type="timePeriod" dxfId="522" priority="488" timePeriod="tomorrow">
      <formula>FLOOR(D7,1)=TODAY()+1</formula>
    </cfRule>
  </conditionalFormatting>
  <conditionalFormatting sqref="E7">
    <cfRule type="timePeriod" dxfId="521" priority="487" timePeriod="tomorrow">
      <formula>FLOOR(E7,1)=TODAY()+1</formula>
    </cfRule>
  </conditionalFormatting>
  <conditionalFormatting sqref="D7">
    <cfRule type="timePeriod" dxfId="520" priority="486" timePeriod="tomorrow">
      <formula>FLOOR(D7,1)=TODAY()+1</formula>
    </cfRule>
  </conditionalFormatting>
  <conditionalFormatting sqref="E7">
    <cfRule type="timePeriod" dxfId="519" priority="485" timePeriod="tomorrow">
      <formula>FLOOR(E7,1)=TODAY()+1</formula>
    </cfRule>
  </conditionalFormatting>
  <conditionalFormatting sqref="D7">
    <cfRule type="timePeriod" dxfId="518" priority="484" timePeriod="tomorrow">
      <formula>FLOOR(D7,1)=TODAY()+1</formula>
    </cfRule>
  </conditionalFormatting>
  <conditionalFormatting sqref="E7">
    <cfRule type="timePeriod" dxfId="517" priority="483" timePeriod="tomorrow">
      <formula>FLOOR(E7,1)=TODAY()+1</formula>
    </cfRule>
  </conditionalFormatting>
  <conditionalFormatting sqref="D7">
    <cfRule type="timePeriod" dxfId="516" priority="482" timePeriod="tomorrow">
      <formula>FLOOR(D7,1)=TODAY()+1</formula>
    </cfRule>
  </conditionalFormatting>
  <conditionalFormatting sqref="E7">
    <cfRule type="timePeriod" dxfId="515" priority="481" timePeriod="tomorrow">
      <formula>FLOOR(E7,1)=TODAY()+1</formula>
    </cfRule>
  </conditionalFormatting>
  <conditionalFormatting sqref="D7">
    <cfRule type="timePeriod" dxfId="514" priority="480" timePeriod="tomorrow">
      <formula>FLOOR(D7,1)=TODAY()+1</formula>
    </cfRule>
  </conditionalFormatting>
  <conditionalFormatting sqref="E7">
    <cfRule type="timePeriod" dxfId="513" priority="479" timePeriod="tomorrow">
      <formula>FLOOR(E7,1)=TODAY()+1</formula>
    </cfRule>
  </conditionalFormatting>
  <conditionalFormatting sqref="D7">
    <cfRule type="timePeriod" dxfId="512" priority="478" timePeriod="tomorrow">
      <formula>FLOOR(D7,1)=TODAY()+1</formula>
    </cfRule>
  </conditionalFormatting>
  <conditionalFormatting sqref="E7">
    <cfRule type="timePeriod" dxfId="511" priority="477" timePeriod="tomorrow">
      <formula>FLOOR(E7,1)=TODAY()+1</formula>
    </cfRule>
  </conditionalFormatting>
  <conditionalFormatting sqref="D7">
    <cfRule type="timePeriod" dxfId="510" priority="476" timePeriod="tomorrow">
      <formula>FLOOR(D7,1)=TODAY()+1</formula>
    </cfRule>
  </conditionalFormatting>
  <conditionalFormatting sqref="E7">
    <cfRule type="timePeriod" dxfId="509" priority="475" timePeriod="tomorrow">
      <formula>FLOOR(E7,1)=TODAY()+1</formula>
    </cfRule>
  </conditionalFormatting>
  <conditionalFormatting sqref="D7">
    <cfRule type="timePeriod" dxfId="508" priority="474" timePeriod="tomorrow">
      <formula>FLOOR(D7,1)=TODAY()+1</formula>
    </cfRule>
  </conditionalFormatting>
  <conditionalFormatting sqref="E7">
    <cfRule type="timePeriod" dxfId="507" priority="473" timePeriod="tomorrow">
      <formula>FLOOR(E7,1)=TODAY()+1</formula>
    </cfRule>
  </conditionalFormatting>
  <conditionalFormatting sqref="D7">
    <cfRule type="timePeriod" dxfId="506" priority="472" timePeriod="tomorrow">
      <formula>FLOOR(D7,1)=TODAY()+1</formula>
    </cfRule>
  </conditionalFormatting>
  <conditionalFormatting sqref="E7">
    <cfRule type="timePeriod" dxfId="505" priority="471" timePeriod="tomorrow">
      <formula>FLOOR(E7,1)=TODAY()+1</formula>
    </cfRule>
  </conditionalFormatting>
  <conditionalFormatting sqref="D7">
    <cfRule type="timePeriod" dxfId="504" priority="470" timePeriod="tomorrow">
      <formula>FLOOR(D7,1)=TODAY()+1</formula>
    </cfRule>
  </conditionalFormatting>
  <conditionalFormatting sqref="E7">
    <cfRule type="timePeriod" dxfId="503" priority="469" timePeriod="tomorrow">
      <formula>FLOOR(E7,1)=TODAY()+1</formula>
    </cfRule>
  </conditionalFormatting>
  <conditionalFormatting sqref="D7">
    <cfRule type="timePeriod" dxfId="502" priority="468" timePeriod="tomorrow">
      <formula>FLOOR(D7,1)=TODAY()+1</formula>
    </cfRule>
  </conditionalFormatting>
  <conditionalFormatting sqref="E7">
    <cfRule type="timePeriod" dxfId="501" priority="467" timePeriod="tomorrow">
      <formula>FLOOR(E7,1)=TODAY()+1</formula>
    </cfRule>
  </conditionalFormatting>
  <conditionalFormatting sqref="D7">
    <cfRule type="timePeriod" dxfId="500" priority="466" timePeriod="tomorrow">
      <formula>FLOOR(D7,1)=TODAY()+1</formula>
    </cfRule>
  </conditionalFormatting>
  <conditionalFormatting sqref="E7">
    <cfRule type="timePeriod" dxfId="499" priority="465" timePeriod="tomorrow">
      <formula>FLOOR(E7,1)=TODAY()+1</formula>
    </cfRule>
  </conditionalFormatting>
  <conditionalFormatting sqref="D7">
    <cfRule type="timePeriod" dxfId="498" priority="464" timePeriod="tomorrow">
      <formula>FLOOR(D7,1)=TODAY()+1</formula>
    </cfRule>
  </conditionalFormatting>
  <conditionalFormatting sqref="E7">
    <cfRule type="timePeriod" dxfId="497" priority="463" timePeriod="tomorrow">
      <formula>FLOOR(E7,1)=TODAY()+1</formula>
    </cfRule>
  </conditionalFormatting>
  <conditionalFormatting sqref="D7">
    <cfRule type="timePeriod" dxfId="496" priority="462" timePeriod="tomorrow">
      <formula>FLOOR(D7,1)=TODAY()+1</formula>
    </cfRule>
  </conditionalFormatting>
  <conditionalFormatting sqref="E7">
    <cfRule type="timePeriod" dxfId="495" priority="461" timePeriod="tomorrow">
      <formula>FLOOR(E7,1)=TODAY()+1</formula>
    </cfRule>
  </conditionalFormatting>
  <conditionalFormatting sqref="D7">
    <cfRule type="timePeriod" dxfId="494" priority="460" timePeriod="tomorrow">
      <formula>FLOOR(D7,1)=TODAY()+1</formula>
    </cfRule>
  </conditionalFormatting>
  <conditionalFormatting sqref="E7">
    <cfRule type="timePeriod" dxfId="493" priority="459" timePeriod="tomorrow">
      <formula>FLOOR(E7,1)=TODAY()+1</formula>
    </cfRule>
  </conditionalFormatting>
  <conditionalFormatting sqref="D7">
    <cfRule type="timePeriod" dxfId="492" priority="458" timePeriod="tomorrow">
      <formula>FLOOR(D7,1)=TODAY()+1</formula>
    </cfRule>
  </conditionalFormatting>
  <conditionalFormatting sqref="E7">
    <cfRule type="timePeriod" dxfId="491" priority="457" timePeriod="tomorrow">
      <formula>FLOOR(E7,1)=TODAY()+1</formula>
    </cfRule>
  </conditionalFormatting>
  <conditionalFormatting sqref="D7">
    <cfRule type="timePeriod" dxfId="490" priority="456" timePeriod="tomorrow">
      <formula>FLOOR(D7,1)=TODAY()+1</formula>
    </cfRule>
  </conditionalFormatting>
  <conditionalFormatting sqref="E7">
    <cfRule type="timePeriod" dxfId="489" priority="455" timePeriod="tomorrow">
      <formula>FLOOR(E7,1)=TODAY()+1</formula>
    </cfRule>
  </conditionalFormatting>
  <conditionalFormatting sqref="D7">
    <cfRule type="timePeriod" dxfId="488" priority="454" timePeriod="tomorrow">
      <formula>FLOOR(D7,1)=TODAY()+1</formula>
    </cfRule>
  </conditionalFormatting>
  <conditionalFormatting sqref="E7">
    <cfRule type="timePeriod" dxfId="487" priority="453" timePeriod="tomorrow">
      <formula>FLOOR(E7,1)=TODAY()+1</formula>
    </cfRule>
  </conditionalFormatting>
  <conditionalFormatting sqref="D7">
    <cfRule type="timePeriod" dxfId="486" priority="452" timePeriod="tomorrow">
      <formula>FLOOR(D7,1)=TODAY()+1</formula>
    </cfRule>
  </conditionalFormatting>
  <conditionalFormatting sqref="E7">
    <cfRule type="timePeriod" dxfId="485" priority="451" timePeriod="tomorrow">
      <formula>FLOOR(E7,1)=TODAY()+1</formula>
    </cfRule>
  </conditionalFormatting>
  <conditionalFormatting sqref="D7">
    <cfRule type="timePeriod" dxfId="484" priority="450" timePeriod="tomorrow">
      <formula>FLOOR(D7,1)=TODAY()+1</formula>
    </cfRule>
  </conditionalFormatting>
  <conditionalFormatting sqref="E7">
    <cfRule type="timePeriod" dxfId="483" priority="449" timePeriod="tomorrow">
      <formula>FLOOR(E7,1)=TODAY()+1</formula>
    </cfRule>
  </conditionalFormatting>
  <conditionalFormatting sqref="D7">
    <cfRule type="timePeriod" dxfId="482" priority="448" timePeriod="tomorrow">
      <formula>FLOOR(D7,1)=TODAY()+1</formula>
    </cfRule>
  </conditionalFormatting>
  <conditionalFormatting sqref="E7">
    <cfRule type="timePeriod" dxfId="481" priority="447" timePeriod="tomorrow">
      <formula>FLOOR(E7,1)=TODAY()+1</formula>
    </cfRule>
  </conditionalFormatting>
  <conditionalFormatting sqref="D7">
    <cfRule type="timePeriod" dxfId="480" priority="446" timePeriod="tomorrow">
      <formula>FLOOR(D7,1)=TODAY()+1</formula>
    </cfRule>
  </conditionalFormatting>
  <conditionalFormatting sqref="E7">
    <cfRule type="timePeriod" dxfId="479" priority="445" timePeriod="tomorrow">
      <formula>FLOOR(E7,1)=TODAY()+1</formula>
    </cfRule>
  </conditionalFormatting>
  <conditionalFormatting sqref="D7">
    <cfRule type="timePeriod" dxfId="478" priority="444" timePeriod="tomorrow">
      <formula>FLOOR(D7,1)=TODAY()+1</formula>
    </cfRule>
  </conditionalFormatting>
  <conditionalFormatting sqref="E7">
    <cfRule type="timePeriod" dxfId="477" priority="443" timePeriod="tomorrow">
      <formula>FLOOR(E7,1)=TODAY()+1</formula>
    </cfRule>
  </conditionalFormatting>
  <conditionalFormatting sqref="D7">
    <cfRule type="timePeriod" dxfId="476" priority="442" timePeriod="tomorrow">
      <formula>FLOOR(D7,1)=TODAY()+1</formula>
    </cfRule>
  </conditionalFormatting>
  <conditionalFormatting sqref="E7">
    <cfRule type="timePeriod" dxfId="475" priority="441" timePeriod="tomorrow">
      <formula>FLOOR(E7,1)=TODAY()+1</formula>
    </cfRule>
  </conditionalFormatting>
  <conditionalFormatting sqref="D7">
    <cfRule type="timePeriod" dxfId="474" priority="440" timePeriod="tomorrow">
      <formula>FLOOR(D7,1)=TODAY()+1</formula>
    </cfRule>
  </conditionalFormatting>
  <conditionalFormatting sqref="E7">
    <cfRule type="timePeriod" dxfId="473" priority="439" timePeriod="tomorrow">
      <formula>FLOOR(E7,1)=TODAY()+1</formula>
    </cfRule>
  </conditionalFormatting>
  <conditionalFormatting sqref="D7">
    <cfRule type="timePeriod" dxfId="472" priority="438" timePeriod="tomorrow">
      <formula>FLOOR(D7,1)=TODAY()+1</formula>
    </cfRule>
  </conditionalFormatting>
  <conditionalFormatting sqref="E7">
    <cfRule type="timePeriod" dxfId="471" priority="437" timePeriod="tomorrow">
      <formula>FLOOR(E7,1)=TODAY()+1</formula>
    </cfRule>
  </conditionalFormatting>
  <conditionalFormatting sqref="D7">
    <cfRule type="timePeriod" dxfId="470" priority="436" timePeriod="tomorrow">
      <formula>FLOOR(D7,1)=TODAY()+1</formula>
    </cfRule>
  </conditionalFormatting>
  <conditionalFormatting sqref="E7">
    <cfRule type="timePeriod" dxfId="469" priority="435" timePeriod="tomorrow">
      <formula>FLOOR(E7,1)=TODAY()+1</formula>
    </cfRule>
  </conditionalFormatting>
  <conditionalFormatting sqref="D7">
    <cfRule type="timePeriod" dxfId="468" priority="434" timePeriod="tomorrow">
      <formula>FLOOR(D7,1)=TODAY()+1</formula>
    </cfRule>
  </conditionalFormatting>
  <conditionalFormatting sqref="E7">
    <cfRule type="timePeriod" dxfId="467" priority="433" timePeriod="tomorrow">
      <formula>FLOOR(E7,1)=TODAY()+1</formula>
    </cfRule>
  </conditionalFormatting>
  <conditionalFormatting sqref="D7">
    <cfRule type="timePeriod" dxfId="466" priority="432" timePeriod="tomorrow">
      <formula>FLOOR(D7,1)=TODAY()+1</formula>
    </cfRule>
  </conditionalFormatting>
  <conditionalFormatting sqref="E7">
    <cfRule type="timePeriod" dxfId="465" priority="431" timePeriod="tomorrow">
      <formula>FLOOR(E7,1)=TODAY()+1</formula>
    </cfRule>
  </conditionalFormatting>
  <conditionalFormatting sqref="D7">
    <cfRule type="timePeriod" dxfId="464" priority="430" timePeriod="tomorrow">
      <formula>FLOOR(D7,1)=TODAY()+1</formula>
    </cfRule>
  </conditionalFormatting>
  <conditionalFormatting sqref="E7">
    <cfRule type="timePeriod" dxfId="463" priority="429" timePeriod="tomorrow">
      <formula>FLOOR(E7,1)=TODAY()+1</formula>
    </cfRule>
  </conditionalFormatting>
  <conditionalFormatting sqref="D7">
    <cfRule type="timePeriod" dxfId="462" priority="428" timePeriod="tomorrow">
      <formula>FLOOR(D7,1)=TODAY()+1</formula>
    </cfRule>
  </conditionalFormatting>
  <conditionalFormatting sqref="E7">
    <cfRule type="timePeriod" dxfId="461" priority="427" timePeriod="tomorrow">
      <formula>FLOOR(E7,1)=TODAY()+1</formula>
    </cfRule>
  </conditionalFormatting>
  <conditionalFormatting sqref="D7">
    <cfRule type="timePeriod" dxfId="460" priority="426" timePeriod="tomorrow">
      <formula>FLOOR(D7,1)=TODAY()+1</formula>
    </cfRule>
  </conditionalFormatting>
  <conditionalFormatting sqref="E7">
    <cfRule type="timePeriod" dxfId="459" priority="425" timePeriod="tomorrow">
      <formula>FLOOR(E7,1)=TODAY()+1</formula>
    </cfRule>
  </conditionalFormatting>
  <conditionalFormatting sqref="D7">
    <cfRule type="timePeriod" dxfId="458" priority="424" timePeriod="tomorrow">
      <formula>FLOOR(D7,1)=TODAY()+1</formula>
    </cfRule>
  </conditionalFormatting>
  <conditionalFormatting sqref="E7">
    <cfRule type="timePeriod" dxfId="457" priority="423" timePeriod="tomorrow">
      <formula>FLOOR(E7,1)=TODAY()+1</formula>
    </cfRule>
  </conditionalFormatting>
  <conditionalFormatting sqref="D7">
    <cfRule type="timePeriod" dxfId="456" priority="422" timePeriod="tomorrow">
      <formula>FLOOR(D7,1)=TODAY()+1</formula>
    </cfRule>
  </conditionalFormatting>
  <conditionalFormatting sqref="E7">
    <cfRule type="timePeriod" dxfId="455" priority="421" timePeriod="tomorrow">
      <formula>FLOOR(E7,1)=TODAY()+1</formula>
    </cfRule>
  </conditionalFormatting>
  <conditionalFormatting sqref="D7">
    <cfRule type="timePeriod" dxfId="454" priority="420" timePeriod="tomorrow">
      <formula>FLOOR(D7,1)=TODAY()+1</formula>
    </cfRule>
  </conditionalFormatting>
  <conditionalFormatting sqref="E7">
    <cfRule type="timePeriod" dxfId="453" priority="419" timePeriod="tomorrow">
      <formula>FLOOR(E7,1)=TODAY()+1</formula>
    </cfRule>
  </conditionalFormatting>
  <conditionalFormatting sqref="D7">
    <cfRule type="timePeriod" dxfId="452" priority="418" timePeriod="tomorrow">
      <formula>FLOOR(D7,1)=TODAY()+1</formula>
    </cfRule>
  </conditionalFormatting>
  <conditionalFormatting sqref="E7">
    <cfRule type="timePeriod" dxfId="451" priority="417" timePeriod="tomorrow">
      <formula>FLOOR(E7,1)=TODAY()+1</formula>
    </cfRule>
  </conditionalFormatting>
  <conditionalFormatting sqref="C7:F7">
    <cfRule type="cellIs" dxfId="450" priority="413" operator="equal">
      <formula>"Transformer"</formula>
    </cfRule>
    <cfRule type="cellIs" dxfId="449" priority="414" operator="equal">
      <formula>"Fossil.Gen"</formula>
    </cfRule>
    <cfRule type="cellIs" dxfId="448" priority="415" operator="equal">
      <formula>"Hydro.Gen"</formula>
    </cfRule>
    <cfRule type="cellIs" dxfId="447" priority="416" operator="equal">
      <formula>"Nuc.Gen"</formula>
    </cfRule>
  </conditionalFormatting>
  <conditionalFormatting sqref="D7">
    <cfRule type="timePeriod" dxfId="446" priority="412" timePeriod="tomorrow">
      <formula>FLOOR(D7,1)=TODAY()+1</formula>
    </cfRule>
  </conditionalFormatting>
  <conditionalFormatting sqref="E7">
    <cfRule type="timePeriod" dxfId="445" priority="411" timePeriod="tomorrow">
      <formula>FLOOR(E7,1)=TODAY()+1</formula>
    </cfRule>
  </conditionalFormatting>
  <conditionalFormatting sqref="D7">
    <cfRule type="timePeriod" dxfId="444" priority="410" timePeriod="tomorrow">
      <formula>FLOOR(D7,1)=TODAY()+1</formula>
    </cfRule>
  </conditionalFormatting>
  <conditionalFormatting sqref="E7">
    <cfRule type="timePeriod" dxfId="443" priority="409" timePeriod="tomorrow">
      <formula>FLOOR(E7,1)=TODAY()+1</formula>
    </cfRule>
  </conditionalFormatting>
  <conditionalFormatting sqref="D7">
    <cfRule type="timePeriod" dxfId="442" priority="408" timePeriod="tomorrow">
      <formula>FLOOR(D7,1)=TODAY()+1</formula>
    </cfRule>
  </conditionalFormatting>
  <conditionalFormatting sqref="E7">
    <cfRule type="timePeriod" dxfId="441" priority="407" timePeriod="tomorrow">
      <formula>FLOOR(E7,1)=TODAY()+1</formula>
    </cfRule>
  </conditionalFormatting>
  <conditionalFormatting sqref="D7">
    <cfRule type="timePeriod" dxfId="440" priority="406" timePeriod="tomorrow">
      <formula>FLOOR(D7,1)=TODAY()+1</formula>
    </cfRule>
  </conditionalFormatting>
  <conditionalFormatting sqref="E7">
    <cfRule type="timePeriod" dxfId="439" priority="405" timePeriod="tomorrow">
      <formula>FLOOR(E7,1)=TODAY()+1</formula>
    </cfRule>
  </conditionalFormatting>
  <conditionalFormatting sqref="D7">
    <cfRule type="timePeriod" dxfId="438" priority="404" timePeriod="tomorrow">
      <formula>FLOOR(D7,1)=TODAY()+1</formula>
    </cfRule>
  </conditionalFormatting>
  <conditionalFormatting sqref="E7">
    <cfRule type="timePeriod" dxfId="437" priority="403" timePeriod="tomorrow">
      <formula>FLOOR(E7,1)=TODAY()+1</formula>
    </cfRule>
  </conditionalFormatting>
  <conditionalFormatting sqref="D7">
    <cfRule type="timePeriod" dxfId="436" priority="402" timePeriod="tomorrow">
      <formula>FLOOR(D7,1)=TODAY()+1</formula>
    </cfRule>
  </conditionalFormatting>
  <conditionalFormatting sqref="E7">
    <cfRule type="timePeriod" dxfId="435" priority="401" timePeriod="tomorrow">
      <formula>FLOOR(E7,1)=TODAY()+1</formula>
    </cfRule>
  </conditionalFormatting>
  <conditionalFormatting sqref="D7">
    <cfRule type="timePeriod" dxfId="434" priority="400" timePeriod="tomorrow">
      <formula>FLOOR(D7,1)=TODAY()+1</formula>
    </cfRule>
  </conditionalFormatting>
  <conditionalFormatting sqref="E7">
    <cfRule type="timePeriod" dxfId="433" priority="399" timePeriod="tomorrow">
      <formula>FLOOR(E7,1)=TODAY()+1</formula>
    </cfRule>
  </conditionalFormatting>
  <conditionalFormatting sqref="D7">
    <cfRule type="timePeriod" dxfId="432" priority="398" timePeriod="tomorrow">
      <formula>FLOOR(D7,1)=TODAY()+1</formula>
    </cfRule>
  </conditionalFormatting>
  <conditionalFormatting sqref="E7">
    <cfRule type="timePeriod" dxfId="431" priority="397" timePeriod="tomorrow">
      <formula>FLOOR(E7,1)=TODAY()+1</formula>
    </cfRule>
  </conditionalFormatting>
  <conditionalFormatting sqref="D7">
    <cfRule type="timePeriod" dxfId="430" priority="396" timePeriod="tomorrow">
      <formula>FLOOR(D7,1)=TODAY()+1</formula>
    </cfRule>
  </conditionalFormatting>
  <conditionalFormatting sqref="E7">
    <cfRule type="timePeriod" dxfId="429" priority="395" timePeriod="tomorrow">
      <formula>FLOOR(E7,1)=TODAY()+1</formula>
    </cfRule>
  </conditionalFormatting>
  <conditionalFormatting sqref="D7">
    <cfRule type="timePeriod" dxfId="428" priority="394" timePeriod="tomorrow">
      <formula>FLOOR(D7,1)=TODAY()+1</formula>
    </cfRule>
  </conditionalFormatting>
  <conditionalFormatting sqref="E7">
    <cfRule type="timePeriod" dxfId="427" priority="393" timePeriod="tomorrow">
      <formula>FLOOR(E7,1)=TODAY()+1</formula>
    </cfRule>
  </conditionalFormatting>
  <conditionalFormatting sqref="D7">
    <cfRule type="timePeriod" dxfId="426" priority="392" timePeriod="tomorrow">
      <formula>FLOOR(D7,1)=TODAY()+1</formula>
    </cfRule>
  </conditionalFormatting>
  <conditionalFormatting sqref="E7">
    <cfRule type="timePeriod" dxfId="425" priority="391" timePeriod="tomorrow">
      <formula>FLOOR(E7,1)=TODAY()+1</formula>
    </cfRule>
  </conditionalFormatting>
  <conditionalFormatting sqref="D7">
    <cfRule type="timePeriod" dxfId="424" priority="390" timePeriod="tomorrow">
      <formula>FLOOR(D7,1)=TODAY()+1</formula>
    </cfRule>
  </conditionalFormatting>
  <conditionalFormatting sqref="E7">
    <cfRule type="timePeriod" dxfId="423" priority="389" timePeriod="tomorrow">
      <formula>FLOOR(E7,1)=TODAY()+1</formula>
    </cfRule>
  </conditionalFormatting>
  <conditionalFormatting sqref="D7">
    <cfRule type="timePeriod" dxfId="422" priority="388" timePeriod="tomorrow">
      <formula>FLOOR(D7,1)=TODAY()+1</formula>
    </cfRule>
  </conditionalFormatting>
  <conditionalFormatting sqref="E7">
    <cfRule type="timePeriod" dxfId="421" priority="387" timePeriod="tomorrow">
      <formula>FLOOR(E7,1)=TODAY()+1</formula>
    </cfRule>
  </conditionalFormatting>
  <conditionalFormatting sqref="D7">
    <cfRule type="timePeriod" dxfId="420" priority="386" timePeriod="tomorrow">
      <formula>FLOOR(D7,1)=TODAY()+1</formula>
    </cfRule>
  </conditionalFormatting>
  <conditionalFormatting sqref="E7">
    <cfRule type="timePeriod" dxfId="419" priority="385" timePeriod="tomorrow">
      <formula>FLOOR(E7,1)=TODAY()+1</formula>
    </cfRule>
  </conditionalFormatting>
  <conditionalFormatting sqref="D7">
    <cfRule type="timePeriod" dxfId="418" priority="384" timePeriod="tomorrow">
      <formula>FLOOR(D7,1)=TODAY()+1</formula>
    </cfRule>
  </conditionalFormatting>
  <conditionalFormatting sqref="E7">
    <cfRule type="timePeriod" dxfId="417" priority="383" timePeriod="tomorrow">
      <formula>FLOOR(E7,1)=TODAY()+1</formula>
    </cfRule>
  </conditionalFormatting>
  <conditionalFormatting sqref="D7">
    <cfRule type="timePeriod" dxfId="416" priority="382" timePeriod="tomorrow">
      <formula>FLOOR(D7,1)=TODAY()+1</formula>
    </cfRule>
  </conditionalFormatting>
  <conditionalFormatting sqref="E7">
    <cfRule type="timePeriod" dxfId="415" priority="381" timePeriod="tomorrow">
      <formula>FLOOR(E7,1)=TODAY()+1</formula>
    </cfRule>
  </conditionalFormatting>
  <conditionalFormatting sqref="D7">
    <cfRule type="timePeriod" dxfId="414" priority="380" timePeriod="tomorrow">
      <formula>FLOOR(D7,1)=TODAY()+1</formula>
    </cfRule>
  </conditionalFormatting>
  <conditionalFormatting sqref="E7">
    <cfRule type="timePeriod" dxfId="413" priority="379" timePeriod="tomorrow">
      <formula>FLOOR(E7,1)=TODAY()+1</formula>
    </cfRule>
  </conditionalFormatting>
  <conditionalFormatting sqref="D7">
    <cfRule type="timePeriod" dxfId="412" priority="378" timePeriod="tomorrow">
      <formula>FLOOR(D7,1)=TODAY()+1</formula>
    </cfRule>
  </conditionalFormatting>
  <conditionalFormatting sqref="E7">
    <cfRule type="timePeriod" dxfId="411" priority="377" timePeriod="tomorrow">
      <formula>FLOOR(E7,1)=TODAY()+1</formula>
    </cfRule>
  </conditionalFormatting>
  <conditionalFormatting sqref="D7">
    <cfRule type="timePeriod" dxfId="410" priority="376" timePeriod="tomorrow">
      <formula>FLOOR(D7,1)=TODAY()+1</formula>
    </cfRule>
  </conditionalFormatting>
  <conditionalFormatting sqref="E7">
    <cfRule type="timePeriod" dxfId="409" priority="375" timePeriod="tomorrow">
      <formula>FLOOR(E7,1)=TODAY()+1</formula>
    </cfRule>
  </conditionalFormatting>
  <conditionalFormatting sqref="D7">
    <cfRule type="timePeriod" dxfId="408" priority="374" timePeriod="tomorrow">
      <formula>FLOOR(D7,1)=TODAY()+1</formula>
    </cfRule>
  </conditionalFormatting>
  <conditionalFormatting sqref="E7">
    <cfRule type="timePeriod" dxfId="407" priority="373" timePeriod="tomorrow">
      <formula>FLOOR(E7,1)=TODAY()+1</formula>
    </cfRule>
  </conditionalFormatting>
  <conditionalFormatting sqref="D7">
    <cfRule type="timePeriod" dxfId="406" priority="372" timePeriod="tomorrow">
      <formula>FLOOR(D7,1)=TODAY()+1</formula>
    </cfRule>
  </conditionalFormatting>
  <conditionalFormatting sqref="E7">
    <cfRule type="timePeriod" dxfId="405" priority="371" timePeriod="tomorrow">
      <formula>FLOOR(E7,1)=TODAY()+1</formula>
    </cfRule>
  </conditionalFormatting>
  <conditionalFormatting sqref="D7">
    <cfRule type="timePeriod" dxfId="404" priority="370" timePeriod="tomorrow">
      <formula>FLOOR(D7,1)=TODAY()+1</formula>
    </cfRule>
  </conditionalFormatting>
  <conditionalFormatting sqref="E7">
    <cfRule type="timePeriod" dxfId="403" priority="369" timePeriod="tomorrow">
      <formula>FLOOR(E7,1)=TODAY()+1</formula>
    </cfRule>
  </conditionalFormatting>
  <conditionalFormatting sqref="D7">
    <cfRule type="timePeriod" dxfId="402" priority="368" timePeriod="tomorrow">
      <formula>FLOOR(D7,1)=TODAY()+1</formula>
    </cfRule>
  </conditionalFormatting>
  <conditionalFormatting sqref="E7">
    <cfRule type="timePeriod" dxfId="401" priority="367" timePeriod="tomorrow">
      <formula>FLOOR(E7,1)=TODAY()+1</formula>
    </cfRule>
  </conditionalFormatting>
  <conditionalFormatting sqref="D7">
    <cfRule type="timePeriod" dxfId="400" priority="366" timePeriod="tomorrow">
      <formula>FLOOR(D7,1)=TODAY()+1</formula>
    </cfRule>
  </conditionalFormatting>
  <conditionalFormatting sqref="E7">
    <cfRule type="timePeriod" dxfId="399" priority="365" timePeriod="tomorrow">
      <formula>FLOOR(E7,1)=TODAY()+1</formula>
    </cfRule>
  </conditionalFormatting>
  <conditionalFormatting sqref="D7">
    <cfRule type="timePeriod" dxfId="398" priority="364" timePeriod="tomorrow">
      <formula>FLOOR(D7,1)=TODAY()+1</formula>
    </cfRule>
  </conditionalFormatting>
  <conditionalFormatting sqref="E7">
    <cfRule type="timePeriod" dxfId="397" priority="363" timePeriod="tomorrow">
      <formula>FLOOR(E7,1)=TODAY()+1</formula>
    </cfRule>
  </conditionalFormatting>
  <conditionalFormatting sqref="D7">
    <cfRule type="timePeriod" dxfId="396" priority="362" timePeriod="tomorrow">
      <formula>FLOOR(D7,1)=TODAY()+1</formula>
    </cfRule>
  </conditionalFormatting>
  <conditionalFormatting sqref="E7">
    <cfRule type="timePeriod" dxfId="395" priority="361" timePeriod="tomorrow">
      <formula>FLOOR(E7,1)=TODAY()+1</formula>
    </cfRule>
  </conditionalFormatting>
  <conditionalFormatting sqref="D7">
    <cfRule type="timePeriod" dxfId="394" priority="360" timePeriod="tomorrow">
      <formula>FLOOR(D7,1)=TODAY()+1</formula>
    </cfRule>
  </conditionalFormatting>
  <conditionalFormatting sqref="E7">
    <cfRule type="timePeriod" dxfId="393" priority="359" timePeriod="tomorrow">
      <formula>FLOOR(E7,1)=TODAY()+1</formula>
    </cfRule>
  </conditionalFormatting>
  <conditionalFormatting sqref="D7">
    <cfRule type="timePeriod" dxfId="392" priority="358" timePeriod="tomorrow">
      <formula>FLOOR(D7,1)=TODAY()+1</formula>
    </cfRule>
  </conditionalFormatting>
  <conditionalFormatting sqref="E7">
    <cfRule type="timePeriod" dxfId="391" priority="357" timePeriod="tomorrow">
      <formula>FLOOR(E7,1)=TODAY()+1</formula>
    </cfRule>
  </conditionalFormatting>
  <conditionalFormatting sqref="D7">
    <cfRule type="timePeriod" dxfId="390" priority="356" timePeriod="tomorrow">
      <formula>FLOOR(D7,1)=TODAY()+1</formula>
    </cfRule>
  </conditionalFormatting>
  <conditionalFormatting sqref="E7">
    <cfRule type="timePeriod" dxfId="389" priority="355" timePeriod="tomorrow">
      <formula>FLOOR(E7,1)=TODAY()+1</formula>
    </cfRule>
  </conditionalFormatting>
  <conditionalFormatting sqref="D7">
    <cfRule type="timePeriod" dxfId="388" priority="354" timePeriod="tomorrow">
      <formula>FLOOR(D7,1)=TODAY()+1</formula>
    </cfRule>
  </conditionalFormatting>
  <conditionalFormatting sqref="E7">
    <cfRule type="timePeriod" dxfId="387" priority="353" timePeriod="tomorrow">
      <formula>FLOOR(E7,1)=TODAY()+1</formula>
    </cfRule>
  </conditionalFormatting>
  <conditionalFormatting sqref="D7">
    <cfRule type="timePeriod" dxfId="386" priority="352" timePeriod="tomorrow">
      <formula>FLOOR(D7,1)=TODAY()+1</formula>
    </cfRule>
  </conditionalFormatting>
  <conditionalFormatting sqref="E7">
    <cfRule type="timePeriod" dxfId="385" priority="351" timePeriod="tomorrow">
      <formula>FLOOR(E7,1)=TODAY()+1</formula>
    </cfRule>
  </conditionalFormatting>
  <conditionalFormatting sqref="D7">
    <cfRule type="timePeriod" dxfId="384" priority="350" timePeriod="tomorrow">
      <formula>FLOOR(D7,1)=TODAY()+1</formula>
    </cfRule>
  </conditionalFormatting>
  <conditionalFormatting sqref="E7">
    <cfRule type="timePeriod" dxfId="383" priority="349" timePeriod="tomorrow">
      <formula>FLOOR(E7,1)=TODAY()+1</formula>
    </cfRule>
  </conditionalFormatting>
  <conditionalFormatting sqref="D7">
    <cfRule type="timePeriod" dxfId="382" priority="348" timePeriod="tomorrow">
      <formula>FLOOR(D7,1)=TODAY()+1</formula>
    </cfRule>
  </conditionalFormatting>
  <conditionalFormatting sqref="E7">
    <cfRule type="timePeriod" dxfId="381" priority="347" timePeriod="tomorrow">
      <formula>FLOOR(E7,1)=TODAY()+1</formula>
    </cfRule>
  </conditionalFormatting>
  <conditionalFormatting sqref="D7">
    <cfRule type="timePeriod" dxfId="380" priority="346" timePeriod="tomorrow">
      <formula>FLOOR(D7,1)=TODAY()+1</formula>
    </cfRule>
  </conditionalFormatting>
  <conditionalFormatting sqref="E7">
    <cfRule type="timePeriod" dxfId="379" priority="345" timePeriod="tomorrow">
      <formula>FLOOR(E7,1)=TODAY()+1</formula>
    </cfRule>
  </conditionalFormatting>
  <conditionalFormatting sqref="D7">
    <cfRule type="timePeriod" dxfId="378" priority="344" timePeriod="tomorrow">
      <formula>FLOOR(D7,1)=TODAY()+1</formula>
    </cfRule>
  </conditionalFormatting>
  <conditionalFormatting sqref="E7">
    <cfRule type="timePeriod" dxfId="377" priority="343" timePeriod="tomorrow">
      <formula>FLOOR(E7,1)=TODAY()+1</formula>
    </cfRule>
  </conditionalFormatting>
  <conditionalFormatting sqref="D7">
    <cfRule type="timePeriod" dxfId="376" priority="342" timePeriod="tomorrow">
      <formula>FLOOR(D7,1)=TODAY()+1</formula>
    </cfRule>
  </conditionalFormatting>
  <conditionalFormatting sqref="E7">
    <cfRule type="timePeriod" dxfId="375" priority="341" timePeriod="tomorrow">
      <formula>FLOOR(E7,1)=TODAY()+1</formula>
    </cfRule>
  </conditionalFormatting>
  <conditionalFormatting sqref="D7">
    <cfRule type="timePeriod" dxfId="374" priority="340" timePeriod="tomorrow">
      <formula>FLOOR(D7,1)=TODAY()+1</formula>
    </cfRule>
  </conditionalFormatting>
  <conditionalFormatting sqref="E7">
    <cfRule type="timePeriod" dxfId="373" priority="339" timePeriod="tomorrow">
      <formula>FLOOR(E7,1)=TODAY()+1</formula>
    </cfRule>
  </conditionalFormatting>
  <conditionalFormatting sqref="D7">
    <cfRule type="timePeriod" dxfId="372" priority="338" timePeriod="tomorrow">
      <formula>FLOOR(D7,1)=TODAY()+1</formula>
    </cfRule>
  </conditionalFormatting>
  <conditionalFormatting sqref="E7">
    <cfRule type="timePeriod" dxfId="371" priority="337" timePeriod="tomorrow">
      <formula>FLOOR(E7,1)=TODAY()+1</formula>
    </cfRule>
  </conditionalFormatting>
  <conditionalFormatting sqref="D7">
    <cfRule type="timePeriod" dxfId="370" priority="336" timePeriod="tomorrow">
      <formula>FLOOR(D7,1)=TODAY()+1</formula>
    </cfRule>
  </conditionalFormatting>
  <conditionalFormatting sqref="E7">
    <cfRule type="timePeriod" dxfId="369" priority="335" timePeriod="tomorrow">
      <formula>FLOOR(E7,1)=TODAY()+1</formula>
    </cfRule>
  </conditionalFormatting>
  <conditionalFormatting sqref="D7">
    <cfRule type="timePeriod" dxfId="368" priority="334" timePeriod="tomorrow">
      <formula>FLOOR(D7,1)=TODAY()+1</formula>
    </cfRule>
  </conditionalFormatting>
  <conditionalFormatting sqref="E7">
    <cfRule type="timePeriod" dxfId="367" priority="333" timePeriod="tomorrow">
      <formula>FLOOR(E7,1)=TODAY()+1</formula>
    </cfRule>
  </conditionalFormatting>
  <conditionalFormatting sqref="D7">
    <cfRule type="timePeriod" dxfId="366" priority="332" timePeriod="tomorrow">
      <formula>FLOOR(D7,1)=TODAY()+1</formula>
    </cfRule>
  </conditionalFormatting>
  <conditionalFormatting sqref="E7">
    <cfRule type="timePeriod" dxfId="365" priority="331" timePeriod="tomorrow">
      <formula>FLOOR(E7,1)=TODAY()+1</formula>
    </cfRule>
  </conditionalFormatting>
  <conditionalFormatting sqref="D7">
    <cfRule type="timePeriod" dxfId="364" priority="330" timePeriod="tomorrow">
      <formula>FLOOR(D7,1)=TODAY()+1</formula>
    </cfRule>
  </conditionalFormatting>
  <conditionalFormatting sqref="E7">
    <cfRule type="timePeriod" dxfId="363" priority="329" timePeriod="tomorrow">
      <formula>FLOOR(E7,1)=TODAY()+1</formula>
    </cfRule>
  </conditionalFormatting>
  <conditionalFormatting sqref="D7">
    <cfRule type="timePeriod" dxfId="362" priority="328" timePeriod="tomorrow">
      <formula>FLOOR(D7,1)=TODAY()+1</formula>
    </cfRule>
  </conditionalFormatting>
  <conditionalFormatting sqref="E7">
    <cfRule type="timePeriod" dxfId="361" priority="327" timePeriod="tomorrow">
      <formula>FLOOR(E7,1)=TODAY()+1</formula>
    </cfRule>
  </conditionalFormatting>
  <conditionalFormatting sqref="D7">
    <cfRule type="timePeriod" dxfId="360" priority="326" timePeriod="tomorrow">
      <formula>FLOOR(D7,1)=TODAY()+1</formula>
    </cfRule>
  </conditionalFormatting>
  <conditionalFormatting sqref="E7">
    <cfRule type="timePeriod" dxfId="359" priority="325" timePeriod="tomorrow">
      <formula>FLOOR(E7,1)=TODAY()+1</formula>
    </cfRule>
  </conditionalFormatting>
  <conditionalFormatting sqref="D8">
    <cfRule type="timePeriod" dxfId="358" priority="324" timePeriod="tomorrow">
      <formula>FLOOR(D8,1)=TODAY()+1</formula>
    </cfRule>
  </conditionalFormatting>
  <conditionalFormatting sqref="E8">
    <cfRule type="timePeriod" dxfId="357" priority="323" timePeriod="tomorrow">
      <formula>FLOOR(E8,1)=TODAY()+1</formula>
    </cfRule>
  </conditionalFormatting>
  <conditionalFormatting sqref="D8">
    <cfRule type="timePeriod" dxfId="356" priority="322" timePeriod="tomorrow">
      <formula>FLOOR(D8,1)=TODAY()+1</formula>
    </cfRule>
  </conditionalFormatting>
  <conditionalFormatting sqref="E8">
    <cfRule type="timePeriod" dxfId="355" priority="321" timePeriod="tomorrow">
      <formula>FLOOR(E8,1)=TODAY()+1</formula>
    </cfRule>
  </conditionalFormatting>
  <conditionalFormatting sqref="D8">
    <cfRule type="timePeriod" dxfId="354" priority="320" timePeriod="tomorrow">
      <formula>FLOOR(D8,1)=TODAY()+1</formula>
    </cfRule>
  </conditionalFormatting>
  <conditionalFormatting sqref="E8">
    <cfRule type="timePeriod" dxfId="353" priority="319" timePeriod="tomorrow">
      <formula>FLOOR(E8,1)=TODAY()+1</formula>
    </cfRule>
  </conditionalFormatting>
  <conditionalFormatting sqref="D8">
    <cfRule type="timePeriod" dxfId="352" priority="318" timePeriod="tomorrow">
      <formula>FLOOR(D8,1)=TODAY()+1</formula>
    </cfRule>
  </conditionalFormatting>
  <conditionalFormatting sqref="E8">
    <cfRule type="timePeriod" dxfId="351" priority="317" timePeriod="tomorrow">
      <formula>FLOOR(E8,1)=TODAY()+1</formula>
    </cfRule>
  </conditionalFormatting>
  <conditionalFormatting sqref="D8">
    <cfRule type="timePeriod" dxfId="350" priority="316" timePeriod="tomorrow">
      <formula>FLOOR(D8,1)=TODAY()+1</formula>
    </cfRule>
  </conditionalFormatting>
  <conditionalFormatting sqref="E8">
    <cfRule type="timePeriod" dxfId="349" priority="315" timePeriod="tomorrow">
      <formula>FLOOR(E8,1)=TODAY()+1</formula>
    </cfRule>
  </conditionalFormatting>
  <conditionalFormatting sqref="D8">
    <cfRule type="timePeriod" dxfId="348" priority="314" timePeriod="tomorrow">
      <formula>FLOOR(D8,1)=TODAY()+1</formula>
    </cfRule>
  </conditionalFormatting>
  <conditionalFormatting sqref="E8">
    <cfRule type="timePeriod" dxfId="347" priority="313" timePeriod="tomorrow">
      <formula>FLOOR(E8,1)=TODAY()+1</formula>
    </cfRule>
  </conditionalFormatting>
  <conditionalFormatting sqref="D8">
    <cfRule type="timePeriod" dxfId="346" priority="312" timePeriod="tomorrow">
      <formula>FLOOR(D8,1)=TODAY()+1</formula>
    </cfRule>
  </conditionalFormatting>
  <conditionalFormatting sqref="E8">
    <cfRule type="timePeriod" dxfId="345" priority="311" timePeriod="tomorrow">
      <formula>FLOOR(E8,1)=TODAY()+1</formula>
    </cfRule>
  </conditionalFormatting>
  <conditionalFormatting sqref="D8">
    <cfRule type="timePeriod" dxfId="344" priority="310" timePeriod="tomorrow">
      <formula>FLOOR(D8,1)=TODAY()+1</formula>
    </cfRule>
  </conditionalFormatting>
  <conditionalFormatting sqref="E8">
    <cfRule type="timePeriod" dxfId="343" priority="309" timePeriod="tomorrow">
      <formula>FLOOR(E8,1)=TODAY()+1</formula>
    </cfRule>
  </conditionalFormatting>
  <conditionalFormatting sqref="D8">
    <cfRule type="timePeriod" dxfId="342" priority="308" timePeriod="tomorrow">
      <formula>FLOOR(D8,1)=TODAY()+1</formula>
    </cfRule>
  </conditionalFormatting>
  <conditionalFormatting sqref="E8">
    <cfRule type="timePeriod" dxfId="341" priority="307" timePeriod="tomorrow">
      <formula>FLOOR(E8,1)=TODAY()+1</formula>
    </cfRule>
  </conditionalFormatting>
  <conditionalFormatting sqref="D8">
    <cfRule type="timePeriod" dxfId="340" priority="306" timePeriod="tomorrow">
      <formula>FLOOR(D8,1)=TODAY()+1</formula>
    </cfRule>
  </conditionalFormatting>
  <conditionalFormatting sqref="E8">
    <cfRule type="timePeriod" dxfId="339" priority="305" timePeriod="tomorrow">
      <formula>FLOOR(E8,1)=TODAY()+1</formula>
    </cfRule>
  </conditionalFormatting>
  <conditionalFormatting sqref="D8">
    <cfRule type="timePeriod" dxfId="338" priority="304" timePeriod="tomorrow">
      <formula>FLOOR(D8,1)=TODAY()+1</formula>
    </cfRule>
  </conditionalFormatting>
  <conditionalFormatting sqref="E8">
    <cfRule type="timePeriod" dxfId="337" priority="303" timePeriod="tomorrow">
      <formula>FLOOR(E8,1)=TODAY()+1</formula>
    </cfRule>
  </conditionalFormatting>
  <conditionalFormatting sqref="D8">
    <cfRule type="timePeriod" dxfId="336" priority="302" timePeriod="tomorrow">
      <formula>FLOOR(D8,1)=TODAY()+1</formula>
    </cfRule>
  </conditionalFormatting>
  <conditionalFormatting sqref="E8">
    <cfRule type="timePeriod" dxfId="335" priority="301" timePeriod="tomorrow">
      <formula>FLOOR(E8,1)=TODAY()+1</formula>
    </cfRule>
  </conditionalFormatting>
  <conditionalFormatting sqref="D8">
    <cfRule type="timePeriod" dxfId="334" priority="300" timePeriod="tomorrow">
      <formula>FLOOR(D8,1)=TODAY()+1</formula>
    </cfRule>
  </conditionalFormatting>
  <conditionalFormatting sqref="E8">
    <cfRule type="timePeriod" dxfId="333" priority="299" timePeriod="tomorrow">
      <formula>FLOOR(E8,1)=TODAY()+1</formula>
    </cfRule>
  </conditionalFormatting>
  <conditionalFormatting sqref="D8">
    <cfRule type="timePeriod" dxfId="332" priority="298" timePeriod="tomorrow">
      <formula>FLOOR(D8,1)=TODAY()+1</formula>
    </cfRule>
  </conditionalFormatting>
  <conditionalFormatting sqref="E8">
    <cfRule type="timePeriod" dxfId="331" priority="297" timePeriod="tomorrow">
      <formula>FLOOR(E8,1)=TODAY()+1</formula>
    </cfRule>
  </conditionalFormatting>
  <conditionalFormatting sqref="D8">
    <cfRule type="timePeriod" dxfId="330" priority="296" timePeriod="tomorrow">
      <formula>FLOOR(D8,1)=TODAY()+1</formula>
    </cfRule>
  </conditionalFormatting>
  <conditionalFormatting sqref="E8">
    <cfRule type="timePeriod" dxfId="329" priority="295" timePeriod="tomorrow">
      <formula>FLOOR(E8,1)=TODAY()+1</formula>
    </cfRule>
  </conditionalFormatting>
  <conditionalFormatting sqref="D8">
    <cfRule type="timePeriod" dxfId="328" priority="294" timePeriod="tomorrow">
      <formula>FLOOR(D8,1)=TODAY()+1</formula>
    </cfRule>
  </conditionalFormatting>
  <conditionalFormatting sqref="E8">
    <cfRule type="timePeriod" dxfId="327" priority="293" timePeriod="tomorrow">
      <formula>FLOOR(E8,1)=TODAY()+1</formula>
    </cfRule>
  </conditionalFormatting>
  <conditionalFormatting sqref="D8">
    <cfRule type="timePeriod" dxfId="326" priority="292" timePeriod="tomorrow">
      <formula>FLOOR(D8,1)=TODAY()+1</formula>
    </cfRule>
  </conditionalFormatting>
  <conditionalFormatting sqref="E8">
    <cfRule type="timePeriod" dxfId="325" priority="291" timePeriod="tomorrow">
      <formula>FLOOR(E8,1)=TODAY()+1</formula>
    </cfRule>
  </conditionalFormatting>
  <conditionalFormatting sqref="D8">
    <cfRule type="timePeriod" dxfId="324" priority="290" timePeriod="tomorrow">
      <formula>FLOOR(D8,1)=TODAY()+1</formula>
    </cfRule>
  </conditionalFormatting>
  <conditionalFormatting sqref="E8">
    <cfRule type="timePeriod" dxfId="323" priority="289" timePeriod="tomorrow">
      <formula>FLOOR(E8,1)=TODAY()+1</formula>
    </cfRule>
  </conditionalFormatting>
  <conditionalFormatting sqref="D8">
    <cfRule type="timePeriod" dxfId="322" priority="288" timePeriod="tomorrow">
      <formula>FLOOR(D8,1)=TODAY()+1</formula>
    </cfRule>
  </conditionalFormatting>
  <conditionalFormatting sqref="E8">
    <cfRule type="timePeriod" dxfId="321" priority="287" timePeriod="tomorrow">
      <formula>FLOOR(E8,1)=TODAY()+1</formula>
    </cfRule>
  </conditionalFormatting>
  <conditionalFormatting sqref="D8">
    <cfRule type="timePeriod" dxfId="320" priority="286" timePeriod="tomorrow">
      <formula>FLOOR(D8,1)=TODAY()+1</formula>
    </cfRule>
  </conditionalFormatting>
  <conditionalFormatting sqref="E8">
    <cfRule type="timePeriod" dxfId="319" priority="285" timePeriod="tomorrow">
      <formula>FLOOR(E8,1)=TODAY()+1</formula>
    </cfRule>
  </conditionalFormatting>
  <conditionalFormatting sqref="D8">
    <cfRule type="timePeriod" dxfId="318" priority="284" timePeriod="tomorrow">
      <formula>FLOOR(D8,1)=TODAY()+1</formula>
    </cfRule>
  </conditionalFormatting>
  <conditionalFormatting sqref="E8">
    <cfRule type="timePeriod" dxfId="317" priority="283" timePeriod="tomorrow">
      <formula>FLOOR(E8,1)=TODAY()+1</formula>
    </cfRule>
  </conditionalFormatting>
  <conditionalFormatting sqref="D8">
    <cfRule type="timePeriod" dxfId="316" priority="282" timePeriod="tomorrow">
      <formula>FLOOR(D8,1)=TODAY()+1</formula>
    </cfRule>
  </conditionalFormatting>
  <conditionalFormatting sqref="E8">
    <cfRule type="timePeriod" dxfId="315" priority="281" timePeriod="tomorrow">
      <formula>FLOOR(E8,1)=TODAY()+1</formula>
    </cfRule>
  </conditionalFormatting>
  <conditionalFormatting sqref="D8">
    <cfRule type="timePeriod" dxfId="314" priority="280" timePeriod="tomorrow">
      <formula>FLOOR(D8,1)=TODAY()+1</formula>
    </cfRule>
  </conditionalFormatting>
  <conditionalFormatting sqref="E8">
    <cfRule type="timePeriod" dxfId="313" priority="279" timePeriod="tomorrow">
      <formula>FLOOR(E8,1)=TODAY()+1</formula>
    </cfRule>
  </conditionalFormatting>
  <conditionalFormatting sqref="D8">
    <cfRule type="timePeriod" dxfId="312" priority="278" timePeriod="tomorrow">
      <formula>FLOOR(D8,1)=TODAY()+1</formula>
    </cfRule>
  </conditionalFormatting>
  <conditionalFormatting sqref="E8">
    <cfRule type="timePeriod" dxfId="311" priority="277" timePeriod="tomorrow">
      <formula>FLOOR(E8,1)=TODAY()+1</formula>
    </cfRule>
  </conditionalFormatting>
  <conditionalFormatting sqref="D8">
    <cfRule type="timePeriod" dxfId="310" priority="276" timePeriod="tomorrow">
      <formula>FLOOR(D8,1)=TODAY()+1</formula>
    </cfRule>
  </conditionalFormatting>
  <conditionalFormatting sqref="E8">
    <cfRule type="timePeriod" dxfId="309" priority="275" timePeriod="tomorrow">
      <formula>FLOOR(E8,1)=TODAY()+1</formula>
    </cfRule>
  </conditionalFormatting>
  <conditionalFormatting sqref="D8">
    <cfRule type="timePeriod" dxfId="308" priority="274" timePeriod="tomorrow">
      <formula>FLOOR(D8,1)=TODAY()+1</formula>
    </cfRule>
  </conditionalFormatting>
  <conditionalFormatting sqref="E8">
    <cfRule type="timePeriod" dxfId="307" priority="273" timePeriod="tomorrow">
      <formula>FLOOR(E8,1)=TODAY()+1</formula>
    </cfRule>
  </conditionalFormatting>
  <conditionalFormatting sqref="D8">
    <cfRule type="timePeriod" dxfId="306" priority="272" timePeriod="tomorrow">
      <formula>FLOOR(D8,1)=TODAY()+1</formula>
    </cfRule>
  </conditionalFormatting>
  <conditionalFormatting sqref="E8">
    <cfRule type="timePeriod" dxfId="305" priority="271" timePeriod="tomorrow">
      <formula>FLOOR(E8,1)=TODAY()+1</formula>
    </cfRule>
  </conditionalFormatting>
  <conditionalFormatting sqref="D8">
    <cfRule type="timePeriod" dxfId="304" priority="270" timePeriod="tomorrow">
      <formula>FLOOR(D8,1)=TODAY()+1</formula>
    </cfRule>
  </conditionalFormatting>
  <conditionalFormatting sqref="E8">
    <cfRule type="timePeriod" dxfId="303" priority="269" timePeriod="tomorrow">
      <formula>FLOOR(E8,1)=TODAY()+1</formula>
    </cfRule>
  </conditionalFormatting>
  <conditionalFormatting sqref="D8">
    <cfRule type="timePeriod" dxfId="302" priority="268" timePeriod="tomorrow">
      <formula>FLOOR(D8,1)=TODAY()+1</formula>
    </cfRule>
  </conditionalFormatting>
  <conditionalFormatting sqref="E8">
    <cfRule type="timePeriod" dxfId="301" priority="267" timePeriod="tomorrow">
      <formula>FLOOR(E8,1)=TODAY()+1</formula>
    </cfRule>
  </conditionalFormatting>
  <conditionalFormatting sqref="D8">
    <cfRule type="timePeriod" dxfId="300" priority="266" timePeriod="tomorrow">
      <formula>FLOOR(D8,1)=TODAY()+1</formula>
    </cfRule>
  </conditionalFormatting>
  <conditionalFormatting sqref="E8">
    <cfRule type="timePeriod" dxfId="299" priority="265" timePeriod="tomorrow">
      <formula>FLOOR(E8,1)=TODAY()+1</formula>
    </cfRule>
  </conditionalFormatting>
  <conditionalFormatting sqref="D8">
    <cfRule type="timePeriod" dxfId="298" priority="264" timePeriod="tomorrow">
      <formula>FLOOR(D8,1)=TODAY()+1</formula>
    </cfRule>
  </conditionalFormatting>
  <conditionalFormatting sqref="E8">
    <cfRule type="timePeriod" dxfId="297" priority="263" timePeriod="tomorrow">
      <formula>FLOOR(E8,1)=TODAY()+1</formula>
    </cfRule>
  </conditionalFormatting>
  <conditionalFormatting sqref="D8">
    <cfRule type="timePeriod" dxfId="296" priority="262" timePeriod="tomorrow">
      <formula>FLOOR(D8,1)=TODAY()+1</formula>
    </cfRule>
  </conditionalFormatting>
  <conditionalFormatting sqref="E8">
    <cfRule type="timePeriod" dxfId="295" priority="261" timePeriod="tomorrow">
      <formula>FLOOR(E8,1)=TODAY()+1</formula>
    </cfRule>
  </conditionalFormatting>
  <conditionalFormatting sqref="D8">
    <cfRule type="timePeriod" dxfId="294" priority="260" timePeriod="tomorrow">
      <formula>FLOOR(D8,1)=TODAY()+1</formula>
    </cfRule>
  </conditionalFormatting>
  <conditionalFormatting sqref="E8">
    <cfRule type="timePeriod" dxfId="293" priority="259" timePeriod="tomorrow">
      <formula>FLOOR(E8,1)=TODAY()+1</formula>
    </cfRule>
  </conditionalFormatting>
  <conditionalFormatting sqref="D8">
    <cfRule type="timePeriod" dxfId="292" priority="258" timePeriod="tomorrow">
      <formula>FLOOR(D8,1)=TODAY()+1</formula>
    </cfRule>
  </conditionalFormatting>
  <conditionalFormatting sqref="E8">
    <cfRule type="timePeriod" dxfId="291" priority="257" timePeriod="tomorrow">
      <formula>FLOOR(E8,1)=TODAY()+1</formula>
    </cfRule>
  </conditionalFormatting>
  <conditionalFormatting sqref="D8">
    <cfRule type="timePeriod" dxfId="290" priority="256" timePeriod="tomorrow">
      <formula>FLOOR(D8,1)=TODAY()+1</formula>
    </cfRule>
  </conditionalFormatting>
  <conditionalFormatting sqref="E8">
    <cfRule type="timePeriod" dxfId="289" priority="255" timePeriod="tomorrow">
      <formula>FLOOR(E8,1)=TODAY()+1</formula>
    </cfRule>
  </conditionalFormatting>
  <conditionalFormatting sqref="D8">
    <cfRule type="timePeriod" dxfId="288" priority="254" timePeriod="tomorrow">
      <formula>FLOOR(D8,1)=TODAY()+1</formula>
    </cfRule>
  </conditionalFormatting>
  <conditionalFormatting sqref="E8">
    <cfRule type="timePeriod" dxfId="287" priority="253" timePeriod="tomorrow">
      <formula>FLOOR(E8,1)=TODAY()+1</formula>
    </cfRule>
  </conditionalFormatting>
  <conditionalFormatting sqref="D8">
    <cfRule type="timePeriod" dxfId="286" priority="252" timePeriod="tomorrow">
      <formula>FLOOR(D8,1)=TODAY()+1</formula>
    </cfRule>
  </conditionalFormatting>
  <conditionalFormatting sqref="E8">
    <cfRule type="timePeriod" dxfId="285" priority="251" timePeriod="tomorrow">
      <formula>FLOOR(E8,1)=TODAY()+1</formula>
    </cfRule>
  </conditionalFormatting>
  <conditionalFormatting sqref="D8">
    <cfRule type="timePeriod" dxfId="284" priority="250" timePeriod="tomorrow">
      <formula>FLOOR(D8,1)=TODAY()+1</formula>
    </cfRule>
  </conditionalFormatting>
  <conditionalFormatting sqref="E8">
    <cfRule type="timePeriod" dxfId="283" priority="249" timePeriod="tomorrow">
      <formula>FLOOR(E8,1)=TODAY()+1</formula>
    </cfRule>
  </conditionalFormatting>
  <conditionalFormatting sqref="D8">
    <cfRule type="timePeriod" dxfId="282" priority="248" timePeriod="tomorrow">
      <formula>FLOOR(D8,1)=TODAY()+1</formula>
    </cfRule>
  </conditionalFormatting>
  <conditionalFormatting sqref="E8">
    <cfRule type="timePeriod" dxfId="281" priority="247" timePeriod="tomorrow">
      <formula>FLOOR(E8,1)=TODAY()+1</formula>
    </cfRule>
  </conditionalFormatting>
  <conditionalFormatting sqref="D8">
    <cfRule type="timePeriod" dxfId="280" priority="246" timePeriod="tomorrow">
      <formula>FLOOR(D8,1)=TODAY()+1</formula>
    </cfRule>
  </conditionalFormatting>
  <conditionalFormatting sqref="E8">
    <cfRule type="timePeriod" dxfId="279" priority="245" timePeriod="tomorrow">
      <formula>FLOOR(E8,1)=TODAY()+1</formula>
    </cfRule>
  </conditionalFormatting>
  <conditionalFormatting sqref="D8">
    <cfRule type="timePeriod" dxfId="278" priority="244" timePeriod="tomorrow">
      <formula>FLOOR(D8,1)=TODAY()+1</formula>
    </cfRule>
  </conditionalFormatting>
  <conditionalFormatting sqref="E8">
    <cfRule type="timePeriod" dxfId="277" priority="243" timePeriod="tomorrow">
      <formula>FLOOR(E8,1)=TODAY()+1</formula>
    </cfRule>
  </conditionalFormatting>
  <conditionalFormatting sqref="D8">
    <cfRule type="timePeriod" dxfId="276" priority="242" timePeriod="tomorrow">
      <formula>FLOOR(D8,1)=TODAY()+1</formula>
    </cfRule>
  </conditionalFormatting>
  <conditionalFormatting sqref="E8">
    <cfRule type="timePeriod" dxfId="275" priority="241" timePeriod="tomorrow">
      <formula>FLOOR(E8,1)=TODAY()+1</formula>
    </cfRule>
  </conditionalFormatting>
  <conditionalFormatting sqref="D8">
    <cfRule type="timePeriod" dxfId="274" priority="240" timePeriod="tomorrow">
      <formula>FLOOR(D8,1)=TODAY()+1</formula>
    </cfRule>
  </conditionalFormatting>
  <conditionalFormatting sqref="E8">
    <cfRule type="timePeriod" dxfId="273" priority="239" timePeriod="tomorrow">
      <formula>FLOOR(E8,1)=TODAY()+1</formula>
    </cfRule>
  </conditionalFormatting>
  <conditionalFormatting sqref="D8">
    <cfRule type="timePeriod" dxfId="272" priority="238" timePeriod="tomorrow">
      <formula>FLOOR(D8,1)=TODAY()+1</formula>
    </cfRule>
  </conditionalFormatting>
  <conditionalFormatting sqref="E8">
    <cfRule type="timePeriod" dxfId="271" priority="237" timePeriod="tomorrow">
      <formula>FLOOR(E8,1)=TODAY()+1</formula>
    </cfRule>
  </conditionalFormatting>
  <conditionalFormatting sqref="D8">
    <cfRule type="timePeriod" dxfId="270" priority="236" timePeriod="tomorrow">
      <formula>FLOOR(D8,1)=TODAY()+1</formula>
    </cfRule>
  </conditionalFormatting>
  <conditionalFormatting sqref="E8">
    <cfRule type="timePeriod" dxfId="269" priority="235" timePeriod="tomorrow">
      <formula>FLOOR(E8,1)=TODAY()+1</formula>
    </cfRule>
  </conditionalFormatting>
  <conditionalFormatting sqref="D12">
    <cfRule type="timePeriod" dxfId="268" priority="234" timePeriod="tomorrow">
      <formula>FLOOR(D12,1)=TODAY()+1</formula>
    </cfRule>
  </conditionalFormatting>
  <conditionalFormatting sqref="C12:D12">
    <cfRule type="cellIs" dxfId="267" priority="230" operator="equal">
      <formula>"Transformer"</formula>
    </cfRule>
    <cfRule type="cellIs" dxfId="266" priority="231" operator="equal">
      <formula>"Fossil.Gen"</formula>
    </cfRule>
    <cfRule type="cellIs" dxfId="265" priority="232" operator="equal">
      <formula>"Hydro.Gen"</formula>
    </cfRule>
    <cfRule type="cellIs" dxfId="264" priority="233" operator="equal">
      <formula>"Nuc.Gen"</formula>
    </cfRule>
  </conditionalFormatting>
  <conditionalFormatting sqref="D12">
    <cfRule type="timePeriod" dxfId="263" priority="229" timePeriod="tomorrow">
      <formula>FLOOR(D12,1)=TODAY()+1</formula>
    </cfRule>
  </conditionalFormatting>
  <conditionalFormatting sqref="D12">
    <cfRule type="timePeriod" dxfId="262" priority="228" timePeriod="tomorrow">
      <formula>FLOOR(D12,1)=TODAY()+1</formula>
    </cfRule>
  </conditionalFormatting>
  <conditionalFormatting sqref="D12">
    <cfRule type="timePeriod" dxfId="261" priority="227" timePeriod="tomorrow">
      <formula>FLOOR(D12,1)=TODAY()+1</formula>
    </cfRule>
  </conditionalFormatting>
  <conditionalFormatting sqref="D12">
    <cfRule type="timePeriod" dxfId="260" priority="226" timePeriod="tomorrow">
      <formula>FLOOR(D12,1)=TODAY()+1</formula>
    </cfRule>
  </conditionalFormatting>
  <conditionalFormatting sqref="D12">
    <cfRule type="timePeriod" dxfId="259" priority="225" timePeriod="tomorrow">
      <formula>FLOOR(D12,1)=TODAY()+1</formula>
    </cfRule>
  </conditionalFormatting>
  <conditionalFormatting sqref="D12">
    <cfRule type="timePeriod" dxfId="258" priority="224" timePeriod="tomorrow">
      <formula>FLOOR(D12,1)=TODAY()+1</formula>
    </cfRule>
  </conditionalFormatting>
  <conditionalFormatting sqref="D12">
    <cfRule type="timePeriod" dxfId="257" priority="223" timePeriod="tomorrow">
      <formula>FLOOR(D12,1)=TODAY()+1</formula>
    </cfRule>
  </conditionalFormatting>
  <conditionalFormatting sqref="D12">
    <cfRule type="timePeriod" dxfId="256" priority="222" timePeriod="tomorrow">
      <formula>FLOOR(D12,1)=TODAY()+1</formula>
    </cfRule>
  </conditionalFormatting>
  <conditionalFormatting sqref="D12">
    <cfRule type="timePeriod" dxfId="255" priority="221" timePeriod="tomorrow">
      <formula>FLOOR(D12,1)=TODAY()+1</formula>
    </cfRule>
  </conditionalFormatting>
  <conditionalFormatting sqref="D12">
    <cfRule type="timePeriod" dxfId="254" priority="220" timePeriod="tomorrow">
      <formula>FLOOR(D12,1)=TODAY()+1</formula>
    </cfRule>
  </conditionalFormatting>
  <conditionalFormatting sqref="D12">
    <cfRule type="timePeriod" dxfId="253" priority="219" timePeriod="tomorrow">
      <formula>FLOOR(D12,1)=TODAY()+1</formula>
    </cfRule>
  </conditionalFormatting>
  <conditionalFormatting sqref="D12">
    <cfRule type="timePeriod" dxfId="252" priority="218" timePeriod="tomorrow">
      <formula>FLOOR(D12,1)=TODAY()+1</formula>
    </cfRule>
  </conditionalFormatting>
  <conditionalFormatting sqref="D12">
    <cfRule type="timePeriod" dxfId="251" priority="217" timePeriod="tomorrow">
      <formula>FLOOR(D12,1)=TODAY()+1</formula>
    </cfRule>
  </conditionalFormatting>
  <conditionalFormatting sqref="D12">
    <cfRule type="timePeriod" dxfId="250" priority="216" timePeriod="tomorrow">
      <formula>FLOOR(D12,1)=TODAY()+1</formula>
    </cfRule>
  </conditionalFormatting>
  <conditionalFormatting sqref="D12">
    <cfRule type="timePeriod" dxfId="249" priority="215" timePeriod="tomorrow">
      <formula>FLOOR(D12,1)=TODAY()+1</formula>
    </cfRule>
  </conditionalFormatting>
  <conditionalFormatting sqref="D12">
    <cfRule type="timePeriod" dxfId="248" priority="214" timePeriod="tomorrow">
      <formula>FLOOR(D12,1)=TODAY()+1</formula>
    </cfRule>
  </conditionalFormatting>
  <conditionalFormatting sqref="D12">
    <cfRule type="timePeriod" dxfId="247" priority="213" timePeriod="tomorrow">
      <formula>FLOOR(D12,1)=TODAY()+1</formula>
    </cfRule>
  </conditionalFormatting>
  <conditionalFormatting sqref="D12">
    <cfRule type="timePeriod" dxfId="246" priority="212" timePeriod="tomorrow">
      <formula>FLOOR(D12,1)=TODAY()+1</formula>
    </cfRule>
  </conditionalFormatting>
  <conditionalFormatting sqref="D12">
    <cfRule type="timePeriod" dxfId="245" priority="211" timePeriod="tomorrow">
      <formula>FLOOR(D12,1)=TODAY()+1</formula>
    </cfRule>
  </conditionalFormatting>
  <conditionalFormatting sqref="D12">
    <cfRule type="timePeriod" dxfId="244" priority="210" timePeriod="tomorrow">
      <formula>FLOOR(D12,1)=TODAY()+1</formula>
    </cfRule>
  </conditionalFormatting>
  <conditionalFormatting sqref="D12">
    <cfRule type="timePeriod" dxfId="243" priority="209" timePeriod="tomorrow">
      <formula>FLOOR(D12,1)=TODAY()+1</formula>
    </cfRule>
  </conditionalFormatting>
  <conditionalFormatting sqref="D12">
    <cfRule type="timePeriod" dxfId="242" priority="208" timePeriod="tomorrow">
      <formula>FLOOR(D12,1)=TODAY()+1</formula>
    </cfRule>
  </conditionalFormatting>
  <conditionalFormatting sqref="D12">
    <cfRule type="timePeriod" dxfId="241" priority="207" timePeriod="tomorrow">
      <formula>FLOOR(D12,1)=TODAY()+1</formula>
    </cfRule>
  </conditionalFormatting>
  <conditionalFormatting sqref="D12">
    <cfRule type="timePeriod" dxfId="240" priority="206" timePeriod="tomorrow">
      <formula>FLOOR(D12,1)=TODAY()+1</formula>
    </cfRule>
  </conditionalFormatting>
  <conditionalFormatting sqref="D12">
    <cfRule type="timePeriod" dxfId="239" priority="205" timePeriod="tomorrow">
      <formula>FLOOR(D12,1)=TODAY()+1</formula>
    </cfRule>
  </conditionalFormatting>
  <conditionalFormatting sqref="D12">
    <cfRule type="timePeriod" dxfId="238" priority="204" timePeriod="tomorrow">
      <formula>FLOOR(D12,1)=TODAY()+1</formula>
    </cfRule>
  </conditionalFormatting>
  <conditionalFormatting sqref="D12">
    <cfRule type="timePeriod" dxfId="237" priority="203" timePeriod="tomorrow">
      <formula>FLOOR(D12,1)=TODAY()+1</formula>
    </cfRule>
  </conditionalFormatting>
  <conditionalFormatting sqref="D12">
    <cfRule type="timePeriod" dxfId="236" priority="202" timePeriod="tomorrow">
      <formula>FLOOR(D12,1)=TODAY()+1</formula>
    </cfRule>
  </conditionalFormatting>
  <conditionalFormatting sqref="D12">
    <cfRule type="timePeriod" dxfId="235" priority="201" timePeriod="tomorrow">
      <formula>FLOOR(D12,1)=TODAY()+1</formula>
    </cfRule>
  </conditionalFormatting>
  <conditionalFormatting sqref="D12">
    <cfRule type="timePeriod" dxfId="234" priority="200" timePeriod="tomorrow">
      <formula>FLOOR(D12,1)=TODAY()+1</formula>
    </cfRule>
  </conditionalFormatting>
  <conditionalFormatting sqref="D12">
    <cfRule type="timePeriod" dxfId="233" priority="199" timePeriod="tomorrow">
      <formula>FLOOR(D12,1)=TODAY()+1</formula>
    </cfRule>
  </conditionalFormatting>
  <conditionalFormatting sqref="D12">
    <cfRule type="timePeriod" dxfId="232" priority="198" timePeriod="tomorrow">
      <formula>FLOOR(D12,1)=TODAY()+1</formula>
    </cfRule>
  </conditionalFormatting>
  <conditionalFormatting sqref="D12">
    <cfRule type="timePeriod" dxfId="231" priority="197" timePeriod="tomorrow">
      <formula>FLOOR(D12,1)=TODAY()+1</formula>
    </cfRule>
  </conditionalFormatting>
  <conditionalFormatting sqref="D12">
    <cfRule type="timePeriod" dxfId="230" priority="196" timePeriod="tomorrow">
      <formula>FLOOR(D12,1)=TODAY()+1</formula>
    </cfRule>
  </conditionalFormatting>
  <conditionalFormatting sqref="D12">
    <cfRule type="timePeriod" dxfId="229" priority="195" timePeriod="tomorrow">
      <formula>FLOOR(D12,1)=TODAY()+1</formula>
    </cfRule>
  </conditionalFormatting>
  <conditionalFormatting sqref="D12">
    <cfRule type="timePeriod" dxfId="228" priority="194" timePeriod="tomorrow">
      <formula>FLOOR(D12,1)=TODAY()+1</formula>
    </cfRule>
  </conditionalFormatting>
  <conditionalFormatting sqref="D12">
    <cfRule type="timePeriod" dxfId="227" priority="193" timePeriod="tomorrow">
      <formula>FLOOR(D12,1)=TODAY()+1</formula>
    </cfRule>
  </conditionalFormatting>
  <conditionalFormatting sqref="D12">
    <cfRule type="timePeriod" dxfId="226" priority="192" timePeriod="tomorrow">
      <formula>FLOOR(D12,1)=TODAY()+1</formula>
    </cfRule>
  </conditionalFormatting>
  <conditionalFormatting sqref="D12">
    <cfRule type="timePeriod" dxfId="225" priority="191" timePeriod="tomorrow">
      <formula>FLOOR(D12,1)=TODAY()+1</formula>
    </cfRule>
  </conditionalFormatting>
  <conditionalFormatting sqref="D12">
    <cfRule type="timePeriod" dxfId="224" priority="190" timePeriod="tomorrow">
      <formula>FLOOR(D12,1)=TODAY()+1</formula>
    </cfRule>
  </conditionalFormatting>
  <conditionalFormatting sqref="D12">
    <cfRule type="timePeriod" dxfId="223" priority="189" timePeriod="tomorrow">
      <formula>FLOOR(D12,1)=TODAY()+1</formula>
    </cfRule>
  </conditionalFormatting>
  <conditionalFormatting sqref="D12">
    <cfRule type="timePeriod" dxfId="222" priority="188" timePeriod="tomorrow">
      <formula>FLOOR(D12,1)=TODAY()+1</formula>
    </cfRule>
  </conditionalFormatting>
  <conditionalFormatting sqref="D12">
    <cfRule type="timePeriod" dxfId="221" priority="187" timePeriod="tomorrow">
      <formula>FLOOR(D12,1)=TODAY()+1</formula>
    </cfRule>
  </conditionalFormatting>
  <conditionalFormatting sqref="D12">
    <cfRule type="timePeriod" dxfId="220" priority="186" timePeriod="tomorrow">
      <formula>FLOOR(D12,1)=TODAY()+1</formula>
    </cfRule>
  </conditionalFormatting>
  <conditionalFormatting sqref="C12:D12">
    <cfRule type="timePeriod" dxfId="219" priority="185" timePeriod="tomorrow">
      <formula>FLOOR(C12,1)=TODAY()+1</formula>
    </cfRule>
  </conditionalFormatting>
  <conditionalFormatting sqref="D8">
    <cfRule type="timePeriod" dxfId="218" priority="184" timePeriod="tomorrow">
      <formula>FLOOR(D8,1)=TODAY()+1</formula>
    </cfRule>
  </conditionalFormatting>
  <conditionalFormatting sqref="E8">
    <cfRule type="timePeriod" dxfId="217" priority="183" timePeriod="tomorrow">
      <formula>FLOOR(E8,1)=TODAY()+1</formula>
    </cfRule>
  </conditionalFormatting>
  <conditionalFormatting sqref="D8">
    <cfRule type="timePeriod" dxfId="216" priority="182" timePeriod="tomorrow">
      <formula>FLOOR(D8,1)=TODAY()+1</formula>
    </cfRule>
  </conditionalFormatting>
  <conditionalFormatting sqref="E8">
    <cfRule type="timePeriod" dxfId="215" priority="181" timePeriod="tomorrow">
      <formula>FLOOR(E8,1)=TODAY()+1</formula>
    </cfRule>
  </conditionalFormatting>
  <conditionalFormatting sqref="D8">
    <cfRule type="timePeriod" dxfId="214" priority="180" timePeriod="tomorrow">
      <formula>FLOOR(D8,1)=TODAY()+1</formula>
    </cfRule>
  </conditionalFormatting>
  <conditionalFormatting sqref="E8">
    <cfRule type="timePeriod" dxfId="213" priority="179" timePeriod="tomorrow">
      <formula>FLOOR(E8,1)=TODAY()+1</formula>
    </cfRule>
  </conditionalFormatting>
  <conditionalFormatting sqref="D8">
    <cfRule type="timePeriod" dxfId="212" priority="178" timePeriod="tomorrow">
      <formula>FLOOR(D8,1)=TODAY()+1</formula>
    </cfRule>
  </conditionalFormatting>
  <conditionalFormatting sqref="E8">
    <cfRule type="timePeriod" dxfId="211" priority="177" timePeriod="tomorrow">
      <formula>FLOOR(E8,1)=TODAY()+1</formula>
    </cfRule>
  </conditionalFormatting>
  <conditionalFormatting sqref="D8">
    <cfRule type="timePeriod" dxfId="210" priority="176" timePeriod="tomorrow">
      <formula>FLOOR(D8,1)=TODAY()+1</formula>
    </cfRule>
  </conditionalFormatting>
  <conditionalFormatting sqref="E8">
    <cfRule type="timePeriod" dxfId="209" priority="175" timePeriod="tomorrow">
      <formula>FLOOR(E8,1)=TODAY()+1</formula>
    </cfRule>
  </conditionalFormatting>
  <conditionalFormatting sqref="D8">
    <cfRule type="timePeriod" dxfId="208" priority="174" timePeriod="tomorrow">
      <formula>FLOOR(D8,1)=TODAY()+1</formula>
    </cfRule>
  </conditionalFormatting>
  <conditionalFormatting sqref="E8">
    <cfRule type="timePeriod" dxfId="207" priority="173" timePeriod="tomorrow">
      <formula>FLOOR(E8,1)=TODAY()+1</formula>
    </cfRule>
  </conditionalFormatting>
  <conditionalFormatting sqref="D8">
    <cfRule type="timePeriod" dxfId="206" priority="172" timePeriod="tomorrow">
      <formula>FLOOR(D8,1)=TODAY()+1</formula>
    </cfRule>
  </conditionalFormatting>
  <conditionalFormatting sqref="E8">
    <cfRule type="timePeriod" dxfId="205" priority="171" timePeriod="tomorrow">
      <formula>FLOOR(E8,1)=TODAY()+1</formula>
    </cfRule>
  </conditionalFormatting>
  <conditionalFormatting sqref="D8">
    <cfRule type="timePeriod" dxfId="204" priority="170" timePeriod="tomorrow">
      <formula>FLOOR(D8,1)=TODAY()+1</formula>
    </cfRule>
  </conditionalFormatting>
  <conditionalFormatting sqref="E8">
    <cfRule type="timePeriod" dxfId="203" priority="169" timePeriod="tomorrow">
      <formula>FLOOR(E8,1)=TODAY()+1</formula>
    </cfRule>
  </conditionalFormatting>
  <conditionalFormatting sqref="D8">
    <cfRule type="timePeriod" dxfId="202" priority="168" timePeriod="tomorrow">
      <formula>FLOOR(D8,1)=TODAY()+1</formula>
    </cfRule>
  </conditionalFormatting>
  <conditionalFormatting sqref="E8">
    <cfRule type="timePeriod" dxfId="201" priority="167" timePeriod="tomorrow">
      <formula>FLOOR(E8,1)=TODAY()+1</formula>
    </cfRule>
  </conditionalFormatting>
  <conditionalFormatting sqref="D8">
    <cfRule type="timePeriod" dxfId="200" priority="166" timePeriod="tomorrow">
      <formula>FLOOR(D8,1)=TODAY()+1</formula>
    </cfRule>
  </conditionalFormatting>
  <conditionalFormatting sqref="E8">
    <cfRule type="timePeriod" dxfId="199" priority="165" timePeriod="tomorrow">
      <formula>FLOOR(E8,1)=TODAY()+1</formula>
    </cfRule>
  </conditionalFormatting>
  <conditionalFormatting sqref="D8">
    <cfRule type="timePeriod" dxfId="198" priority="164" timePeriod="tomorrow">
      <formula>FLOOR(D8,1)=TODAY()+1</formula>
    </cfRule>
  </conditionalFormatting>
  <conditionalFormatting sqref="E8">
    <cfRule type="timePeriod" dxfId="197" priority="163" timePeriod="tomorrow">
      <formula>FLOOR(E8,1)=TODAY()+1</formula>
    </cfRule>
  </conditionalFormatting>
  <conditionalFormatting sqref="D8">
    <cfRule type="timePeriod" dxfId="196" priority="162" timePeriod="tomorrow">
      <formula>FLOOR(D8,1)=TODAY()+1</formula>
    </cfRule>
  </conditionalFormatting>
  <conditionalFormatting sqref="E8">
    <cfRule type="timePeriod" dxfId="195" priority="161" timePeriod="tomorrow">
      <formula>FLOOR(E8,1)=TODAY()+1</formula>
    </cfRule>
  </conditionalFormatting>
  <conditionalFormatting sqref="D8">
    <cfRule type="timePeriod" dxfId="194" priority="160" timePeriod="tomorrow">
      <formula>FLOOR(D8,1)=TODAY()+1</formula>
    </cfRule>
  </conditionalFormatting>
  <conditionalFormatting sqref="E8">
    <cfRule type="timePeriod" dxfId="193" priority="159" timePeriod="tomorrow">
      <formula>FLOOR(E8,1)=TODAY()+1</formula>
    </cfRule>
  </conditionalFormatting>
  <conditionalFormatting sqref="D8">
    <cfRule type="timePeriod" dxfId="192" priority="158" timePeriod="tomorrow">
      <formula>FLOOR(D8,1)=TODAY()+1</formula>
    </cfRule>
  </conditionalFormatting>
  <conditionalFormatting sqref="E8">
    <cfRule type="timePeriod" dxfId="191" priority="157" timePeriod="tomorrow">
      <formula>FLOOR(E8,1)=TODAY()+1</formula>
    </cfRule>
  </conditionalFormatting>
  <conditionalFormatting sqref="D8">
    <cfRule type="timePeriod" dxfId="190" priority="156" timePeriod="tomorrow">
      <formula>FLOOR(D8,1)=TODAY()+1</formula>
    </cfRule>
  </conditionalFormatting>
  <conditionalFormatting sqref="E8">
    <cfRule type="timePeriod" dxfId="189" priority="155" timePeriod="tomorrow">
      <formula>FLOOR(E8,1)=TODAY()+1</formula>
    </cfRule>
  </conditionalFormatting>
  <conditionalFormatting sqref="D8">
    <cfRule type="timePeriod" dxfId="188" priority="154" timePeriod="tomorrow">
      <formula>FLOOR(D8,1)=TODAY()+1</formula>
    </cfRule>
  </conditionalFormatting>
  <conditionalFormatting sqref="E8">
    <cfRule type="timePeriod" dxfId="187" priority="153" timePeriod="tomorrow">
      <formula>FLOOR(E8,1)=TODAY()+1</formula>
    </cfRule>
  </conditionalFormatting>
  <conditionalFormatting sqref="D8">
    <cfRule type="timePeriod" dxfId="186" priority="152" timePeriod="tomorrow">
      <formula>FLOOR(D8,1)=TODAY()+1</formula>
    </cfRule>
  </conditionalFormatting>
  <conditionalFormatting sqref="E8">
    <cfRule type="timePeriod" dxfId="185" priority="151" timePeriod="tomorrow">
      <formula>FLOOR(E8,1)=TODAY()+1</formula>
    </cfRule>
  </conditionalFormatting>
  <conditionalFormatting sqref="D8">
    <cfRule type="timePeriod" dxfId="184" priority="150" timePeriod="tomorrow">
      <formula>FLOOR(D8,1)=TODAY()+1</formula>
    </cfRule>
  </conditionalFormatting>
  <conditionalFormatting sqref="E8">
    <cfRule type="timePeriod" dxfId="183" priority="149" timePeriod="tomorrow">
      <formula>FLOOR(E8,1)=TODAY()+1</formula>
    </cfRule>
  </conditionalFormatting>
  <conditionalFormatting sqref="D8">
    <cfRule type="timePeriod" dxfId="182" priority="148" timePeriod="tomorrow">
      <formula>FLOOR(D8,1)=TODAY()+1</formula>
    </cfRule>
  </conditionalFormatting>
  <conditionalFormatting sqref="E8">
    <cfRule type="timePeriod" dxfId="181" priority="147" timePeriod="tomorrow">
      <formula>FLOOR(E8,1)=TODAY()+1</formula>
    </cfRule>
  </conditionalFormatting>
  <conditionalFormatting sqref="D8">
    <cfRule type="timePeriod" dxfId="180" priority="146" timePeriod="tomorrow">
      <formula>FLOOR(D8,1)=TODAY()+1</formula>
    </cfRule>
  </conditionalFormatting>
  <conditionalFormatting sqref="E8">
    <cfRule type="timePeriod" dxfId="179" priority="145" timePeriod="tomorrow">
      <formula>FLOOR(E8,1)=TODAY()+1</formula>
    </cfRule>
  </conditionalFormatting>
  <conditionalFormatting sqref="D8">
    <cfRule type="timePeriod" dxfId="178" priority="144" timePeriod="tomorrow">
      <formula>FLOOR(D8,1)=TODAY()+1</formula>
    </cfRule>
  </conditionalFormatting>
  <conditionalFormatting sqref="E8">
    <cfRule type="timePeriod" dxfId="177" priority="143" timePeriod="tomorrow">
      <formula>FLOOR(E8,1)=TODAY()+1</formula>
    </cfRule>
  </conditionalFormatting>
  <conditionalFormatting sqref="D8">
    <cfRule type="timePeriod" dxfId="176" priority="142" timePeriod="tomorrow">
      <formula>FLOOR(D8,1)=TODAY()+1</formula>
    </cfRule>
  </conditionalFormatting>
  <conditionalFormatting sqref="E8">
    <cfRule type="timePeriod" dxfId="175" priority="141" timePeriod="tomorrow">
      <formula>FLOOR(E8,1)=TODAY()+1</formula>
    </cfRule>
  </conditionalFormatting>
  <conditionalFormatting sqref="D8">
    <cfRule type="timePeriod" dxfId="174" priority="140" timePeriod="tomorrow">
      <formula>FLOOR(D8,1)=TODAY()+1</formula>
    </cfRule>
  </conditionalFormatting>
  <conditionalFormatting sqref="E8">
    <cfRule type="timePeriod" dxfId="173" priority="139" timePeriod="tomorrow">
      <formula>FLOOR(E8,1)=TODAY()+1</formula>
    </cfRule>
  </conditionalFormatting>
  <conditionalFormatting sqref="D8">
    <cfRule type="timePeriod" dxfId="172" priority="138" timePeriod="tomorrow">
      <formula>FLOOR(D8,1)=TODAY()+1</formula>
    </cfRule>
  </conditionalFormatting>
  <conditionalFormatting sqref="E8">
    <cfRule type="timePeriod" dxfId="171" priority="137" timePeriod="tomorrow">
      <formula>FLOOR(E8,1)=TODAY()+1</formula>
    </cfRule>
  </conditionalFormatting>
  <conditionalFormatting sqref="D8">
    <cfRule type="timePeriod" dxfId="170" priority="136" timePeriod="tomorrow">
      <formula>FLOOR(D8,1)=TODAY()+1</formula>
    </cfRule>
  </conditionalFormatting>
  <conditionalFormatting sqref="E8">
    <cfRule type="timePeriod" dxfId="169" priority="135" timePeriod="tomorrow">
      <formula>FLOOR(E8,1)=TODAY()+1</formula>
    </cfRule>
  </conditionalFormatting>
  <conditionalFormatting sqref="D8">
    <cfRule type="timePeriod" dxfId="168" priority="134" timePeriod="tomorrow">
      <formula>FLOOR(D8,1)=TODAY()+1</formula>
    </cfRule>
  </conditionalFormatting>
  <conditionalFormatting sqref="E8">
    <cfRule type="timePeriod" dxfId="167" priority="133" timePeriod="tomorrow">
      <formula>FLOOR(E8,1)=TODAY()+1</formula>
    </cfRule>
  </conditionalFormatting>
  <conditionalFormatting sqref="D8">
    <cfRule type="timePeriod" dxfId="166" priority="132" timePeriod="tomorrow">
      <formula>FLOOR(D8,1)=TODAY()+1</formula>
    </cfRule>
  </conditionalFormatting>
  <conditionalFormatting sqref="E8">
    <cfRule type="timePeriod" dxfId="165" priority="131" timePeriod="tomorrow">
      <formula>FLOOR(E8,1)=TODAY()+1</formula>
    </cfRule>
  </conditionalFormatting>
  <conditionalFormatting sqref="D8">
    <cfRule type="timePeriod" dxfId="164" priority="130" timePeriod="tomorrow">
      <formula>FLOOR(D8,1)=TODAY()+1</formula>
    </cfRule>
  </conditionalFormatting>
  <conditionalFormatting sqref="E8">
    <cfRule type="timePeriod" dxfId="163" priority="129" timePeriod="tomorrow">
      <formula>FLOOR(E8,1)=TODAY()+1</formula>
    </cfRule>
  </conditionalFormatting>
  <conditionalFormatting sqref="D8">
    <cfRule type="timePeriod" dxfId="162" priority="128" timePeriod="tomorrow">
      <formula>FLOOR(D8,1)=TODAY()+1</formula>
    </cfRule>
  </conditionalFormatting>
  <conditionalFormatting sqref="E8">
    <cfRule type="timePeriod" dxfId="161" priority="127" timePeriod="tomorrow">
      <formula>FLOOR(E8,1)=TODAY()+1</formula>
    </cfRule>
  </conditionalFormatting>
  <conditionalFormatting sqref="D8">
    <cfRule type="timePeriod" dxfId="160" priority="126" timePeriod="tomorrow">
      <formula>FLOOR(D8,1)=TODAY()+1</formula>
    </cfRule>
  </conditionalFormatting>
  <conditionalFormatting sqref="E8">
    <cfRule type="timePeriod" dxfId="159" priority="125" timePeriod="tomorrow">
      <formula>FLOOR(E8,1)=TODAY()+1</formula>
    </cfRule>
  </conditionalFormatting>
  <conditionalFormatting sqref="D8">
    <cfRule type="timePeriod" dxfId="158" priority="124" timePeriod="tomorrow">
      <formula>FLOOR(D8,1)=TODAY()+1</formula>
    </cfRule>
  </conditionalFormatting>
  <conditionalFormatting sqref="E8">
    <cfRule type="timePeriod" dxfId="157" priority="123" timePeriod="tomorrow">
      <formula>FLOOR(E8,1)=TODAY()+1</formula>
    </cfRule>
  </conditionalFormatting>
  <conditionalFormatting sqref="D8">
    <cfRule type="timePeriod" dxfId="156" priority="122" timePeriod="tomorrow">
      <formula>FLOOR(D8,1)=TODAY()+1</formula>
    </cfRule>
  </conditionalFormatting>
  <conditionalFormatting sqref="E8">
    <cfRule type="timePeriod" dxfId="155" priority="121" timePeriod="tomorrow">
      <formula>FLOOR(E8,1)=TODAY()+1</formula>
    </cfRule>
  </conditionalFormatting>
  <conditionalFormatting sqref="D8">
    <cfRule type="timePeriod" dxfId="154" priority="120" timePeriod="tomorrow">
      <formula>FLOOR(D8,1)=TODAY()+1</formula>
    </cfRule>
  </conditionalFormatting>
  <conditionalFormatting sqref="E8">
    <cfRule type="timePeriod" dxfId="153" priority="119" timePeriod="tomorrow">
      <formula>FLOOR(E8,1)=TODAY()+1</formula>
    </cfRule>
  </conditionalFormatting>
  <conditionalFormatting sqref="D8">
    <cfRule type="timePeriod" dxfId="152" priority="118" timePeriod="tomorrow">
      <formula>FLOOR(D8,1)=TODAY()+1</formula>
    </cfRule>
  </conditionalFormatting>
  <conditionalFormatting sqref="E8">
    <cfRule type="timePeriod" dxfId="151" priority="117" timePeriod="tomorrow">
      <formula>FLOOR(E8,1)=TODAY()+1</formula>
    </cfRule>
  </conditionalFormatting>
  <conditionalFormatting sqref="D8">
    <cfRule type="timePeriod" dxfId="150" priority="116" timePeriod="tomorrow">
      <formula>FLOOR(D8,1)=TODAY()+1</formula>
    </cfRule>
  </conditionalFormatting>
  <conditionalFormatting sqref="E8">
    <cfRule type="timePeriod" dxfId="149" priority="115" timePeriod="tomorrow">
      <formula>FLOOR(E8,1)=TODAY()+1</formula>
    </cfRule>
  </conditionalFormatting>
  <conditionalFormatting sqref="D8">
    <cfRule type="timePeriod" dxfId="148" priority="114" timePeriod="tomorrow">
      <formula>FLOOR(D8,1)=TODAY()+1</formula>
    </cfRule>
  </conditionalFormatting>
  <conditionalFormatting sqref="E8">
    <cfRule type="timePeriod" dxfId="147" priority="113" timePeriod="tomorrow">
      <formula>FLOOR(E8,1)=TODAY()+1</formula>
    </cfRule>
  </conditionalFormatting>
  <conditionalFormatting sqref="D8">
    <cfRule type="timePeriod" dxfId="146" priority="112" timePeriod="tomorrow">
      <formula>FLOOR(D8,1)=TODAY()+1</formula>
    </cfRule>
  </conditionalFormatting>
  <conditionalFormatting sqref="E8">
    <cfRule type="timePeriod" dxfId="145" priority="111" timePeriod="tomorrow">
      <formula>FLOOR(E8,1)=TODAY()+1</formula>
    </cfRule>
  </conditionalFormatting>
  <conditionalFormatting sqref="D8">
    <cfRule type="timePeriod" dxfId="144" priority="110" timePeriod="tomorrow">
      <formula>FLOOR(D8,1)=TODAY()+1</formula>
    </cfRule>
  </conditionalFormatting>
  <conditionalFormatting sqref="E8">
    <cfRule type="timePeriod" dxfId="143" priority="109" timePeriod="tomorrow">
      <formula>FLOOR(E8,1)=TODAY()+1</formula>
    </cfRule>
  </conditionalFormatting>
  <conditionalFormatting sqref="D8">
    <cfRule type="timePeriod" dxfId="142" priority="108" timePeriod="tomorrow">
      <formula>FLOOR(D8,1)=TODAY()+1</formula>
    </cfRule>
  </conditionalFormatting>
  <conditionalFormatting sqref="E8">
    <cfRule type="timePeriod" dxfId="141" priority="107" timePeriod="tomorrow">
      <formula>FLOOR(E8,1)=TODAY()+1</formula>
    </cfRule>
  </conditionalFormatting>
  <conditionalFormatting sqref="D8">
    <cfRule type="timePeriod" dxfId="140" priority="106" timePeriod="tomorrow">
      <formula>FLOOR(D8,1)=TODAY()+1</formula>
    </cfRule>
  </conditionalFormatting>
  <conditionalFormatting sqref="E8">
    <cfRule type="timePeriod" dxfId="139" priority="105" timePeriod="tomorrow">
      <formula>FLOOR(E8,1)=TODAY()+1</formula>
    </cfRule>
  </conditionalFormatting>
  <conditionalFormatting sqref="D8">
    <cfRule type="timePeriod" dxfId="138" priority="104" timePeriod="tomorrow">
      <formula>FLOOR(D8,1)=TODAY()+1</formula>
    </cfRule>
  </conditionalFormatting>
  <conditionalFormatting sqref="E8">
    <cfRule type="timePeriod" dxfId="137" priority="103" timePeriod="tomorrow">
      <formula>FLOOR(E8,1)=TODAY()+1</formula>
    </cfRule>
  </conditionalFormatting>
  <conditionalFormatting sqref="D8">
    <cfRule type="timePeriod" dxfId="136" priority="102" timePeriod="tomorrow">
      <formula>FLOOR(D8,1)=TODAY()+1</formula>
    </cfRule>
  </conditionalFormatting>
  <conditionalFormatting sqref="E8">
    <cfRule type="timePeriod" dxfId="135" priority="101" timePeriod="tomorrow">
      <formula>FLOOR(E8,1)=TODAY()+1</formula>
    </cfRule>
  </conditionalFormatting>
  <conditionalFormatting sqref="D8">
    <cfRule type="timePeriod" dxfId="134" priority="100" timePeriod="tomorrow">
      <formula>FLOOR(D8,1)=TODAY()+1</formula>
    </cfRule>
  </conditionalFormatting>
  <conditionalFormatting sqref="E8">
    <cfRule type="timePeriod" dxfId="133" priority="99" timePeriod="tomorrow">
      <formula>FLOOR(E8,1)=TODAY()+1</formula>
    </cfRule>
  </conditionalFormatting>
  <conditionalFormatting sqref="D8">
    <cfRule type="timePeriod" dxfId="132" priority="98" timePeriod="tomorrow">
      <formula>FLOOR(D8,1)=TODAY()+1</formula>
    </cfRule>
  </conditionalFormatting>
  <conditionalFormatting sqref="E8">
    <cfRule type="timePeriod" dxfId="131" priority="97" timePeriod="tomorrow">
      <formula>FLOOR(E8,1)=TODAY()+1</formula>
    </cfRule>
  </conditionalFormatting>
  <conditionalFormatting sqref="D8">
    <cfRule type="timePeriod" dxfId="130" priority="96" timePeriod="tomorrow">
      <formula>FLOOR(D8,1)=TODAY()+1</formula>
    </cfRule>
  </conditionalFormatting>
  <conditionalFormatting sqref="E8">
    <cfRule type="timePeriod" dxfId="129" priority="95" timePeriod="tomorrow">
      <formula>FLOOR(E8,1)=TODAY()+1</formula>
    </cfRule>
  </conditionalFormatting>
  <conditionalFormatting sqref="D7">
    <cfRule type="timePeriod" dxfId="128" priority="94" timePeriod="tomorrow">
      <formula>FLOOR(D7,1)=TODAY()+1</formula>
    </cfRule>
  </conditionalFormatting>
  <conditionalFormatting sqref="E7">
    <cfRule type="timePeriod" dxfId="127" priority="93" timePeriod="tomorrow">
      <formula>FLOOR(E7,1)=TODAY()+1</formula>
    </cfRule>
  </conditionalFormatting>
  <conditionalFormatting sqref="C7:F7">
    <cfRule type="cellIs" dxfId="126" priority="89" operator="equal">
      <formula>"Transformer"</formula>
    </cfRule>
    <cfRule type="cellIs" dxfId="125" priority="90" operator="equal">
      <formula>"Fossil.Gen"</formula>
    </cfRule>
    <cfRule type="cellIs" dxfId="124" priority="91" operator="equal">
      <formula>"Hydro.Gen"</formula>
    </cfRule>
    <cfRule type="cellIs" dxfId="123" priority="92" operator="equal">
      <formula>"Nuc.Gen"</formula>
    </cfRule>
  </conditionalFormatting>
  <conditionalFormatting sqref="D7">
    <cfRule type="timePeriod" dxfId="122" priority="88" timePeriod="tomorrow">
      <formula>FLOOR(D7,1)=TODAY()+1</formula>
    </cfRule>
  </conditionalFormatting>
  <conditionalFormatting sqref="E7">
    <cfRule type="timePeriod" dxfId="121" priority="87" timePeriod="tomorrow">
      <formula>FLOOR(E7,1)=TODAY()+1</formula>
    </cfRule>
  </conditionalFormatting>
  <conditionalFormatting sqref="D7">
    <cfRule type="timePeriod" dxfId="120" priority="86" timePeriod="tomorrow">
      <formula>FLOOR(D7,1)=TODAY()+1</formula>
    </cfRule>
  </conditionalFormatting>
  <conditionalFormatting sqref="E7">
    <cfRule type="timePeriod" dxfId="119" priority="85" timePeriod="tomorrow">
      <formula>FLOOR(E7,1)=TODAY()+1</formula>
    </cfRule>
  </conditionalFormatting>
  <conditionalFormatting sqref="D7">
    <cfRule type="timePeriod" dxfId="118" priority="84" timePeriod="tomorrow">
      <formula>FLOOR(D7,1)=TODAY()+1</formula>
    </cfRule>
  </conditionalFormatting>
  <conditionalFormatting sqref="E7">
    <cfRule type="timePeriod" dxfId="117" priority="83" timePeriod="tomorrow">
      <formula>FLOOR(E7,1)=TODAY()+1</formula>
    </cfRule>
  </conditionalFormatting>
  <conditionalFormatting sqref="D7">
    <cfRule type="timePeriod" dxfId="116" priority="82" timePeriod="tomorrow">
      <formula>FLOOR(D7,1)=TODAY()+1</formula>
    </cfRule>
  </conditionalFormatting>
  <conditionalFormatting sqref="E7">
    <cfRule type="timePeriod" dxfId="115" priority="81" timePeriod="tomorrow">
      <formula>FLOOR(E7,1)=TODAY()+1</formula>
    </cfRule>
  </conditionalFormatting>
  <conditionalFormatting sqref="D7">
    <cfRule type="timePeriod" dxfId="114" priority="80" timePeriod="tomorrow">
      <formula>FLOOR(D7,1)=TODAY()+1</formula>
    </cfRule>
  </conditionalFormatting>
  <conditionalFormatting sqref="E7">
    <cfRule type="timePeriod" dxfId="113" priority="79" timePeriod="tomorrow">
      <formula>FLOOR(E7,1)=TODAY()+1</formula>
    </cfRule>
  </conditionalFormatting>
  <conditionalFormatting sqref="D7">
    <cfRule type="timePeriod" dxfId="112" priority="78" timePeriod="tomorrow">
      <formula>FLOOR(D7,1)=TODAY()+1</formula>
    </cfRule>
  </conditionalFormatting>
  <conditionalFormatting sqref="E7">
    <cfRule type="timePeriod" dxfId="111" priority="77" timePeriod="tomorrow">
      <formula>FLOOR(E7,1)=TODAY()+1</formula>
    </cfRule>
  </conditionalFormatting>
  <conditionalFormatting sqref="D7">
    <cfRule type="timePeriod" dxfId="110" priority="76" timePeriod="tomorrow">
      <formula>FLOOR(D7,1)=TODAY()+1</formula>
    </cfRule>
  </conditionalFormatting>
  <conditionalFormatting sqref="E7">
    <cfRule type="timePeriod" dxfId="109" priority="75" timePeriod="tomorrow">
      <formula>FLOOR(E7,1)=TODAY()+1</formula>
    </cfRule>
  </conditionalFormatting>
  <conditionalFormatting sqref="D7">
    <cfRule type="timePeriod" dxfId="108" priority="74" timePeriod="tomorrow">
      <formula>FLOOR(D7,1)=TODAY()+1</formula>
    </cfRule>
  </conditionalFormatting>
  <conditionalFormatting sqref="E7">
    <cfRule type="timePeriod" dxfId="107" priority="73" timePeriod="tomorrow">
      <formula>FLOOR(E7,1)=TODAY()+1</formula>
    </cfRule>
  </conditionalFormatting>
  <conditionalFormatting sqref="D7">
    <cfRule type="timePeriod" dxfId="106" priority="72" timePeriod="tomorrow">
      <formula>FLOOR(D7,1)=TODAY()+1</formula>
    </cfRule>
  </conditionalFormatting>
  <conditionalFormatting sqref="E7">
    <cfRule type="timePeriod" dxfId="105" priority="71" timePeriod="tomorrow">
      <formula>FLOOR(E7,1)=TODAY()+1</formula>
    </cfRule>
  </conditionalFormatting>
  <conditionalFormatting sqref="D7">
    <cfRule type="timePeriod" dxfId="104" priority="70" timePeriod="tomorrow">
      <formula>FLOOR(D7,1)=TODAY()+1</formula>
    </cfRule>
  </conditionalFormatting>
  <conditionalFormatting sqref="E7">
    <cfRule type="timePeriod" dxfId="103" priority="69" timePeriod="tomorrow">
      <formula>FLOOR(E7,1)=TODAY()+1</formula>
    </cfRule>
  </conditionalFormatting>
  <conditionalFormatting sqref="D7">
    <cfRule type="timePeriod" dxfId="102" priority="68" timePeriod="tomorrow">
      <formula>FLOOR(D7,1)=TODAY()+1</formula>
    </cfRule>
  </conditionalFormatting>
  <conditionalFormatting sqref="E7">
    <cfRule type="timePeriod" dxfId="101" priority="67" timePeriod="tomorrow">
      <formula>FLOOR(E7,1)=TODAY()+1</formula>
    </cfRule>
  </conditionalFormatting>
  <conditionalFormatting sqref="D7">
    <cfRule type="timePeriod" dxfId="100" priority="66" timePeriod="tomorrow">
      <formula>FLOOR(D7,1)=TODAY()+1</formula>
    </cfRule>
  </conditionalFormatting>
  <conditionalFormatting sqref="E7">
    <cfRule type="timePeriod" dxfId="99" priority="65" timePeriod="tomorrow">
      <formula>FLOOR(E7,1)=TODAY()+1</formula>
    </cfRule>
  </conditionalFormatting>
  <conditionalFormatting sqref="D7">
    <cfRule type="timePeriod" dxfId="98" priority="64" timePeriod="tomorrow">
      <formula>FLOOR(D7,1)=TODAY()+1</formula>
    </cfRule>
  </conditionalFormatting>
  <conditionalFormatting sqref="E7">
    <cfRule type="timePeriod" dxfId="97" priority="63" timePeriod="tomorrow">
      <formula>FLOOR(E7,1)=TODAY()+1</formula>
    </cfRule>
  </conditionalFormatting>
  <conditionalFormatting sqref="D7">
    <cfRule type="timePeriod" dxfId="96" priority="62" timePeriod="tomorrow">
      <formula>FLOOR(D7,1)=TODAY()+1</formula>
    </cfRule>
  </conditionalFormatting>
  <conditionalFormatting sqref="E7">
    <cfRule type="timePeriod" dxfId="95" priority="61" timePeriod="tomorrow">
      <formula>FLOOR(E7,1)=TODAY()+1</formula>
    </cfRule>
  </conditionalFormatting>
  <conditionalFormatting sqref="D7">
    <cfRule type="timePeriod" dxfId="94" priority="60" timePeriod="tomorrow">
      <formula>FLOOR(D7,1)=TODAY()+1</formula>
    </cfRule>
  </conditionalFormatting>
  <conditionalFormatting sqref="E7">
    <cfRule type="timePeriod" dxfId="93" priority="59" timePeriod="tomorrow">
      <formula>FLOOR(E7,1)=TODAY()+1</formula>
    </cfRule>
  </conditionalFormatting>
  <conditionalFormatting sqref="D7">
    <cfRule type="timePeriod" dxfId="92" priority="58" timePeriod="tomorrow">
      <formula>FLOOR(D7,1)=TODAY()+1</formula>
    </cfRule>
  </conditionalFormatting>
  <conditionalFormatting sqref="E7">
    <cfRule type="timePeriod" dxfId="91" priority="57" timePeriod="tomorrow">
      <formula>FLOOR(E7,1)=TODAY()+1</formula>
    </cfRule>
  </conditionalFormatting>
  <conditionalFormatting sqref="D7">
    <cfRule type="timePeriod" dxfId="90" priority="56" timePeriod="tomorrow">
      <formula>FLOOR(D7,1)=TODAY()+1</formula>
    </cfRule>
  </conditionalFormatting>
  <conditionalFormatting sqref="E7">
    <cfRule type="timePeriod" dxfId="89" priority="55" timePeriod="tomorrow">
      <formula>FLOOR(E7,1)=TODAY()+1</formula>
    </cfRule>
  </conditionalFormatting>
  <conditionalFormatting sqref="D7">
    <cfRule type="timePeriod" dxfId="88" priority="54" timePeriod="tomorrow">
      <formula>FLOOR(D7,1)=TODAY()+1</formula>
    </cfRule>
  </conditionalFormatting>
  <conditionalFormatting sqref="E7">
    <cfRule type="timePeriod" dxfId="87" priority="53" timePeriod="tomorrow">
      <formula>FLOOR(E7,1)=TODAY()+1</formula>
    </cfRule>
  </conditionalFormatting>
  <conditionalFormatting sqref="D7">
    <cfRule type="timePeriod" dxfId="86" priority="52" timePeriod="tomorrow">
      <formula>FLOOR(D7,1)=TODAY()+1</formula>
    </cfRule>
  </conditionalFormatting>
  <conditionalFormatting sqref="E7">
    <cfRule type="timePeriod" dxfId="85" priority="51" timePeriod="tomorrow">
      <formula>FLOOR(E7,1)=TODAY()+1</formula>
    </cfRule>
  </conditionalFormatting>
  <conditionalFormatting sqref="D7">
    <cfRule type="timePeriod" dxfId="84" priority="50" timePeriod="tomorrow">
      <formula>FLOOR(D7,1)=TODAY()+1</formula>
    </cfRule>
  </conditionalFormatting>
  <conditionalFormatting sqref="E7">
    <cfRule type="timePeriod" dxfId="83" priority="49" timePeriod="tomorrow">
      <formula>FLOOR(E7,1)=TODAY()+1</formula>
    </cfRule>
  </conditionalFormatting>
  <conditionalFormatting sqref="D7">
    <cfRule type="timePeriod" dxfId="82" priority="48" timePeriod="tomorrow">
      <formula>FLOOR(D7,1)=TODAY()+1</formula>
    </cfRule>
  </conditionalFormatting>
  <conditionalFormatting sqref="E7">
    <cfRule type="timePeriod" dxfId="81" priority="47" timePeriod="tomorrow">
      <formula>FLOOR(E7,1)=TODAY()+1</formula>
    </cfRule>
  </conditionalFormatting>
  <conditionalFormatting sqref="D7">
    <cfRule type="timePeriod" dxfId="80" priority="46" timePeriod="tomorrow">
      <formula>FLOOR(D7,1)=TODAY()+1</formula>
    </cfRule>
  </conditionalFormatting>
  <conditionalFormatting sqref="E7">
    <cfRule type="timePeriod" dxfId="79" priority="45" timePeriod="tomorrow">
      <formula>FLOOR(E7,1)=TODAY()+1</formula>
    </cfRule>
  </conditionalFormatting>
  <conditionalFormatting sqref="D7">
    <cfRule type="timePeriod" dxfId="78" priority="44" timePeriod="tomorrow">
      <formula>FLOOR(D7,1)=TODAY()+1</formula>
    </cfRule>
  </conditionalFormatting>
  <conditionalFormatting sqref="E7">
    <cfRule type="timePeriod" dxfId="77" priority="43" timePeriod="tomorrow">
      <formula>FLOOR(E7,1)=TODAY()+1</formula>
    </cfRule>
  </conditionalFormatting>
  <conditionalFormatting sqref="D7">
    <cfRule type="timePeriod" dxfId="76" priority="42" timePeriod="tomorrow">
      <formula>FLOOR(D7,1)=TODAY()+1</formula>
    </cfRule>
  </conditionalFormatting>
  <conditionalFormatting sqref="E7">
    <cfRule type="timePeriod" dxfId="75" priority="41" timePeriod="tomorrow">
      <formula>FLOOR(E7,1)=TODAY()+1</formula>
    </cfRule>
  </conditionalFormatting>
  <conditionalFormatting sqref="D7">
    <cfRule type="timePeriod" dxfId="74" priority="40" timePeriod="tomorrow">
      <formula>FLOOR(D7,1)=TODAY()+1</formula>
    </cfRule>
  </conditionalFormatting>
  <conditionalFormatting sqref="E7">
    <cfRule type="timePeriod" dxfId="73" priority="39" timePeriod="tomorrow">
      <formula>FLOOR(E7,1)=TODAY()+1</formula>
    </cfRule>
  </conditionalFormatting>
  <conditionalFormatting sqref="D7">
    <cfRule type="timePeriod" dxfId="72" priority="38" timePeriod="tomorrow">
      <formula>FLOOR(D7,1)=TODAY()+1</formula>
    </cfRule>
  </conditionalFormatting>
  <conditionalFormatting sqref="E7">
    <cfRule type="timePeriod" dxfId="71" priority="37" timePeriod="tomorrow">
      <formula>FLOOR(E7,1)=TODAY()+1</formula>
    </cfRule>
  </conditionalFormatting>
  <conditionalFormatting sqref="D7">
    <cfRule type="timePeriod" dxfId="70" priority="36" timePeriod="tomorrow">
      <formula>FLOOR(D7,1)=TODAY()+1</formula>
    </cfRule>
  </conditionalFormatting>
  <conditionalFormatting sqref="E7">
    <cfRule type="timePeriod" dxfId="69" priority="35" timePeriod="tomorrow">
      <formula>FLOOR(E7,1)=TODAY()+1</formula>
    </cfRule>
  </conditionalFormatting>
  <conditionalFormatting sqref="D7">
    <cfRule type="timePeriod" dxfId="68" priority="34" timePeriod="tomorrow">
      <formula>FLOOR(D7,1)=TODAY()+1</formula>
    </cfRule>
  </conditionalFormatting>
  <conditionalFormatting sqref="E7">
    <cfRule type="timePeriod" dxfId="67" priority="33" timePeriod="tomorrow">
      <formula>FLOOR(E7,1)=TODAY()+1</formula>
    </cfRule>
  </conditionalFormatting>
  <conditionalFormatting sqref="D7">
    <cfRule type="timePeriod" dxfId="66" priority="32" timePeriod="tomorrow">
      <formula>FLOOR(D7,1)=TODAY()+1</formula>
    </cfRule>
  </conditionalFormatting>
  <conditionalFormatting sqref="E7">
    <cfRule type="timePeriod" dxfId="65" priority="31" timePeriod="tomorrow">
      <formula>FLOOR(E7,1)=TODAY()+1</formula>
    </cfRule>
  </conditionalFormatting>
  <conditionalFormatting sqref="D7">
    <cfRule type="timePeriod" dxfId="64" priority="30" timePeriod="tomorrow">
      <formula>FLOOR(D7,1)=TODAY()+1</formula>
    </cfRule>
  </conditionalFormatting>
  <conditionalFormatting sqref="E7">
    <cfRule type="timePeriod" dxfId="63" priority="29" timePeriod="tomorrow">
      <formula>FLOOR(E7,1)=TODAY()+1</formula>
    </cfRule>
  </conditionalFormatting>
  <conditionalFormatting sqref="D7">
    <cfRule type="timePeriod" dxfId="62" priority="28" timePeriod="tomorrow">
      <formula>FLOOR(D7,1)=TODAY()+1</formula>
    </cfRule>
  </conditionalFormatting>
  <conditionalFormatting sqref="E7">
    <cfRule type="timePeriod" dxfId="61" priority="27" timePeriod="tomorrow">
      <formula>FLOOR(E7,1)=TODAY()+1</formula>
    </cfRule>
  </conditionalFormatting>
  <conditionalFormatting sqref="D7">
    <cfRule type="timePeriod" dxfId="60" priority="26" timePeriod="tomorrow">
      <formula>FLOOR(D7,1)=TODAY()+1</formula>
    </cfRule>
  </conditionalFormatting>
  <conditionalFormatting sqref="E7">
    <cfRule type="timePeriod" dxfId="59" priority="25" timePeriod="tomorrow">
      <formula>FLOOR(E7,1)=TODAY()+1</formula>
    </cfRule>
  </conditionalFormatting>
  <conditionalFormatting sqref="D7">
    <cfRule type="timePeriod" dxfId="58" priority="24" timePeriod="tomorrow">
      <formula>FLOOR(D7,1)=TODAY()+1</formula>
    </cfRule>
  </conditionalFormatting>
  <conditionalFormatting sqref="E7">
    <cfRule type="timePeriod" dxfId="57" priority="23" timePeriod="tomorrow">
      <formula>FLOOR(E7,1)=TODAY()+1</formula>
    </cfRule>
  </conditionalFormatting>
  <conditionalFormatting sqref="D7">
    <cfRule type="timePeriod" dxfId="56" priority="22" timePeriod="tomorrow">
      <formula>FLOOR(D7,1)=TODAY()+1</formula>
    </cfRule>
  </conditionalFormatting>
  <conditionalFormatting sqref="E7">
    <cfRule type="timePeriod" dxfId="55" priority="21" timePeriod="tomorrow">
      <formula>FLOOR(E7,1)=TODAY()+1</formula>
    </cfRule>
  </conditionalFormatting>
  <conditionalFormatting sqref="D7">
    <cfRule type="timePeriod" dxfId="54" priority="20" timePeriod="tomorrow">
      <formula>FLOOR(D7,1)=TODAY()+1</formula>
    </cfRule>
  </conditionalFormatting>
  <conditionalFormatting sqref="E7">
    <cfRule type="timePeriod" dxfId="53" priority="19" timePeriod="tomorrow">
      <formula>FLOOR(E7,1)=TODAY()+1</formula>
    </cfRule>
  </conditionalFormatting>
  <conditionalFormatting sqref="D7">
    <cfRule type="timePeriod" dxfId="52" priority="18" timePeriod="tomorrow">
      <formula>FLOOR(D7,1)=TODAY()+1</formula>
    </cfRule>
  </conditionalFormatting>
  <conditionalFormatting sqref="E7">
    <cfRule type="timePeriod" dxfId="51" priority="17" timePeriod="tomorrow">
      <formula>FLOOR(E7,1)=TODAY()+1</formula>
    </cfRule>
  </conditionalFormatting>
  <conditionalFormatting sqref="D7">
    <cfRule type="timePeriod" dxfId="50" priority="16" timePeriod="tomorrow">
      <formula>FLOOR(D7,1)=TODAY()+1</formula>
    </cfRule>
  </conditionalFormatting>
  <conditionalFormatting sqref="E7">
    <cfRule type="timePeriod" dxfId="49" priority="15" timePeriod="tomorrow">
      <formula>FLOOR(E7,1)=TODAY()+1</formula>
    </cfRule>
  </conditionalFormatting>
  <conditionalFormatting sqref="D7">
    <cfRule type="timePeriod" dxfId="48" priority="14" timePeriod="tomorrow">
      <formula>FLOOR(D7,1)=TODAY()+1</formula>
    </cfRule>
  </conditionalFormatting>
  <conditionalFormatting sqref="E7">
    <cfRule type="timePeriod" dxfId="47" priority="13" timePeriod="tomorrow">
      <formula>FLOOR(E7,1)=TODAY()+1</formula>
    </cfRule>
  </conditionalFormatting>
  <conditionalFormatting sqref="D7">
    <cfRule type="timePeriod" dxfId="46" priority="12" timePeriod="tomorrow">
      <formula>FLOOR(D7,1)=TODAY()+1</formula>
    </cfRule>
  </conditionalFormatting>
  <conditionalFormatting sqref="E7">
    <cfRule type="timePeriod" dxfId="45" priority="11" timePeriod="tomorrow">
      <formula>FLOOR(E7,1)=TODAY()+1</formula>
    </cfRule>
  </conditionalFormatting>
  <conditionalFormatting sqref="D7">
    <cfRule type="timePeriod" dxfId="44" priority="10" timePeriod="tomorrow">
      <formula>FLOOR(D7,1)=TODAY()+1</formula>
    </cfRule>
  </conditionalFormatting>
  <conditionalFormatting sqref="E7">
    <cfRule type="timePeriod" dxfId="43" priority="9" timePeriod="tomorrow">
      <formula>FLOOR(E7,1)=TODAY()+1</formula>
    </cfRule>
  </conditionalFormatting>
  <conditionalFormatting sqref="D7">
    <cfRule type="timePeriod" dxfId="42" priority="8" timePeriod="tomorrow">
      <formula>FLOOR(D7,1)=TODAY()+1</formula>
    </cfRule>
  </conditionalFormatting>
  <conditionalFormatting sqref="E7">
    <cfRule type="timePeriod" dxfId="41" priority="7" timePeriod="tomorrow">
      <formula>FLOOR(E7,1)=TODAY()+1</formula>
    </cfRule>
  </conditionalFormatting>
  <conditionalFormatting sqref="D7">
    <cfRule type="timePeriod" dxfId="40" priority="6" timePeriod="tomorrow">
      <formula>FLOOR(D7,1)=TODAY()+1</formula>
    </cfRule>
  </conditionalFormatting>
  <conditionalFormatting sqref="E7">
    <cfRule type="timePeriod" dxfId="39" priority="5" timePeriod="tomorrow">
      <formula>FLOOR(E7,1)=TODAY()+1</formula>
    </cfRule>
  </conditionalFormatting>
  <conditionalFormatting sqref="D7">
    <cfRule type="timePeriod" dxfId="38" priority="4" timePeriod="tomorrow">
      <formula>FLOOR(D7,1)=TODAY()+1</formula>
    </cfRule>
  </conditionalFormatting>
  <conditionalFormatting sqref="E7">
    <cfRule type="timePeriod" dxfId="37" priority="3" timePeriod="tomorrow">
      <formula>FLOOR(E7,1)=TODAY()+1</formula>
    </cfRule>
  </conditionalFormatting>
  <conditionalFormatting sqref="D7">
    <cfRule type="timePeriod" dxfId="36" priority="2" timePeriod="tomorrow">
      <formula>FLOOR(D7,1)=TODAY()+1</formula>
    </cfRule>
  </conditionalFormatting>
  <conditionalFormatting sqref="E7">
    <cfRule type="timePeriod" dxfId="35" priority="1" timePeriod="tomorrow">
      <formula>FLOOR(E7,1)=TODAY()+1</formula>
    </cfRule>
  </conditionalFormatting>
  <pageMargins left="0.73958333333333337" right="0.7" top="1.1354166666666667" bottom="0.75" header="0.3" footer="0.3"/>
  <pageSetup orientation="portrait" r:id="rId1"/>
  <headerFooter>
    <oddHeader>&amp;L&amp;G</oddHeader>
    <oddFooter>&amp;R&amp;"-,Italic"&amp;P&amp;L&amp;"Calibri,Bold"&amp;11Day-ahead report 19/01/2018</oddFooter>
  </headerFooter>
  <legacyDrawingHF r:id="rId2"/>
</worksheet>
</file>

<file path=xl/worksheets/sheet5.xml><?xml version="1.0" encoding="utf-8"?>
<worksheet xmlns="http://schemas.openxmlformats.org/spreadsheetml/2006/main" xmlns:r="http://schemas.openxmlformats.org/officeDocument/2006/relationships">
  <sheetPr codeName="Sheet12">
    <tabColor rgb="FFFFFF00"/>
  </sheetPr>
  <dimension ref="A1:J39"/>
  <sheetViews>
    <sheetView showGridLines="0" view="pageLayout" zoomScale="90" zoomScalePageLayoutView="90" workbookViewId="0">
      <selection activeCell="A7" sqref="A7"/>
    </sheetView>
  </sheetViews>
  <sheetFormatPr defaultColWidth="9.140625" defaultRowHeight="15"/>
  <cols>
    <col min="1" max="1" width="23" style="9" customWidth="1"/>
    <col min="2" max="2" width="7.42578125" style="8" bestFit="1" customWidth="1"/>
    <col min="3" max="3" width="20" style="8" bestFit="1" customWidth="1"/>
    <col min="4" max="4" width="9.5703125" style="8" bestFit="1" customWidth="1"/>
    <col min="5" max="5" width="22.28515625" style="9" bestFit="1" customWidth="1"/>
    <col min="6" max="6" width="13" style="9" customWidth="1"/>
    <col min="7" max="7" width="7.140625" style="9" customWidth="1"/>
    <col min="8" max="10" width="7.140625" style="8" customWidth="1"/>
    <col min="11" max="16384" width="9.140625" style="9"/>
  </cols>
  <sheetData>
    <row r="1" spans="1:10" ht="15.75" thickBot="1"/>
    <row r="2" spans="1:10" s="8" customFormat="1" ht="26.25" customHeight="1" thickBot="1">
      <c r="A2" s="693" t="s">
        <v>191</v>
      </c>
      <c r="B2" s="694"/>
      <c r="C2" s="694"/>
      <c r="D2" s="694"/>
      <c r="E2" s="695"/>
      <c r="F2" s="101" t="s">
        <v>192</v>
      </c>
      <c r="G2" s="9"/>
      <c r="H2" s="9"/>
      <c r="I2" s="9"/>
      <c r="J2" s="9"/>
    </row>
    <row r="3" spans="1:10" s="99" customFormat="1" ht="23.25" customHeight="1">
      <c r="A3" s="186" t="s">
        <v>354</v>
      </c>
      <c r="B3" s="186" t="s">
        <v>415</v>
      </c>
      <c r="C3" s="186" t="s">
        <v>416</v>
      </c>
      <c r="D3" s="186" t="s">
        <v>501</v>
      </c>
      <c r="E3" s="186" t="s">
        <v>490</v>
      </c>
      <c r="F3" s="9"/>
      <c r="G3" s="102"/>
      <c r="H3" s="8"/>
      <c r="I3" s="8"/>
      <c r="J3" s="8"/>
    </row>
    <row r="4" spans="1:10">
      <c r="A4" s="186" t="s">
        <v>461</v>
      </c>
      <c r="B4" s="186">
        <v>1</v>
      </c>
      <c r="C4" s="186">
        <v>411</v>
      </c>
      <c r="D4" s="186">
        <v>1</v>
      </c>
      <c r="E4" s="186">
        <v>411</v>
      </c>
      <c r="G4" s="102"/>
      <c r="H4" s="9"/>
      <c r="I4" s="9"/>
      <c r="J4" s="9"/>
    </row>
    <row r="5" spans="1:10">
      <c r="A5" s="186" t="s">
        <v>462</v>
      </c>
      <c r="B5" s="186">
        <v>16</v>
      </c>
      <c r="C5" s="186">
        <v>-160</v>
      </c>
      <c r="D5" s="186">
        <v>16</v>
      </c>
      <c r="E5" s="186">
        <v>-160</v>
      </c>
      <c r="H5" s="9"/>
      <c r="I5" s="9"/>
      <c r="J5" s="9"/>
    </row>
    <row r="6" spans="1:10">
      <c r="A6" s="186" t="s">
        <v>463</v>
      </c>
      <c r="B6" s="186">
        <v>22</v>
      </c>
      <c r="C6" s="186">
        <v>-187</v>
      </c>
      <c r="D6" s="186">
        <v>22</v>
      </c>
      <c r="E6" s="186">
        <v>-187</v>
      </c>
      <c r="H6" s="9"/>
      <c r="I6" s="9"/>
      <c r="J6" s="9"/>
    </row>
    <row r="7" spans="1:10">
      <c r="A7" s="186" t="s">
        <v>464</v>
      </c>
      <c r="B7" s="186">
        <v>67</v>
      </c>
      <c r="C7" s="186">
        <v>607</v>
      </c>
      <c r="D7" s="186">
        <v>67</v>
      </c>
      <c r="E7" s="186">
        <v>607</v>
      </c>
      <c r="H7" s="9"/>
      <c r="I7" s="9"/>
      <c r="J7" s="9"/>
    </row>
    <row r="8" spans="1:10">
      <c r="A8" s="186" t="s">
        <v>465</v>
      </c>
      <c r="B8" s="186">
        <v>67</v>
      </c>
      <c r="C8" s="186">
        <v>626</v>
      </c>
      <c r="D8" s="186">
        <v>67</v>
      </c>
      <c r="E8" s="186">
        <v>626</v>
      </c>
      <c r="H8" s="9"/>
      <c r="I8" s="9"/>
      <c r="J8" s="9"/>
    </row>
    <row r="9" spans="1:10">
      <c r="A9" s="186" t="s">
        <v>466</v>
      </c>
      <c r="B9" s="186">
        <v>27</v>
      </c>
      <c r="C9" s="186">
        <v>888</v>
      </c>
      <c r="D9" s="186">
        <v>27</v>
      </c>
      <c r="E9" s="186">
        <v>888</v>
      </c>
      <c r="H9" s="102"/>
      <c r="I9" s="9"/>
      <c r="J9" s="9"/>
    </row>
    <row r="10" spans="1:10">
      <c r="A10" s="186" t="s">
        <v>467</v>
      </c>
      <c r="B10" s="186">
        <v>21</v>
      </c>
      <c r="C10" s="186">
        <v>133</v>
      </c>
      <c r="D10" s="186">
        <v>21</v>
      </c>
      <c r="E10" s="186">
        <v>133</v>
      </c>
      <c r="I10" s="9"/>
      <c r="J10" s="9"/>
    </row>
    <row r="11" spans="1:10">
      <c r="A11" s="186" t="s">
        <v>468</v>
      </c>
      <c r="B11" s="186">
        <v>10</v>
      </c>
      <c r="C11" s="186">
        <v>-106</v>
      </c>
      <c r="D11" s="186">
        <v>10</v>
      </c>
      <c r="E11" s="186">
        <v>-106</v>
      </c>
      <c r="F11" s="186"/>
    </row>
    <row r="12" spans="1:10">
      <c r="A12" s="186" t="s">
        <v>469</v>
      </c>
      <c r="B12" s="186">
        <v>5</v>
      </c>
      <c r="C12" s="186">
        <v>-80</v>
      </c>
      <c r="D12" s="186">
        <v>5</v>
      </c>
      <c r="E12" s="186">
        <v>-80</v>
      </c>
      <c r="F12" s="186"/>
      <c r="G12" s="178"/>
    </row>
    <row r="13" spans="1:10">
      <c r="A13" s="186" t="s">
        <v>470</v>
      </c>
      <c r="B13" s="186">
        <v>27</v>
      </c>
      <c r="C13" s="186">
        <v>-192</v>
      </c>
      <c r="D13" s="186">
        <v>27</v>
      </c>
      <c r="E13" s="186">
        <v>-192</v>
      </c>
      <c r="F13" s="186"/>
      <c r="G13" s="178"/>
      <c r="H13" s="178"/>
      <c r="I13" s="178"/>
      <c r="J13" s="33"/>
    </row>
    <row r="14" spans="1:10">
      <c r="A14" s="186" t="s">
        <v>471</v>
      </c>
      <c r="B14" s="186">
        <v>18</v>
      </c>
      <c r="C14" s="186">
        <v>-53</v>
      </c>
      <c r="D14" s="186">
        <v>18</v>
      </c>
      <c r="E14" s="186">
        <v>-53</v>
      </c>
      <c r="F14" s="186"/>
      <c r="G14" s="178"/>
      <c r="H14" s="178"/>
      <c r="I14" s="178"/>
      <c r="J14" s="33"/>
    </row>
    <row r="15" spans="1:10">
      <c r="A15" s="186" t="s">
        <v>443</v>
      </c>
      <c r="B15" s="186">
        <v>-99999</v>
      </c>
      <c r="C15" s="186">
        <v>611</v>
      </c>
      <c r="D15" s="186">
        <v>-99999</v>
      </c>
      <c r="E15" s="186">
        <v>611</v>
      </c>
      <c r="F15" s="186"/>
      <c r="G15" s="178"/>
      <c r="H15" s="178"/>
      <c r="I15" s="178"/>
      <c r="J15" s="33"/>
    </row>
    <row r="16" spans="1:10">
      <c r="A16" s="186" t="s">
        <v>460</v>
      </c>
      <c r="B16" s="186">
        <v>-99999</v>
      </c>
      <c r="C16" s="186">
        <v>409</v>
      </c>
      <c r="D16" s="186">
        <v>-99999</v>
      </c>
      <c r="E16" s="186">
        <v>409</v>
      </c>
      <c r="F16" s="186"/>
      <c r="G16" s="178"/>
      <c r="H16" s="178"/>
      <c r="I16" s="178"/>
      <c r="J16" s="33"/>
    </row>
    <row r="17" spans="1:10">
      <c r="A17" s="167"/>
      <c r="B17" s="162"/>
      <c r="C17" s="162"/>
      <c r="D17" s="162"/>
      <c r="E17" s="39"/>
      <c r="F17" s="39"/>
      <c r="G17" s="33"/>
      <c r="H17" s="33"/>
      <c r="I17" s="33"/>
      <c r="J17" s="33"/>
    </row>
    <row r="18" spans="1:10" ht="15.75" thickBot="1">
      <c r="A18" s="33"/>
      <c r="B18" s="100"/>
      <c r="C18" s="100"/>
      <c r="D18" s="100"/>
      <c r="E18" s="39"/>
      <c r="F18" s="39"/>
      <c r="G18" s="33"/>
      <c r="H18" s="33"/>
      <c r="I18" s="33"/>
      <c r="J18" s="33"/>
    </row>
    <row r="19" spans="1:10" ht="26.25" customHeight="1" thickBot="1">
      <c r="A19" s="696" t="s">
        <v>205</v>
      </c>
      <c r="B19" s="697"/>
      <c r="C19" s="697"/>
      <c r="D19" s="697"/>
      <c r="E19" s="698"/>
      <c r="F19" s="39"/>
      <c r="G19" s="33"/>
      <c r="H19" s="33"/>
      <c r="I19" s="33"/>
      <c r="J19" s="33"/>
    </row>
    <row r="20" spans="1:10" ht="26.25" customHeight="1">
      <c r="A20" s="186" t="s">
        <v>354</v>
      </c>
      <c r="B20" s="186" t="s">
        <v>415</v>
      </c>
      <c r="C20" s="186" t="s">
        <v>416</v>
      </c>
      <c r="D20" s="186" t="s">
        <v>501</v>
      </c>
      <c r="E20" s="186" t="s">
        <v>490</v>
      </c>
      <c r="F20" s="39"/>
      <c r="G20" s="167"/>
      <c r="H20" s="167"/>
      <c r="I20" s="167"/>
      <c r="J20" s="33"/>
    </row>
    <row r="21" spans="1:10">
      <c r="A21" s="186" t="s">
        <v>461</v>
      </c>
      <c r="B21" s="186">
        <v>1</v>
      </c>
      <c r="C21" s="186">
        <v>817</v>
      </c>
      <c r="D21" s="186">
        <v>1</v>
      </c>
      <c r="E21" s="186">
        <v>1385</v>
      </c>
      <c r="F21" s="39"/>
      <c r="G21" s="167"/>
      <c r="H21" s="167"/>
      <c r="I21" s="167"/>
      <c r="J21" s="33"/>
    </row>
    <row r="22" spans="1:10">
      <c r="A22" s="186" t="s">
        <v>462</v>
      </c>
      <c r="B22" s="186">
        <v>33</v>
      </c>
      <c r="C22" s="186">
        <v>-194</v>
      </c>
      <c r="D22" s="186">
        <v>33</v>
      </c>
      <c r="E22" s="186">
        <v>-332</v>
      </c>
      <c r="F22" s="39"/>
      <c r="G22" s="167"/>
      <c r="H22" s="167"/>
      <c r="I22" s="167"/>
      <c r="J22" s="33"/>
    </row>
    <row r="23" spans="1:10">
      <c r="A23" s="186" t="s">
        <v>463</v>
      </c>
      <c r="B23" s="186">
        <v>14</v>
      </c>
      <c r="C23" s="186">
        <v>-191</v>
      </c>
      <c r="D23" s="186">
        <v>14</v>
      </c>
      <c r="E23" s="186">
        <v>-217</v>
      </c>
      <c r="F23" s="39"/>
      <c r="G23" s="167"/>
      <c r="H23" s="167"/>
      <c r="I23" s="167"/>
      <c r="J23" s="33"/>
    </row>
    <row r="24" spans="1:10">
      <c r="A24" s="186" t="s">
        <v>464</v>
      </c>
      <c r="B24" s="186">
        <v>66</v>
      </c>
      <c r="C24" s="186">
        <v>856</v>
      </c>
      <c r="D24" s="186">
        <v>66</v>
      </c>
      <c r="E24" s="186">
        <v>0</v>
      </c>
      <c r="F24" s="39"/>
      <c r="G24" s="167"/>
      <c r="H24" s="167"/>
      <c r="I24" s="167"/>
      <c r="J24" s="33"/>
    </row>
    <row r="25" spans="1:10">
      <c r="A25" s="186" t="s">
        <v>465</v>
      </c>
      <c r="B25" s="186">
        <v>61</v>
      </c>
      <c r="C25" s="186">
        <v>860</v>
      </c>
      <c r="D25" s="186">
        <v>61</v>
      </c>
      <c r="E25" s="186">
        <v>0</v>
      </c>
      <c r="F25" s="39"/>
      <c r="G25" s="167"/>
      <c r="H25" s="167"/>
      <c r="I25" s="167"/>
      <c r="J25" s="33"/>
    </row>
    <row r="26" spans="1:10">
      <c r="A26" s="186" t="s">
        <v>466</v>
      </c>
      <c r="B26" s="186">
        <v>39</v>
      </c>
      <c r="C26" s="186">
        <v>907</v>
      </c>
      <c r="D26" s="186">
        <v>39</v>
      </c>
      <c r="E26" s="186">
        <v>995</v>
      </c>
      <c r="F26" s="39"/>
      <c r="G26" s="167"/>
      <c r="H26" s="167"/>
      <c r="I26" s="167"/>
      <c r="J26" s="33"/>
    </row>
    <row r="27" spans="1:10">
      <c r="A27" s="186" t="s">
        <v>467</v>
      </c>
      <c r="B27" s="186">
        <v>20</v>
      </c>
      <c r="C27" s="186">
        <v>120</v>
      </c>
      <c r="D27" s="186">
        <v>20</v>
      </c>
      <c r="E27" s="186">
        <v>156</v>
      </c>
      <c r="F27" s="39"/>
      <c r="G27" s="167"/>
      <c r="H27" s="167"/>
      <c r="I27" s="167"/>
      <c r="J27" s="33"/>
    </row>
    <row r="28" spans="1:10">
      <c r="A28" s="186" t="s">
        <v>468</v>
      </c>
      <c r="B28" s="186">
        <v>10</v>
      </c>
      <c r="C28" s="186">
        <v>22</v>
      </c>
      <c r="D28" s="186">
        <v>10</v>
      </c>
      <c r="E28" s="186">
        <v>111</v>
      </c>
      <c r="F28" s="39"/>
      <c r="G28" s="167"/>
      <c r="H28" s="167"/>
      <c r="I28" s="167"/>
      <c r="J28" s="33"/>
    </row>
    <row r="29" spans="1:10">
      <c r="A29" s="186" t="s">
        <v>469</v>
      </c>
      <c r="B29" s="186">
        <v>5</v>
      </c>
      <c r="C29" s="186">
        <v>-65</v>
      </c>
      <c r="D29" s="186">
        <v>5</v>
      </c>
      <c r="E29" s="186">
        <v>-120</v>
      </c>
      <c r="F29" s="39"/>
      <c r="G29" s="167"/>
      <c r="H29" s="167"/>
      <c r="I29" s="167"/>
      <c r="J29" s="33"/>
    </row>
    <row r="30" spans="1:10">
      <c r="A30" s="186" t="s">
        <v>470</v>
      </c>
      <c r="B30" s="186">
        <v>24</v>
      </c>
      <c r="C30" s="186">
        <v>-43</v>
      </c>
      <c r="D30" s="186">
        <v>22</v>
      </c>
      <c r="E30" s="186">
        <v>-29</v>
      </c>
      <c r="F30" s="39"/>
      <c r="G30" s="167"/>
      <c r="H30" s="167"/>
      <c r="I30" s="167"/>
      <c r="J30" s="33"/>
    </row>
    <row r="31" spans="1:10">
      <c r="A31" s="186" t="s">
        <v>471</v>
      </c>
      <c r="B31" s="186">
        <v>18</v>
      </c>
      <c r="C31" s="186">
        <v>-23</v>
      </c>
      <c r="D31" s="186">
        <v>18</v>
      </c>
      <c r="E31" s="186">
        <v>-71</v>
      </c>
      <c r="F31" s="39"/>
      <c r="G31" s="167"/>
      <c r="H31" s="167"/>
      <c r="I31" s="167"/>
      <c r="J31" s="33"/>
    </row>
    <row r="32" spans="1:10">
      <c r="A32" s="186" t="s">
        <v>443</v>
      </c>
      <c r="B32" s="186">
        <v>-99999</v>
      </c>
      <c r="C32" s="186">
        <v>865</v>
      </c>
      <c r="D32" s="186">
        <v>-99999</v>
      </c>
      <c r="E32" s="186">
        <v>0</v>
      </c>
      <c r="F32" s="39"/>
      <c r="G32" s="167"/>
      <c r="H32" s="167"/>
      <c r="I32" s="167"/>
      <c r="J32" s="33"/>
    </row>
    <row r="33" spans="1:10">
      <c r="A33" s="186" t="s">
        <v>460</v>
      </c>
      <c r="B33" s="186">
        <v>-99999</v>
      </c>
      <c r="C33" s="186">
        <v>928</v>
      </c>
      <c r="D33" s="186">
        <v>-99999</v>
      </c>
      <c r="E33" s="186">
        <v>1482</v>
      </c>
      <c r="F33" s="39"/>
      <c r="G33" s="167"/>
      <c r="H33" s="167"/>
      <c r="I33" s="167"/>
      <c r="J33" s="33"/>
    </row>
    <row r="34" spans="1:10">
      <c r="A34" s="178"/>
      <c r="B34" s="162"/>
      <c r="C34" s="162"/>
      <c r="D34" s="162"/>
      <c r="E34" s="186"/>
      <c r="F34" s="39"/>
      <c r="G34" s="33"/>
      <c r="H34" s="33"/>
      <c r="I34" s="33"/>
      <c r="J34" s="33"/>
    </row>
    <row r="35" spans="1:10">
      <c r="A35" s="167"/>
      <c r="B35" s="162"/>
      <c r="C35" s="162"/>
      <c r="D35" s="162"/>
      <c r="E35" s="39"/>
      <c r="F35" s="39"/>
      <c r="G35" s="33"/>
      <c r="H35" s="33"/>
      <c r="I35" s="33"/>
      <c r="J35" s="33"/>
    </row>
    <row r="36" spans="1:10">
      <c r="A36" s="104" t="s">
        <v>195</v>
      </c>
      <c r="C36" s="162"/>
      <c r="D36" s="162"/>
      <c r="E36" s="39"/>
      <c r="F36" s="39"/>
      <c r="G36" s="33"/>
      <c r="H36" s="33"/>
      <c r="I36" s="33"/>
      <c r="J36" s="33"/>
    </row>
    <row r="37" spans="1:10">
      <c r="A37" s="105" t="s">
        <v>196</v>
      </c>
      <c r="B37" s="162"/>
      <c r="C37" s="162"/>
      <c r="D37" s="162"/>
      <c r="E37" s="39"/>
      <c r="F37" s="39"/>
      <c r="G37" s="33"/>
      <c r="H37" s="33"/>
      <c r="I37" s="33"/>
      <c r="J37" s="33"/>
    </row>
    <row r="38" spans="1:10">
      <c r="A38" s="105" t="s">
        <v>326</v>
      </c>
      <c r="B38" s="162"/>
      <c r="C38" s="162"/>
      <c r="D38" s="162"/>
      <c r="E38" s="39"/>
      <c r="F38" s="39"/>
      <c r="G38" s="33"/>
      <c r="H38" s="33"/>
      <c r="I38" s="33"/>
      <c r="J38" s="33"/>
    </row>
    <row r="39" spans="1:10">
      <c r="A39" s="33"/>
      <c r="B39" s="100"/>
      <c r="C39" s="100"/>
      <c r="D39" s="100"/>
      <c r="E39" s="39"/>
      <c r="F39" s="39"/>
      <c r="G39" s="33"/>
      <c r="H39" s="33"/>
      <c r="I39" s="33"/>
      <c r="J39" s="33"/>
    </row>
  </sheetData>
  <mergeCells count="2">
    <mergeCell ref="A2:E2"/>
    <mergeCell ref="A19:E19"/>
  </mergeCells>
  <pageMargins left="0.7" right="0.7" top="1.1354166666666667" bottom="0.75" header="0.3" footer="0.3"/>
  <pageSetup orientation="portrait" r:id="rId1"/>
  <headerFooter>
    <oddHeader>&amp;L&amp;G</oddHeader>
    <oddFooter>&amp;R&amp;"-,Italic"&amp;P&amp;L&amp;"Calibri,Bold"&amp;11Day-ahead report 19/01/2018</oddFooter>
  </headerFooter>
  <legacyDrawingHF r:id="rId2"/>
</worksheet>
</file>

<file path=xl/worksheets/sheet6.xml><?xml version="1.0" encoding="utf-8"?>
<worksheet xmlns="http://schemas.openxmlformats.org/spreadsheetml/2006/main" xmlns:r="http://schemas.openxmlformats.org/officeDocument/2006/relationships">
  <sheetPr codeName="Sheet3">
    <tabColor rgb="FFFFFF00"/>
  </sheetPr>
  <dimension ref="A2:BI182"/>
  <sheetViews>
    <sheetView showGridLines="0" topLeftCell="A66" zoomScale="115" zoomScaleNormal="115" zoomScalePageLayoutView="85" workbookViewId="0">
      <selection activeCell="A74" sqref="A74:XFD75"/>
    </sheetView>
  </sheetViews>
  <sheetFormatPr defaultColWidth="9.140625" defaultRowHeight="15"/>
  <cols>
    <col min="1" max="1" width="16.28515625" style="150" customWidth="1"/>
    <col min="2" max="2" width="1.5703125" style="66" customWidth="1"/>
    <col min="3" max="6" width="1.5703125" style="88" customWidth="1"/>
    <col min="7" max="12" width="1.5703125" style="129" customWidth="1"/>
    <col min="13" max="63" width="1.5703125" style="66" customWidth="1"/>
    <col min="64" max="116" width="9.140625" style="66" customWidth="1"/>
    <col min="117" max="16384" width="9.140625" style="66"/>
  </cols>
  <sheetData>
    <row r="2" spans="1:61" ht="21">
      <c r="A2" s="149"/>
      <c r="B2" s="95" t="s">
        <v>278</v>
      </c>
    </row>
    <row r="3" spans="1:61">
      <c r="A3" s="788" t="s">
        <v>321</v>
      </c>
      <c r="B3" s="128"/>
      <c r="C3" s="128"/>
      <c r="D3" s="128"/>
      <c r="E3" s="128"/>
      <c r="F3" s="128"/>
      <c r="G3" s="130"/>
      <c r="H3" s="130"/>
      <c r="I3" s="130"/>
      <c r="J3" s="130"/>
      <c r="K3" s="130"/>
      <c r="L3" s="130"/>
      <c r="M3" s="123"/>
      <c r="N3" s="123"/>
      <c r="O3" s="123"/>
      <c r="P3" s="123"/>
      <c r="Q3" s="123"/>
      <c r="R3" s="123"/>
      <c r="S3" s="123"/>
      <c r="T3" s="123"/>
      <c r="U3" s="123"/>
      <c r="V3" s="123"/>
      <c r="W3" s="123"/>
      <c r="X3" s="123"/>
      <c r="Y3" s="123"/>
      <c r="Z3" s="123"/>
      <c r="AA3" s="123"/>
      <c r="AB3" s="123"/>
      <c r="AC3" s="123"/>
      <c r="AD3" s="123"/>
      <c r="AE3" s="123"/>
      <c r="AF3" s="123"/>
      <c r="AG3" s="123"/>
      <c r="AH3" s="123"/>
      <c r="AI3" s="123"/>
      <c r="AJ3" s="123"/>
      <c r="AK3" s="123"/>
      <c r="AL3" s="123"/>
      <c r="AM3" s="123"/>
      <c r="AN3" s="123"/>
      <c r="AO3" s="123"/>
      <c r="AP3" s="123"/>
      <c r="AQ3" s="123"/>
      <c r="AR3" s="123"/>
      <c r="AS3" s="123"/>
      <c r="AT3" s="123"/>
      <c r="AU3" s="123"/>
      <c r="AV3" s="123"/>
      <c r="AW3" s="123"/>
      <c r="AX3" s="123"/>
      <c r="AY3" s="123"/>
      <c r="AZ3" s="123"/>
      <c r="BA3" s="123"/>
      <c r="BB3" s="123"/>
      <c r="BC3" s="123"/>
      <c r="BD3" s="123"/>
      <c r="BE3" s="123"/>
      <c r="BF3" s="123"/>
      <c r="BG3" s="123"/>
      <c r="BH3" s="123"/>
      <c r="BI3" s="123"/>
    </row>
    <row r="4" spans="1:61">
      <c r="A4" s="788"/>
      <c r="C4" s="92"/>
      <c r="D4" s="92"/>
      <c r="E4" s="92"/>
      <c r="F4" s="92"/>
      <c r="G4" s="258" t="s">
        <v>17</v>
      </c>
      <c r="H4" s="258"/>
      <c r="I4" s="258"/>
      <c r="J4" s="258"/>
      <c r="K4" s="258"/>
      <c r="L4" s="258"/>
      <c r="M4" s="258" t="s">
        <v>172</v>
      </c>
      <c r="N4" s="258"/>
      <c r="O4" s="258"/>
      <c r="P4" s="258"/>
      <c r="Q4" s="258"/>
      <c r="R4" s="258"/>
      <c r="S4" s="258"/>
      <c r="T4" s="258"/>
      <c r="U4" s="258"/>
      <c r="V4" s="258"/>
      <c r="W4" s="258"/>
      <c r="X4" s="258"/>
      <c r="Y4" s="258"/>
      <c r="Z4" s="258"/>
      <c r="AA4" s="258"/>
      <c r="AB4" s="258"/>
      <c r="AC4" s="258"/>
      <c r="AD4" s="258"/>
      <c r="AE4" s="258"/>
      <c r="AF4" s="258"/>
      <c r="AG4" s="258"/>
      <c r="AH4" s="258"/>
      <c r="AI4" s="258"/>
      <c r="AJ4" s="330" t="s">
        <v>43</v>
      </c>
      <c r="AK4" s="331"/>
      <c r="AL4" s="331"/>
      <c r="AM4" s="331"/>
      <c r="AN4" s="331"/>
      <c r="AO4" s="331"/>
      <c r="AP4" s="331"/>
      <c r="AQ4" s="331"/>
      <c r="AR4" s="331"/>
      <c r="AS4" s="331"/>
      <c r="AT4" s="331"/>
      <c r="AU4" s="331"/>
      <c r="AV4" s="331"/>
      <c r="AW4" s="331"/>
      <c r="AX4" s="331"/>
      <c r="AY4" s="331"/>
      <c r="AZ4" s="331"/>
      <c r="BA4" s="331"/>
      <c r="BB4" s="331"/>
      <c r="BC4" s="331"/>
      <c r="BD4" s="331"/>
      <c r="BE4" s="331"/>
      <c r="BF4" s="331"/>
      <c r="BG4" s="331"/>
      <c r="BH4" s="331"/>
      <c r="BI4" s="332"/>
    </row>
    <row r="5" spans="1:61">
      <c r="A5" s="151"/>
      <c r="C5" s="92"/>
      <c r="D5" s="92"/>
      <c r="E5" s="92"/>
      <c r="F5" s="92"/>
      <c r="G5" s="258"/>
      <c r="H5" s="258"/>
      <c r="I5" s="258"/>
      <c r="J5" s="258"/>
      <c r="K5" s="258"/>
      <c r="L5" s="258"/>
      <c r="M5" s="258" t="s">
        <v>44</v>
      </c>
      <c r="N5" s="258"/>
      <c r="O5" s="258"/>
      <c r="P5" s="258" t="s">
        <v>45</v>
      </c>
      <c r="Q5" s="258"/>
      <c r="R5" s="258"/>
      <c r="S5" s="258"/>
      <c r="T5" s="258"/>
      <c r="U5" s="258"/>
      <c r="V5" s="258"/>
      <c r="W5" s="258"/>
      <c r="X5" s="258" t="s">
        <v>46</v>
      </c>
      <c r="Y5" s="258"/>
      <c r="Z5" s="258"/>
      <c r="AA5" s="258"/>
      <c r="AB5" s="258"/>
      <c r="AC5" s="258"/>
      <c r="AD5" s="258"/>
      <c r="AE5" s="258"/>
      <c r="AF5" s="258" t="s">
        <v>47</v>
      </c>
      <c r="AG5" s="258"/>
      <c r="AH5" s="258"/>
      <c r="AI5" s="258"/>
      <c r="AJ5" s="258" t="s">
        <v>48</v>
      </c>
      <c r="AK5" s="258"/>
      <c r="AL5" s="258"/>
      <c r="AM5" s="258"/>
      <c r="AN5" s="259" t="s">
        <v>44</v>
      </c>
      <c r="AO5" s="260"/>
      <c r="AP5" s="261"/>
      <c r="AQ5" s="258" t="s">
        <v>45</v>
      </c>
      <c r="AR5" s="258"/>
      <c r="AS5" s="258"/>
      <c r="AT5" s="258"/>
      <c r="AU5" s="258"/>
      <c r="AV5" s="258"/>
      <c r="AW5" s="258"/>
      <c r="AX5" s="258" t="s">
        <v>46</v>
      </c>
      <c r="AY5" s="258"/>
      <c r="AZ5" s="258"/>
      <c r="BA5" s="258"/>
      <c r="BB5" s="258"/>
      <c r="BC5" s="258"/>
      <c r="BD5" s="258"/>
      <c r="BE5" s="258" t="s">
        <v>47</v>
      </c>
      <c r="BF5" s="258"/>
      <c r="BG5" s="258"/>
      <c r="BH5" s="258"/>
      <c r="BI5" s="258"/>
    </row>
    <row r="6" spans="1:61">
      <c r="A6" s="740"/>
      <c r="C6" s="92"/>
      <c r="D6" s="92"/>
      <c r="E6" s="92"/>
      <c r="F6" s="92"/>
      <c r="G6" s="251"/>
      <c r="H6" s="251"/>
      <c r="I6" s="251"/>
      <c r="J6" s="251"/>
      <c r="K6" s="251"/>
      <c r="L6" s="251"/>
      <c r="M6" s="238"/>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39"/>
      <c r="BH6" s="239"/>
      <c r="BI6" s="240"/>
    </row>
    <row r="7" spans="1:61">
      <c r="A7" s="740"/>
      <c r="C7" s="92"/>
      <c r="D7" s="92"/>
      <c r="E7" s="92"/>
      <c r="F7" s="92"/>
      <c r="G7" s="251"/>
      <c r="H7" s="251"/>
      <c r="I7" s="251"/>
      <c r="J7" s="251"/>
      <c r="K7" s="251"/>
      <c r="L7" s="251"/>
      <c r="M7" s="222" t="s">
        <v>368</v>
      </c>
      <c r="N7" s="782"/>
      <c r="O7" s="782"/>
      <c r="P7" s="782"/>
      <c r="Q7" s="782"/>
      <c r="R7" s="782"/>
      <c r="S7" s="782"/>
      <c r="T7" s="782"/>
      <c r="U7" s="782"/>
      <c r="V7" s="782"/>
      <c r="W7" s="782"/>
      <c r="X7" s="782"/>
      <c r="Y7" s="782"/>
      <c r="Z7" s="782"/>
      <c r="AA7" s="782"/>
      <c r="AB7" s="782"/>
      <c r="AC7" s="782"/>
      <c r="AD7" s="782"/>
      <c r="AE7" s="782"/>
      <c r="AF7" s="782"/>
      <c r="AG7" s="782"/>
      <c r="AH7" s="782"/>
      <c r="AI7" s="782"/>
      <c r="AJ7" s="782"/>
      <c r="AK7" s="782"/>
      <c r="AL7" s="782"/>
      <c r="AM7" s="782"/>
      <c r="AN7" s="782"/>
      <c r="AO7" s="782"/>
      <c r="AP7" s="782"/>
      <c r="AQ7" s="782"/>
      <c r="AR7" s="782"/>
      <c r="AS7" s="782"/>
      <c r="AT7" s="782"/>
      <c r="AU7" s="782"/>
      <c r="AV7" s="782"/>
      <c r="AW7" s="782"/>
      <c r="AX7" s="782"/>
      <c r="AY7" s="782"/>
      <c r="AZ7" s="782"/>
      <c r="BA7" s="782"/>
      <c r="BB7" s="782"/>
      <c r="BC7" s="782"/>
      <c r="BD7" s="782"/>
      <c r="BE7" s="782"/>
      <c r="BF7" s="782"/>
      <c r="BG7" s="782"/>
      <c r="BH7" s="782"/>
      <c r="BI7" s="783"/>
    </row>
    <row r="8" spans="1:61" ht="15" customHeight="1">
      <c r="A8" s="136" t="s">
        <v>292</v>
      </c>
      <c r="B8" s="136"/>
      <c r="C8" s="136"/>
      <c r="D8" s="136"/>
      <c r="E8" s="136"/>
      <c r="F8" s="136"/>
      <c r="G8" s="701" t="s">
        <v>292</v>
      </c>
      <c r="H8" s="702"/>
      <c r="I8" s="702"/>
      <c r="J8" s="702"/>
      <c r="K8" s="702"/>
      <c r="L8" s="708"/>
      <c r="M8" s="246">
        <v>380</v>
      </c>
      <c r="N8" s="247"/>
      <c r="O8" s="248"/>
      <c r="P8" s="246" t="s">
        <v>279</v>
      </c>
      <c r="Q8" s="247"/>
      <c r="R8" s="247"/>
      <c r="S8" s="247"/>
      <c r="T8" s="247"/>
      <c r="U8" s="247"/>
      <c r="V8" s="247"/>
      <c r="W8" s="247"/>
      <c r="X8" s="247"/>
      <c r="Y8" s="247"/>
      <c r="Z8" s="247"/>
      <c r="AA8" s="247"/>
      <c r="AB8" s="247"/>
      <c r="AC8" s="247"/>
      <c r="AD8" s="247"/>
      <c r="AE8" s="248"/>
      <c r="AF8" s="246"/>
      <c r="AG8" s="247"/>
      <c r="AH8" s="247"/>
      <c r="AI8" s="248"/>
      <c r="AJ8" s="252">
        <v>1.33</v>
      </c>
      <c r="AK8" s="253"/>
      <c r="AL8" s="253"/>
      <c r="AM8" s="254"/>
      <c r="AN8" s="246">
        <v>380</v>
      </c>
      <c r="AO8" s="247"/>
      <c r="AP8" s="248"/>
      <c r="AQ8" s="246" t="s">
        <v>146</v>
      </c>
      <c r="AR8" s="247"/>
      <c r="AS8" s="247"/>
      <c r="AT8" s="247"/>
      <c r="AU8" s="247"/>
      <c r="AV8" s="247"/>
      <c r="AW8" s="248"/>
      <c r="AX8" s="238" t="s">
        <v>15</v>
      </c>
      <c r="AY8" s="239"/>
      <c r="AZ8" s="239"/>
      <c r="BA8" s="239"/>
      <c r="BB8" s="239"/>
      <c r="BC8" s="239"/>
      <c r="BD8" s="240"/>
      <c r="BE8" s="246" t="s">
        <v>233</v>
      </c>
      <c r="BF8" s="247"/>
      <c r="BG8" s="247"/>
      <c r="BH8" s="247"/>
      <c r="BI8" s="248"/>
    </row>
    <row r="9" spans="1:61">
      <c r="A9" s="144" t="s">
        <v>292</v>
      </c>
      <c r="B9" s="136"/>
      <c r="C9" s="136"/>
      <c r="D9" s="136"/>
      <c r="E9" s="136"/>
      <c r="F9" s="136"/>
      <c r="G9" s="703"/>
      <c r="H9" s="704"/>
      <c r="I9" s="704"/>
      <c r="J9" s="704"/>
      <c r="K9" s="704"/>
      <c r="L9" s="743"/>
      <c r="M9" s="234"/>
      <c r="N9" s="235"/>
      <c r="O9" s="236"/>
      <c r="P9" s="234"/>
      <c r="Q9" s="235"/>
      <c r="R9" s="235"/>
      <c r="S9" s="235"/>
      <c r="T9" s="235"/>
      <c r="U9" s="235"/>
      <c r="V9" s="235"/>
      <c r="W9" s="235"/>
      <c r="X9" s="235"/>
      <c r="Y9" s="235"/>
      <c r="Z9" s="235"/>
      <c r="AA9" s="235"/>
      <c r="AB9" s="235"/>
      <c r="AC9" s="235"/>
      <c r="AD9" s="235"/>
      <c r="AE9" s="236"/>
      <c r="AF9" s="234"/>
      <c r="AG9" s="235"/>
      <c r="AH9" s="235"/>
      <c r="AI9" s="236"/>
      <c r="AJ9" s="252">
        <v>1.25</v>
      </c>
      <c r="AK9" s="253"/>
      <c r="AL9" s="253"/>
      <c r="AM9" s="254"/>
      <c r="AN9" s="246">
        <v>380</v>
      </c>
      <c r="AO9" s="247"/>
      <c r="AP9" s="248"/>
      <c r="AQ9" s="246" t="s">
        <v>146</v>
      </c>
      <c r="AR9" s="247"/>
      <c r="AS9" s="247"/>
      <c r="AT9" s="247"/>
      <c r="AU9" s="247"/>
      <c r="AV9" s="247"/>
      <c r="AW9" s="248"/>
      <c r="AX9" s="238" t="s">
        <v>158</v>
      </c>
      <c r="AY9" s="239"/>
      <c r="AZ9" s="239"/>
      <c r="BA9" s="239"/>
      <c r="BB9" s="239"/>
      <c r="BC9" s="239"/>
      <c r="BD9" s="240"/>
      <c r="BE9" s="246" t="s">
        <v>233</v>
      </c>
      <c r="BF9" s="247"/>
      <c r="BG9" s="247"/>
      <c r="BH9" s="247"/>
      <c r="BI9" s="248"/>
    </row>
    <row r="10" spans="1:61" ht="33.75" customHeight="1">
      <c r="A10" s="144" t="s">
        <v>292</v>
      </c>
      <c r="B10" s="136"/>
      <c r="C10" s="136"/>
      <c r="D10" s="136"/>
      <c r="E10" s="136"/>
      <c r="F10" s="136"/>
      <c r="G10" s="705"/>
      <c r="H10" s="706"/>
      <c r="I10" s="706"/>
      <c r="J10" s="706"/>
      <c r="K10" s="706"/>
      <c r="L10" s="707"/>
      <c r="M10" s="222" t="s">
        <v>234</v>
      </c>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6"/>
    </row>
    <row r="11" spans="1:61" ht="15" customHeight="1">
      <c r="A11" s="138" t="s">
        <v>292</v>
      </c>
      <c r="B11" s="135"/>
      <c r="C11" s="135"/>
      <c r="D11" s="135"/>
      <c r="E11" s="135"/>
      <c r="F11" s="135"/>
      <c r="G11" s="750" t="s">
        <v>292</v>
      </c>
      <c r="H11" s="751"/>
      <c r="I11" s="751"/>
      <c r="J11" s="751"/>
      <c r="K11" s="751"/>
      <c r="L11" s="752"/>
      <c r="M11" s="246">
        <v>380</v>
      </c>
      <c r="N11" s="247"/>
      <c r="O11" s="248"/>
      <c r="P11" s="238" t="s">
        <v>279</v>
      </c>
      <c r="Q11" s="239"/>
      <c r="R11" s="239"/>
      <c r="S11" s="239"/>
      <c r="T11" s="239"/>
      <c r="U11" s="239"/>
      <c r="V11" s="239"/>
      <c r="W11" s="239"/>
      <c r="X11" s="239"/>
      <c r="Y11" s="239"/>
      <c r="Z11" s="239"/>
      <c r="AA11" s="239"/>
      <c r="AB11" s="239"/>
      <c r="AC11" s="239"/>
      <c r="AD11" s="239"/>
      <c r="AE11" s="240"/>
      <c r="AF11" s="246" t="s">
        <v>93</v>
      </c>
      <c r="AG11" s="247"/>
      <c r="AH11" s="247"/>
      <c r="AI11" s="248"/>
      <c r="AJ11" s="252">
        <v>1.55</v>
      </c>
      <c r="AK11" s="253"/>
      <c r="AL11" s="253"/>
      <c r="AM11" s="254"/>
      <c r="AN11" s="246">
        <v>220</v>
      </c>
      <c r="AO11" s="247"/>
      <c r="AP11" s="248"/>
      <c r="AQ11" s="246" t="s">
        <v>146</v>
      </c>
      <c r="AR11" s="247"/>
      <c r="AS11" s="247"/>
      <c r="AT11" s="247"/>
      <c r="AU11" s="247"/>
      <c r="AV11" s="247"/>
      <c r="AW11" s="248"/>
      <c r="AX11" s="246" t="s">
        <v>158</v>
      </c>
      <c r="AY11" s="247"/>
      <c r="AZ11" s="247"/>
      <c r="BA11" s="247"/>
      <c r="BB11" s="247"/>
      <c r="BC11" s="247"/>
      <c r="BD11" s="248"/>
      <c r="BE11" s="246"/>
      <c r="BF11" s="247"/>
      <c r="BG11" s="247"/>
      <c r="BH11" s="247"/>
      <c r="BI11" s="248"/>
    </row>
    <row r="12" spans="1:61">
      <c r="A12" s="147" t="s">
        <v>292</v>
      </c>
      <c r="B12" s="135"/>
      <c r="C12" s="135"/>
      <c r="D12" s="135"/>
      <c r="E12" s="135"/>
      <c r="F12" s="135"/>
      <c r="G12" s="753"/>
      <c r="H12" s="754"/>
      <c r="I12" s="754"/>
      <c r="J12" s="754"/>
      <c r="K12" s="754"/>
      <c r="L12" s="755"/>
      <c r="M12" s="234"/>
      <c r="N12" s="235"/>
      <c r="O12" s="236"/>
      <c r="P12" s="732" t="s">
        <v>280</v>
      </c>
      <c r="Q12" s="733"/>
      <c r="R12" s="733"/>
      <c r="S12" s="733"/>
      <c r="T12" s="733"/>
      <c r="U12" s="733"/>
      <c r="V12" s="733"/>
      <c r="W12" s="733"/>
      <c r="X12" s="733"/>
      <c r="Y12" s="733"/>
      <c r="Z12" s="733"/>
      <c r="AA12" s="733"/>
      <c r="AB12" s="733"/>
      <c r="AC12" s="733"/>
      <c r="AD12" s="733"/>
      <c r="AE12" s="734"/>
      <c r="AF12" s="234"/>
      <c r="AG12" s="235"/>
      <c r="AH12" s="235"/>
      <c r="AI12" s="236"/>
      <c r="AJ12" s="231"/>
      <c r="AK12" s="232"/>
      <c r="AL12" s="232"/>
      <c r="AM12" s="233"/>
      <c r="AN12" s="234"/>
      <c r="AO12" s="235"/>
      <c r="AP12" s="236"/>
      <c r="AQ12" s="234"/>
      <c r="AR12" s="235"/>
      <c r="AS12" s="235"/>
      <c r="AT12" s="235"/>
      <c r="AU12" s="235"/>
      <c r="AV12" s="235"/>
      <c r="AW12" s="236"/>
      <c r="AX12" s="234"/>
      <c r="AY12" s="235"/>
      <c r="AZ12" s="235"/>
      <c r="BA12" s="235"/>
      <c r="BB12" s="235"/>
      <c r="BC12" s="235"/>
      <c r="BD12" s="236"/>
      <c r="BE12" s="234"/>
      <c r="BF12" s="235"/>
      <c r="BG12" s="235"/>
      <c r="BH12" s="235"/>
      <c r="BI12" s="236"/>
    </row>
    <row r="13" spans="1:61" ht="38.25" customHeight="1">
      <c r="A13" s="147" t="s">
        <v>292</v>
      </c>
      <c r="B13" s="135"/>
      <c r="C13" s="135"/>
      <c r="D13" s="135"/>
      <c r="E13" s="135"/>
      <c r="F13" s="135"/>
      <c r="G13" s="756"/>
      <c r="H13" s="757"/>
      <c r="I13" s="757"/>
      <c r="J13" s="757"/>
      <c r="K13" s="757"/>
      <c r="L13" s="758"/>
      <c r="M13" s="715" t="s">
        <v>302</v>
      </c>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3"/>
      <c r="BI13" s="224"/>
    </row>
    <row r="14" spans="1:61" ht="19.5" customHeight="1">
      <c r="A14" s="154" t="s">
        <v>320</v>
      </c>
      <c r="B14" s="135"/>
      <c r="C14" s="135"/>
      <c r="D14" s="135"/>
      <c r="E14" s="135"/>
      <c r="F14" s="135"/>
      <c r="G14" s="714" t="s">
        <v>320</v>
      </c>
      <c r="H14" s="751"/>
      <c r="I14" s="751"/>
      <c r="J14" s="751"/>
      <c r="K14" s="751"/>
      <c r="L14" s="752"/>
      <c r="M14" s="246">
        <v>380</v>
      </c>
      <c r="N14" s="247"/>
      <c r="O14" s="247"/>
      <c r="P14" s="246" t="s">
        <v>83</v>
      </c>
      <c r="Q14" s="247"/>
      <c r="R14" s="247"/>
      <c r="S14" s="247"/>
      <c r="T14" s="247"/>
      <c r="U14" s="247"/>
      <c r="V14" s="247"/>
      <c r="W14" s="248"/>
      <c r="X14" s="246" t="s">
        <v>173</v>
      </c>
      <c r="Y14" s="247"/>
      <c r="Z14" s="247"/>
      <c r="AA14" s="247"/>
      <c r="AB14" s="247"/>
      <c r="AC14" s="247"/>
      <c r="AD14" s="247"/>
      <c r="AE14" s="248"/>
      <c r="AF14" s="247" t="s">
        <v>93</v>
      </c>
      <c r="AG14" s="247"/>
      <c r="AH14" s="247"/>
      <c r="AI14" s="248"/>
      <c r="AJ14" s="265">
        <v>1.07</v>
      </c>
      <c r="AK14" s="244"/>
      <c r="AL14" s="244"/>
      <c r="AM14" s="245"/>
      <c r="AN14" s="238">
        <v>380</v>
      </c>
      <c r="AO14" s="239"/>
      <c r="AP14" s="240"/>
      <c r="AQ14" s="238" t="s">
        <v>40</v>
      </c>
      <c r="AR14" s="239"/>
      <c r="AS14" s="239"/>
      <c r="AT14" s="239"/>
      <c r="AU14" s="239"/>
      <c r="AV14" s="239"/>
      <c r="AW14" s="240"/>
      <c r="AX14" s="238" t="s">
        <v>211</v>
      </c>
      <c r="AY14" s="239"/>
      <c r="AZ14" s="239"/>
      <c r="BA14" s="239"/>
      <c r="BB14" s="239"/>
      <c r="BC14" s="239"/>
      <c r="BD14" s="240"/>
      <c r="BE14" s="246"/>
      <c r="BF14" s="247"/>
      <c r="BG14" s="247"/>
      <c r="BH14" s="247"/>
      <c r="BI14" s="248"/>
    </row>
    <row r="15" spans="1:61" ht="19.5" customHeight="1">
      <c r="A15" s="146" t="s">
        <v>320</v>
      </c>
      <c r="B15" s="135"/>
      <c r="C15" s="135"/>
      <c r="D15" s="135"/>
      <c r="E15" s="135"/>
      <c r="F15" s="135"/>
      <c r="G15" s="753"/>
      <c r="H15" s="754"/>
      <c r="I15" s="754"/>
      <c r="J15" s="754"/>
      <c r="K15" s="754"/>
      <c r="L15" s="755"/>
      <c r="M15" s="219"/>
      <c r="N15" s="220"/>
      <c r="O15" s="220"/>
      <c r="P15" s="219"/>
      <c r="Q15" s="220"/>
      <c r="R15" s="220"/>
      <c r="S15" s="220"/>
      <c r="T15" s="220"/>
      <c r="U15" s="220"/>
      <c r="V15" s="220"/>
      <c r="W15" s="221"/>
      <c r="X15" s="234"/>
      <c r="Y15" s="235"/>
      <c r="Z15" s="235"/>
      <c r="AA15" s="235"/>
      <c r="AB15" s="235"/>
      <c r="AC15" s="235"/>
      <c r="AD15" s="235"/>
      <c r="AE15" s="236"/>
      <c r="AF15" s="220"/>
      <c r="AG15" s="220"/>
      <c r="AH15" s="220"/>
      <c r="AI15" s="221"/>
      <c r="AJ15" s="265">
        <v>1.06</v>
      </c>
      <c r="AK15" s="244"/>
      <c r="AL15" s="244"/>
      <c r="AM15" s="245"/>
      <c r="AN15" s="238">
        <v>380</v>
      </c>
      <c r="AO15" s="239"/>
      <c r="AP15" s="240"/>
      <c r="AQ15" s="238" t="s">
        <v>165</v>
      </c>
      <c r="AR15" s="239"/>
      <c r="AS15" s="239"/>
      <c r="AT15" s="239"/>
      <c r="AU15" s="239"/>
      <c r="AV15" s="239"/>
      <c r="AW15" s="240"/>
      <c r="AX15" s="238" t="s">
        <v>164</v>
      </c>
      <c r="AY15" s="239"/>
      <c r="AZ15" s="239"/>
      <c r="BA15" s="239"/>
      <c r="BB15" s="239"/>
      <c r="BC15" s="239"/>
      <c r="BD15" s="240"/>
      <c r="BE15" s="219"/>
      <c r="BF15" s="220"/>
      <c r="BG15" s="220"/>
      <c r="BH15" s="220"/>
      <c r="BI15" s="221"/>
    </row>
    <row r="16" spans="1:61" ht="19.5" customHeight="1">
      <c r="A16" s="146" t="s">
        <v>320</v>
      </c>
      <c r="B16" s="135"/>
      <c r="C16" s="135"/>
      <c r="D16" s="135"/>
      <c r="E16" s="135"/>
      <c r="F16" s="135"/>
      <c r="G16" s="753"/>
      <c r="H16" s="754"/>
      <c r="I16" s="754"/>
      <c r="J16" s="754"/>
      <c r="K16" s="754"/>
      <c r="L16" s="755"/>
      <c r="M16" s="219"/>
      <c r="N16" s="220"/>
      <c r="O16" s="220"/>
      <c r="P16" s="219"/>
      <c r="Q16" s="220"/>
      <c r="R16" s="220"/>
      <c r="S16" s="220"/>
      <c r="T16" s="220"/>
      <c r="U16" s="220"/>
      <c r="V16" s="220"/>
      <c r="W16" s="221"/>
      <c r="X16" s="246" t="s">
        <v>299</v>
      </c>
      <c r="Y16" s="247"/>
      <c r="Z16" s="247"/>
      <c r="AA16" s="247"/>
      <c r="AB16" s="247"/>
      <c r="AC16" s="247"/>
      <c r="AD16" s="247"/>
      <c r="AE16" s="248"/>
      <c r="AF16" s="220"/>
      <c r="AG16" s="220"/>
      <c r="AH16" s="220"/>
      <c r="AI16" s="221"/>
      <c r="AJ16" s="265">
        <v>1.0900000000000001</v>
      </c>
      <c r="AK16" s="244"/>
      <c r="AL16" s="244"/>
      <c r="AM16" s="245"/>
      <c r="AN16" s="238">
        <v>220</v>
      </c>
      <c r="AO16" s="239"/>
      <c r="AP16" s="240"/>
      <c r="AQ16" s="238" t="s">
        <v>146</v>
      </c>
      <c r="AR16" s="239"/>
      <c r="AS16" s="239"/>
      <c r="AT16" s="239"/>
      <c r="AU16" s="239"/>
      <c r="AV16" s="239"/>
      <c r="AW16" s="240"/>
      <c r="AX16" s="238" t="s">
        <v>15</v>
      </c>
      <c r="AY16" s="239"/>
      <c r="AZ16" s="239"/>
      <c r="BA16" s="239"/>
      <c r="BB16" s="239"/>
      <c r="BC16" s="239"/>
      <c r="BD16" s="240"/>
      <c r="BE16" s="219"/>
      <c r="BF16" s="220"/>
      <c r="BG16" s="220"/>
      <c r="BH16" s="220"/>
      <c r="BI16" s="221"/>
    </row>
    <row r="17" spans="1:61" ht="19.5" customHeight="1">
      <c r="A17" s="146" t="s">
        <v>320</v>
      </c>
      <c r="B17" s="135"/>
      <c r="C17" s="135"/>
      <c r="D17" s="135"/>
      <c r="E17" s="135"/>
      <c r="F17" s="135"/>
      <c r="G17" s="753"/>
      <c r="H17" s="754"/>
      <c r="I17" s="754"/>
      <c r="J17" s="754"/>
      <c r="K17" s="754"/>
      <c r="L17" s="755"/>
      <c r="M17" s="234"/>
      <c r="N17" s="235"/>
      <c r="O17" s="235"/>
      <c r="P17" s="234"/>
      <c r="Q17" s="235"/>
      <c r="R17" s="235"/>
      <c r="S17" s="235"/>
      <c r="T17" s="235"/>
      <c r="U17" s="235"/>
      <c r="V17" s="235"/>
      <c r="W17" s="236"/>
      <c r="X17" s="234"/>
      <c r="Y17" s="235"/>
      <c r="Z17" s="235"/>
      <c r="AA17" s="235"/>
      <c r="AB17" s="235"/>
      <c r="AC17" s="235"/>
      <c r="AD17" s="235"/>
      <c r="AE17" s="236"/>
      <c r="AF17" s="235"/>
      <c r="AG17" s="235"/>
      <c r="AH17" s="235"/>
      <c r="AI17" s="236"/>
      <c r="AJ17" s="265">
        <v>1.01</v>
      </c>
      <c r="AK17" s="244"/>
      <c r="AL17" s="244"/>
      <c r="AM17" s="245"/>
      <c r="AN17" s="238">
        <v>220</v>
      </c>
      <c r="AO17" s="239"/>
      <c r="AP17" s="240"/>
      <c r="AQ17" s="238" t="s">
        <v>146</v>
      </c>
      <c r="AR17" s="239"/>
      <c r="AS17" s="239"/>
      <c r="AT17" s="239"/>
      <c r="AU17" s="239"/>
      <c r="AV17" s="239"/>
      <c r="AW17" s="240"/>
      <c r="AX17" s="238" t="s">
        <v>158</v>
      </c>
      <c r="AY17" s="239"/>
      <c r="AZ17" s="239"/>
      <c r="BA17" s="239"/>
      <c r="BB17" s="239"/>
      <c r="BC17" s="239"/>
      <c r="BD17" s="240"/>
      <c r="BE17" s="234"/>
      <c r="BF17" s="235"/>
      <c r="BG17" s="235"/>
      <c r="BH17" s="235"/>
      <c r="BI17" s="236"/>
    </row>
    <row r="18" spans="1:61" ht="48.75" customHeight="1">
      <c r="A18" s="146" t="s">
        <v>320</v>
      </c>
      <c r="B18" s="135"/>
      <c r="C18" s="135"/>
      <c r="D18" s="135"/>
      <c r="E18" s="135"/>
      <c r="F18" s="135"/>
      <c r="G18" s="756"/>
      <c r="H18" s="757"/>
      <c r="I18" s="757"/>
      <c r="J18" s="757"/>
      <c r="K18" s="757"/>
      <c r="L18" s="758"/>
      <c r="M18" s="715" t="s">
        <v>305</v>
      </c>
      <c r="N18" s="223"/>
      <c r="O18" s="223"/>
      <c r="P18" s="223"/>
      <c r="Q18" s="223"/>
      <c r="R18" s="223"/>
      <c r="S18" s="223"/>
      <c r="T18" s="223"/>
      <c r="U18" s="223"/>
      <c r="V18" s="223"/>
      <c r="W18" s="223"/>
      <c r="X18" s="223"/>
      <c r="Y18" s="223"/>
      <c r="Z18" s="223"/>
      <c r="AA18" s="223"/>
      <c r="AB18" s="223"/>
      <c r="AC18" s="223"/>
      <c r="AD18" s="223"/>
      <c r="AE18" s="223"/>
      <c r="AF18" s="223"/>
      <c r="AG18" s="223"/>
      <c r="AH18" s="223"/>
      <c r="AI18" s="223"/>
      <c r="AJ18" s="223"/>
      <c r="AK18" s="223"/>
      <c r="AL18" s="223"/>
      <c r="AM18" s="223"/>
      <c r="AN18" s="223"/>
      <c r="AO18" s="223"/>
      <c r="AP18" s="223"/>
      <c r="AQ18" s="223"/>
      <c r="AR18" s="223"/>
      <c r="AS18" s="223"/>
      <c r="AT18" s="223"/>
      <c r="AU18" s="223"/>
      <c r="AV18" s="223"/>
      <c r="AW18" s="223"/>
      <c r="AX18" s="223"/>
      <c r="AY18" s="223"/>
      <c r="AZ18" s="223"/>
      <c r="BA18" s="223"/>
      <c r="BB18" s="223"/>
      <c r="BC18" s="223"/>
      <c r="BD18" s="223"/>
      <c r="BE18" s="223"/>
      <c r="BF18" s="223"/>
      <c r="BG18" s="223"/>
      <c r="BH18" s="223"/>
      <c r="BI18" s="224"/>
    </row>
    <row r="19" spans="1:61" ht="15" customHeight="1">
      <c r="A19" s="135" t="s">
        <v>319</v>
      </c>
      <c r="B19" s="77"/>
      <c r="C19" s="77"/>
      <c r="D19" s="77"/>
      <c r="E19" s="77"/>
      <c r="F19" s="127"/>
      <c r="G19" s="714" t="s">
        <v>319</v>
      </c>
      <c r="H19" s="714"/>
      <c r="I19" s="714"/>
      <c r="J19" s="714"/>
      <c r="K19" s="714"/>
      <c r="L19" s="714"/>
      <c r="M19" s="246">
        <v>380</v>
      </c>
      <c r="N19" s="247"/>
      <c r="O19" s="248"/>
      <c r="P19" s="246" t="s">
        <v>173</v>
      </c>
      <c r="Q19" s="247"/>
      <c r="R19" s="247"/>
      <c r="S19" s="247"/>
      <c r="T19" s="247"/>
      <c r="U19" s="247"/>
      <c r="V19" s="247"/>
      <c r="W19" s="248"/>
      <c r="X19" s="246" t="s">
        <v>83</v>
      </c>
      <c r="Y19" s="247"/>
      <c r="Z19" s="247"/>
      <c r="AA19" s="247"/>
      <c r="AB19" s="247"/>
      <c r="AC19" s="247"/>
      <c r="AD19" s="247"/>
      <c r="AE19" s="248"/>
      <c r="AF19" s="246" t="s">
        <v>93</v>
      </c>
      <c r="AG19" s="247"/>
      <c r="AH19" s="247"/>
      <c r="AI19" s="248"/>
      <c r="AJ19" s="252">
        <v>1</v>
      </c>
      <c r="AK19" s="253"/>
      <c r="AL19" s="253"/>
      <c r="AM19" s="254"/>
      <c r="AN19" s="246">
        <v>220</v>
      </c>
      <c r="AO19" s="247"/>
      <c r="AP19" s="248"/>
      <c r="AQ19" s="246" t="s">
        <v>146</v>
      </c>
      <c r="AR19" s="247"/>
      <c r="AS19" s="247"/>
      <c r="AT19" s="247"/>
      <c r="AU19" s="247"/>
      <c r="AV19" s="247"/>
      <c r="AW19" s="248"/>
      <c r="AX19" s="246" t="s">
        <v>158</v>
      </c>
      <c r="AY19" s="247"/>
      <c r="AZ19" s="247"/>
      <c r="BA19" s="247"/>
      <c r="BB19" s="247"/>
      <c r="BC19" s="247"/>
      <c r="BD19" s="248"/>
      <c r="BE19" s="246"/>
      <c r="BF19" s="247"/>
      <c r="BG19" s="247"/>
      <c r="BH19" s="247"/>
      <c r="BI19" s="248"/>
    </row>
    <row r="20" spans="1:61" ht="15" customHeight="1">
      <c r="A20" s="146" t="s">
        <v>319</v>
      </c>
      <c r="B20" s="77"/>
      <c r="C20" s="77"/>
      <c r="D20" s="77"/>
      <c r="E20" s="77"/>
      <c r="F20" s="127"/>
      <c r="G20" s="714"/>
      <c r="H20" s="714"/>
      <c r="I20" s="714"/>
      <c r="J20" s="714"/>
      <c r="K20" s="714"/>
      <c r="L20" s="714"/>
      <c r="M20" s="234"/>
      <c r="N20" s="235"/>
      <c r="O20" s="236"/>
      <c r="P20" s="768" t="s">
        <v>174</v>
      </c>
      <c r="Q20" s="769"/>
      <c r="R20" s="769"/>
      <c r="S20" s="769"/>
      <c r="T20" s="769"/>
      <c r="U20" s="769"/>
      <c r="V20" s="769"/>
      <c r="W20" s="769"/>
      <c r="X20" s="769"/>
      <c r="Y20" s="769"/>
      <c r="Z20" s="769"/>
      <c r="AA20" s="769"/>
      <c r="AB20" s="769"/>
      <c r="AC20" s="769"/>
      <c r="AD20" s="769"/>
      <c r="AE20" s="770"/>
      <c r="AF20" s="234"/>
      <c r="AG20" s="235"/>
      <c r="AH20" s="235"/>
      <c r="AI20" s="236"/>
      <c r="AJ20" s="231"/>
      <c r="AK20" s="232"/>
      <c r="AL20" s="232"/>
      <c r="AM20" s="233"/>
      <c r="AN20" s="234"/>
      <c r="AO20" s="235"/>
      <c r="AP20" s="236"/>
      <c r="AQ20" s="234"/>
      <c r="AR20" s="235"/>
      <c r="AS20" s="235"/>
      <c r="AT20" s="235"/>
      <c r="AU20" s="235"/>
      <c r="AV20" s="235"/>
      <c r="AW20" s="236"/>
      <c r="AX20" s="234"/>
      <c r="AY20" s="235"/>
      <c r="AZ20" s="235"/>
      <c r="BA20" s="235"/>
      <c r="BB20" s="235"/>
      <c r="BC20" s="235"/>
      <c r="BD20" s="236"/>
      <c r="BE20" s="234"/>
      <c r="BF20" s="235"/>
      <c r="BG20" s="235"/>
      <c r="BH20" s="235"/>
      <c r="BI20" s="236"/>
    </row>
    <row r="21" spans="1:61" ht="26.25" customHeight="1">
      <c r="A21" s="146" t="s">
        <v>319</v>
      </c>
      <c r="C21" s="93"/>
      <c r="D21" s="93"/>
      <c r="E21" s="93"/>
      <c r="F21" s="93"/>
      <c r="G21" s="714"/>
      <c r="H21" s="714"/>
      <c r="I21" s="714"/>
      <c r="J21" s="714"/>
      <c r="K21" s="714"/>
      <c r="L21" s="714"/>
      <c r="M21" s="715" t="s">
        <v>303</v>
      </c>
      <c r="N21" s="223"/>
      <c r="O21" s="223"/>
      <c r="P21" s="223"/>
      <c r="Q21" s="223"/>
      <c r="R21" s="223"/>
      <c r="S21" s="223"/>
      <c r="T21" s="223"/>
      <c r="U21" s="223"/>
      <c r="V21" s="223"/>
      <c r="W21" s="223"/>
      <c r="X21" s="223"/>
      <c r="Y21" s="223"/>
      <c r="Z21" s="223"/>
      <c r="AA21" s="223"/>
      <c r="AB21" s="223"/>
      <c r="AC21" s="223"/>
      <c r="AD21" s="223"/>
      <c r="AE21" s="223"/>
      <c r="AF21" s="223"/>
      <c r="AG21" s="223"/>
      <c r="AH21" s="223"/>
      <c r="AI21" s="223"/>
      <c r="AJ21" s="223"/>
      <c r="AK21" s="223"/>
      <c r="AL21" s="223"/>
      <c r="AM21" s="223"/>
      <c r="AN21" s="223"/>
      <c r="AO21" s="223"/>
      <c r="AP21" s="223"/>
      <c r="AQ21" s="223"/>
      <c r="AR21" s="223"/>
      <c r="AS21" s="223"/>
      <c r="AT21" s="223"/>
      <c r="AU21" s="223"/>
      <c r="AV21" s="223"/>
      <c r="AW21" s="223"/>
      <c r="AX21" s="223"/>
      <c r="AY21" s="223"/>
      <c r="AZ21" s="223"/>
      <c r="BA21" s="223"/>
      <c r="BB21" s="223"/>
      <c r="BC21" s="223"/>
      <c r="BD21" s="223"/>
      <c r="BE21" s="223"/>
      <c r="BF21" s="223"/>
      <c r="BG21" s="223"/>
      <c r="BH21" s="223"/>
      <c r="BI21" s="224"/>
    </row>
    <row r="22" spans="1:61" ht="15" customHeight="1">
      <c r="A22" s="135" t="s">
        <v>291</v>
      </c>
      <c r="B22" s="135"/>
      <c r="C22" s="135"/>
      <c r="D22" s="135"/>
      <c r="E22" s="135"/>
      <c r="F22" s="135"/>
      <c r="G22" s="714" t="s">
        <v>291</v>
      </c>
      <c r="H22" s="751"/>
      <c r="I22" s="751"/>
      <c r="J22" s="751"/>
      <c r="K22" s="751"/>
      <c r="L22" s="752"/>
      <c r="M22" s="246">
        <v>380</v>
      </c>
      <c r="N22" s="247"/>
      <c r="O22" s="248"/>
      <c r="P22" s="246" t="s">
        <v>284</v>
      </c>
      <c r="Q22" s="247"/>
      <c r="R22" s="247"/>
      <c r="S22" s="247"/>
      <c r="T22" s="247"/>
      <c r="U22" s="247"/>
      <c r="V22" s="247"/>
      <c r="W22" s="247"/>
      <c r="X22" s="247"/>
      <c r="Y22" s="247"/>
      <c r="Z22" s="247"/>
      <c r="AA22" s="247"/>
      <c r="AB22" s="247"/>
      <c r="AC22" s="247"/>
      <c r="AD22" s="247"/>
      <c r="AE22" s="248"/>
      <c r="AF22" s="246" t="s">
        <v>93</v>
      </c>
      <c r="AG22" s="247"/>
      <c r="AH22" s="247"/>
      <c r="AI22" s="248"/>
      <c r="AJ22" s="265">
        <v>1.01</v>
      </c>
      <c r="AK22" s="244"/>
      <c r="AL22" s="244"/>
      <c r="AM22" s="245"/>
      <c r="AN22" s="238">
        <v>220</v>
      </c>
      <c r="AO22" s="239"/>
      <c r="AP22" s="240"/>
      <c r="AQ22" s="238" t="s">
        <v>146</v>
      </c>
      <c r="AR22" s="239"/>
      <c r="AS22" s="239"/>
      <c r="AT22" s="239"/>
      <c r="AU22" s="239"/>
      <c r="AV22" s="239"/>
      <c r="AW22" s="240"/>
      <c r="AX22" s="238" t="s">
        <v>15</v>
      </c>
      <c r="AY22" s="239"/>
      <c r="AZ22" s="239"/>
      <c r="BA22" s="239"/>
      <c r="BB22" s="239"/>
      <c r="BC22" s="239"/>
      <c r="BD22" s="240"/>
      <c r="BE22" s="246"/>
      <c r="BF22" s="247"/>
      <c r="BG22" s="247"/>
      <c r="BH22" s="247"/>
      <c r="BI22" s="248"/>
    </row>
    <row r="23" spans="1:61">
      <c r="A23" s="146" t="s">
        <v>291</v>
      </c>
      <c r="B23" s="135"/>
      <c r="C23" s="135"/>
      <c r="D23" s="135"/>
      <c r="E23" s="135"/>
      <c r="F23" s="135"/>
      <c r="G23" s="753"/>
      <c r="H23" s="754"/>
      <c r="I23" s="754"/>
      <c r="J23" s="754"/>
      <c r="K23" s="754"/>
      <c r="L23" s="755"/>
      <c r="M23" s="234"/>
      <c r="N23" s="235"/>
      <c r="O23" s="236"/>
      <c r="P23" s="234"/>
      <c r="Q23" s="235"/>
      <c r="R23" s="235"/>
      <c r="S23" s="235"/>
      <c r="T23" s="235"/>
      <c r="U23" s="235"/>
      <c r="V23" s="235"/>
      <c r="W23" s="235"/>
      <c r="X23" s="235"/>
      <c r="Y23" s="235"/>
      <c r="Z23" s="235"/>
      <c r="AA23" s="235"/>
      <c r="AB23" s="235"/>
      <c r="AC23" s="235"/>
      <c r="AD23" s="235"/>
      <c r="AE23" s="236"/>
      <c r="AF23" s="234"/>
      <c r="AG23" s="235"/>
      <c r="AH23" s="235"/>
      <c r="AI23" s="236"/>
      <c r="AJ23" s="265">
        <v>1.1399999999999999</v>
      </c>
      <c r="AK23" s="244"/>
      <c r="AL23" s="244"/>
      <c r="AM23" s="245"/>
      <c r="AN23" s="238">
        <v>220</v>
      </c>
      <c r="AO23" s="239"/>
      <c r="AP23" s="240"/>
      <c r="AQ23" s="238" t="s">
        <v>208</v>
      </c>
      <c r="AR23" s="239"/>
      <c r="AS23" s="239"/>
      <c r="AT23" s="239"/>
      <c r="AU23" s="239"/>
      <c r="AV23" s="239"/>
      <c r="AW23" s="240"/>
      <c r="AX23" s="238" t="s">
        <v>209</v>
      </c>
      <c r="AY23" s="239"/>
      <c r="AZ23" s="239"/>
      <c r="BA23" s="239"/>
      <c r="BB23" s="239"/>
      <c r="BC23" s="239"/>
      <c r="BD23" s="240"/>
      <c r="BE23" s="234"/>
      <c r="BF23" s="235"/>
      <c r="BG23" s="235"/>
      <c r="BH23" s="235"/>
      <c r="BI23" s="236"/>
    </row>
    <row r="24" spans="1:61" ht="30.75" customHeight="1">
      <c r="A24" s="146" t="s">
        <v>291</v>
      </c>
      <c r="B24" s="135"/>
      <c r="C24" s="135"/>
      <c r="D24" s="135"/>
      <c r="E24" s="135"/>
      <c r="F24" s="135"/>
      <c r="G24" s="756"/>
      <c r="H24" s="757"/>
      <c r="I24" s="757"/>
      <c r="J24" s="757"/>
      <c r="K24" s="757"/>
      <c r="L24" s="758"/>
      <c r="M24" s="715" t="s">
        <v>304</v>
      </c>
      <c r="N24" s="223"/>
      <c r="O24" s="223"/>
      <c r="P24" s="223"/>
      <c r="Q24" s="223"/>
      <c r="R24" s="223"/>
      <c r="S24" s="223"/>
      <c r="T24" s="223"/>
      <c r="U24" s="223"/>
      <c r="V24" s="223"/>
      <c r="W24" s="223"/>
      <c r="X24" s="223"/>
      <c r="Y24" s="223"/>
      <c r="Z24" s="223"/>
      <c r="AA24" s="223"/>
      <c r="AB24" s="223"/>
      <c r="AC24" s="223"/>
      <c r="AD24" s="223"/>
      <c r="AE24" s="223"/>
      <c r="AF24" s="223"/>
      <c r="AG24" s="223"/>
      <c r="AH24" s="223"/>
      <c r="AI24" s="223"/>
      <c r="AJ24" s="223"/>
      <c r="AK24" s="223"/>
      <c r="AL24" s="223"/>
      <c r="AM24" s="223"/>
      <c r="AN24" s="223"/>
      <c r="AO24" s="223"/>
      <c r="AP24" s="223"/>
      <c r="AQ24" s="223"/>
      <c r="AR24" s="223"/>
      <c r="AS24" s="223"/>
      <c r="AT24" s="223"/>
      <c r="AU24" s="223"/>
      <c r="AV24" s="223"/>
      <c r="AW24" s="223"/>
      <c r="AX24" s="223"/>
      <c r="AY24" s="223"/>
      <c r="AZ24" s="223"/>
      <c r="BA24" s="223"/>
      <c r="BB24" s="223"/>
      <c r="BC24" s="223"/>
      <c r="BD24" s="223"/>
      <c r="BE24" s="223"/>
      <c r="BF24" s="223"/>
      <c r="BG24" s="223"/>
      <c r="BH24" s="223"/>
      <c r="BI24" s="224"/>
    </row>
    <row r="25" spans="1:61" ht="15" customHeight="1">
      <c r="A25" s="137" t="s">
        <v>291</v>
      </c>
      <c r="B25" s="137"/>
      <c r="C25" s="137"/>
      <c r="D25" s="137"/>
      <c r="E25" s="137"/>
      <c r="F25" s="137"/>
      <c r="G25" s="774" t="s">
        <v>291</v>
      </c>
      <c r="H25" s="774"/>
      <c r="I25" s="774"/>
      <c r="J25" s="774"/>
      <c r="K25" s="774"/>
      <c r="L25" s="774"/>
      <c r="M25" s="775">
        <v>380</v>
      </c>
      <c r="N25" s="775"/>
      <c r="O25" s="775"/>
      <c r="P25" s="779" t="s">
        <v>284</v>
      </c>
      <c r="Q25" s="780"/>
      <c r="R25" s="780"/>
      <c r="S25" s="780"/>
      <c r="T25" s="780"/>
      <c r="U25" s="780"/>
      <c r="V25" s="780"/>
      <c r="W25" s="780"/>
      <c r="X25" s="780"/>
      <c r="Y25" s="780"/>
      <c r="Z25" s="780"/>
      <c r="AA25" s="780"/>
      <c r="AB25" s="780"/>
      <c r="AC25" s="780"/>
      <c r="AD25" s="780"/>
      <c r="AE25" s="781"/>
      <c r="AF25" s="765" t="s">
        <v>93</v>
      </c>
      <c r="AG25" s="766"/>
      <c r="AH25" s="766"/>
      <c r="AI25" s="767"/>
      <c r="AJ25" s="776">
        <v>1.08</v>
      </c>
      <c r="AK25" s="777"/>
      <c r="AL25" s="777"/>
      <c r="AM25" s="778"/>
      <c r="AN25" s="765">
        <v>220</v>
      </c>
      <c r="AO25" s="766"/>
      <c r="AP25" s="767"/>
      <c r="AQ25" s="765" t="s">
        <v>158</v>
      </c>
      <c r="AR25" s="766"/>
      <c r="AS25" s="766"/>
      <c r="AT25" s="766"/>
      <c r="AU25" s="766"/>
      <c r="AV25" s="766"/>
      <c r="AW25" s="767"/>
      <c r="AX25" s="779" t="s">
        <v>229</v>
      </c>
      <c r="AY25" s="780"/>
      <c r="AZ25" s="780"/>
      <c r="BA25" s="780"/>
      <c r="BB25" s="780"/>
      <c r="BC25" s="780"/>
      <c r="BD25" s="781"/>
      <c r="BE25" s="765"/>
      <c r="BF25" s="766"/>
      <c r="BG25" s="766"/>
      <c r="BH25" s="766"/>
      <c r="BI25" s="767"/>
    </row>
    <row r="26" spans="1:61" ht="21.75" customHeight="1">
      <c r="A26" s="145" t="s">
        <v>291</v>
      </c>
      <c r="B26" s="137"/>
      <c r="C26" s="137"/>
      <c r="D26" s="137"/>
      <c r="E26" s="137"/>
      <c r="F26" s="137"/>
      <c r="G26" s="774"/>
      <c r="H26" s="774"/>
      <c r="I26" s="774"/>
      <c r="J26" s="774"/>
      <c r="K26" s="774"/>
      <c r="L26" s="774"/>
      <c r="M26" s="771" t="s">
        <v>307</v>
      </c>
      <c r="N26" s="772"/>
      <c r="O26" s="772"/>
      <c r="P26" s="772"/>
      <c r="Q26" s="772"/>
      <c r="R26" s="772"/>
      <c r="S26" s="772"/>
      <c r="T26" s="772"/>
      <c r="U26" s="772"/>
      <c r="V26" s="772"/>
      <c r="W26" s="772"/>
      <c r="X26" s="772"/>
      <c r="Y26" s="772"/>
      <c r="Z26" s="772"/>
      <c r="AA26" s="772"/>
      <c r="AB26" s="772"/>
      <c r="AC26" s="772"/>
      <c r="AD26" s="772"/>
      <c r="AE26" s="772"/>
      <c r="AF26" s="772"/>
      <c r="AG26" s="772"/>
      <c r="AH26" s="772"/>
      <c r="AI26" s="772"/>
      <c r="AJ26" s="772"/>
      <c r="AK26" s="772"/>
      <c r="AL26" s="772"/>
      <c r="AM26" s="772"/>
      <c r="AN26" s="772"/>
      <c r="AO26" s="772"/>
      <c r="AP26" s="772"/>
      <c r="AQ26" s="772"/>
      <c r="AR26" s="772"/>
      <c r="AS26" s="772"/>
      <c r="AT26" s="772"/>
      <c r="AU26" s="772"/>
      <c r="AV26" s="772"/>
      <c r="AW26" s="772"/>
      <c r="AX26" s="772"/>
      <c r="AY26" s="772"/>
      <c r="AZ26" s="772"/>
      <c r="BA26" s="772"/>
      <c r="BB26" s="772"/>
      <c r="BC26" s="772"/>
      <c r="BD26" s="772"/>
      <c r="BE26" s="772"/>
      <c r="BF26" s="772"/>
      <c r="BG26" s="772"/>
      <c r="BH26" s="772"/>
      <c r="BI26" s="773"/>
    </row>
    <row r="27" spans="1:61" ht="15" customHeight="1">
      <c r="A27" s="135" t="s">
        <v>291</v>
      </c>
      <c r="B27" s="138"/>
      <c r="C27" s="138"/>
      <c r="D27" s="138"/>
      <c r="E27" s="138"/>
      <c r="F27" s="138"/>
      <c r="G27" s="712" t="s">
        <v>291</v>
      </c>
      <c r="H27" s="712"/>
      <c r="I27" s="712"/>
      <c r="J27" s="712"/>
      <c r="K27" s="712"/>
      <c r="L27" s="712"/>
      <c r="M27" s="246">
        <v>380</v>
      </c>
      <c r="N27" s="247"/>
      <c r="O27" s="248"/>
      <c r="P27" s="238" t="s">
        <v>279</v>
      </c>
      <c r="Q27" s="239"/>
      <c r="R27" s="239"/>
      <c r="S27" s="239"/>
      <c r="T27" s="239"/>
      <c r="U27" s="239"/>
      <c r="V27" s="239"/>
      <c r="W27" s="239"/>
      <c r="X27" s="239"/>
      <c r="Y27" s="239"/>
      <c r="Z27" s="239"/>
      <c r="AA27" s="239"/>
      <c r="AB27" s="239"/>
      <c r="AC27" s="239"/>
      <c r="AD27" s="239"/>
      <c r="AE27" s="240"/>
      <c r="AF27" s="246" t="s">
        <v>93</v>
      </c>
      <c r="AG27" s="735"/>
      <c r="AH27" s="735"/>
      <c r="AI27" s="736"/>
      <c r="AJ27" s="265">
        <v>1.1399999999999999</v>
      </c>
      <c r="AK27" s="244"/>
      <c r="AL27" s="244"/>
      <c r="AM27" s="245"/>
      <c r="AN27" s="234">
        <v>380</v>
      </c>
      <c r="AO27" s="235"/>
      <c r="AP27" s="236"/>
      <c r="AQ27" s="234" t="s">
        <v>286</v>
      </c>
      <c r="AR27" s="235"/>
      <c r="AS27" s="235"/>
      <c r="AT27" s="235"/>
      <c r="AU27" s="235"/>
      <c r="AV27" s="235"/>
      <c r="AW27" s="236"/>
      <c r="AX27" s="234" t="s">
        <v>287</v>
      </c>
      <c r="AY27" s="235"/>
      <c r="AZ27" s="235"/>
      <c r="BA27" s="235"/>
      <c r="BB27" s="235"/>
      <c r="BC27" s="235"/>
      <c r="BD27" s="236"/>
      <c r="BE27" s="234"/>
      <c r="BF27" s="235"/>
      <c r="BG27" s="235"/>
      <c r="BH27" s="235"/>
      <c r="BI27" s="236"/>
    </row>
    <row r="28" spans="1:61">
      <c r="A28" s="146" t="s">
        <v>291</v>
      </c>
      <c r="B28" s="138"/>
      <c r="C28" s="138"/>
      <c r="D28" s="138"/>
      <c r="E28" s="138"/>
      <c r="F28" s="138"/>
      <c r="G28" s="712"/>
      <c r="H28" s="712"/>
      <c r="I28" s="712"/>
      <c r="J28" s="712"/>
      <c r="K28" s="712"/>
      <c r="L28" s="712"/>
      <c r="M28" s="234"/>
      <c r="N28" s="235"/>
      <c r="O28" s="236"/>
      <c r="P28" s="732" t="s">
        <v>280</v>
      </c>
      <c r="Q28" s="733"/>
      <c r="R28" s="733"/>
      <c r="S28" s="733"/>
      <c r="T28" s="733"/>
      <c r="U28" s="733"/>
      <c r="V28" s="733"/>
      <c r="W28" s="733"/>
      <c r="X28" s="733"/>
      <c r="Y28" s="733"/>
      <c r="Z28" s="733"/>
      <c r="AA28" s="733"/>
      <c r="AB28" s="733"/>
      <c r="AC28" s="733"/>
      <c r="AD28" s="733"/>
      <c r="AE28" s="734"/>
      <c r="AF28" s="737"/>
      <c r="AG28" s="738"/>
      <c r="AH28" s="738"/>
      <c r="AI28" s="739"/>
      <c r="AJ28" s="265">
        <v>1.1299999999999999</v>
      </c>
      <c r="AK28" s="244"/>
      <c r="AL28" s="244"/>
      <c r="AM28" s="245"/>
      <c r="AN28" s="238">
        <v>220</v>
      </c>
      <c r="AO28" s="239"/>
      <c r="AP28" s="240"/>
      <c r="AQ28" s="238" t="s">
        <v>158</v>
      </c>
      <c r="AR28" s="239"/>
      <c r="AS28" s="239"/>
      <c r="AT28" s="239"/>
      <c r="AU28" s="239"/>
      <c r="AV28" s="239"/>
      <c r="AW28" s="240"/>
      <c r="AX28" s="238" t="s">
        <v>146</v>
      </c>
      <c r="AY28" s="239"/>
      <c r="AZ28" s="239"/>
      <c r="BA28" s="239"/>
      <c r="BB28" s="239"/>
      <c r="BC28" s="239"/>
      <c r="BD28" s="240"/>
      <c r="BE28" s="124"/>
      <c r="BF28" s="125"/>
      <c r="BG28" s="125"/>
      <c r="BH28" s="125"/>
      <c r="BI28" s="126"/>
    </row>
    <row r="29" spans="1:61">
      <c r="A29" s="146" t="s">
        <v>291</v>
      </c>
      <c r="B29" s="138"/>
      <c r="C29" s="138"/>
      <c r="D29" s="138"/>
      <c r="E29" s="138"/>
      <c r="F29" s="138"/>
      <c r="G29" s="712"/>
      <c r="H29" s="712"/>
      <c r="I29" s="712"/>
      <c r="J29" s="712"/>
      <c r="K29" s="712"/>
      <c r="L29" s="712"/>
      <c r="M29" s="246">
        <v>380</v>
      </c>
      <c r="N29" s="247"/>
      <c r="O29" s="248"/>
      <c r="P29" s="789" t="s">
        <v>288</v>
      </c>
      <c r="Q29" s="790"/>
      <c r="R29" s="790"/>
      <c r="S29" s="790"/>
      <c r="T29" s="790"/>
      <c r="U29" s="790"/>
      <c r="V29" s="790"/>
      <c r="W29" s="790"/>
      <c r="X29" s="790"/>
      <c r="Y29" s="790"/>
      <c r="Z29" s="790"/>
      <c r="AA29" s="790"/>
      <c r="AB29" s="790"/>
      <c r="AC29" s="790"/>
      <c r="AD29" s="790"/>
      <c r="AE29" s="791"/>
      <c r="AF29" s="238" t="s">
        <v>93</v>
      </c>
      <c r="AG29" s="792"/>
      <c r="AH29" s="792"/>
      <c r="AI29" s="793"/>
      <c r="AJ29" s="231">
        <v>1.0900000000000001</v>
      </c>
      <c r="AK29" s="232"/>
      <c r="AL29" s="232"/>
      <c r="AM29" s="233"/>
      <c r="AN29" s="234">
        <v>380</v>
      </c>
      <c r="AO29" s="235"/>
      <c r="AP29" s="236"/>
      <c r="AQ29" s="234" t="s">
        <v>286</v>
      </c>
      <c r="AR29" s="235"/>
      <c r="AS29" s="235"/>
      <c r="AT29" s="235"/>
      <c r="AU29" s="235"/>
      <c r="AV29" s="235"/>
      <c r="AW29" s="236"/>
      <c r="AX29" s="234" t="s">
        <v>287</v>
      </c>
      <c r="AY29" s="235"/>
      <c r="AZ29" s="235"/>
      <c r="BA29" s="235"/>
      <c r="BB29" s="235"/>
      <c r="BC29" s="235"/>
      <c r="BD29" s="236"/>
      <c r="BE29" s="234"/>
      <c r="BF29" s="235"/>
      <c r="BG29" s="235"/>
      <c r="BH29" s="235"/>
      <c r="BI29" s="236"/>
    </row>
    <row r="30" spans="1:61" ht="62.25" customHeight="1">
      <c r="A30" s="146" t="s">
        <v>291</v>
      </c>
      <c r="B30" s="138"/>
      <c r="C30" s="138"/>
      <c r="D30" s="138"/>
      <c r="E30" s="138"/>
      <c r="F30" s="138"/>
      <c r="G30" s="712"/>
      <c r="H30" s="712"/>
      <c r="I30" s="712"/>
      <c r="J30" s="712"/>
      <c r="K30" s="712"/>
      <c r="L30" s="712"/>
      <c r="M30" s="715" t="s">
        <v>306</v>
      </c>
      <c r="N30" s="223"/>
      <c r="O30" s="223"/>
      <c r="P30" s="223"/>
      <c r="Q30" s="223"/>
      <c r="R30" s="223"/>
      <c r="S30" s="223"/>
      <c r="T30" s="223"/>
      <c r="U30" s="223"/>
      <c r="V30" s="223"/>
      <c r="W30" s="223"/>
      <c r="X30" s="223"/>
      <c r="Y30" s="223"/>
      <c r="Z30" s="223"/>
      <c r="AA30" s="223"/>
      <c r="AB30" s="223"/>
      <c r="AC30" s="223"/>
      <c r="AD30" s="223"/>
      <c r="AE30" s="223"/>
      <c r="AF30" s="223"/>
      <c r="AG30" s="223"/>
      <c r="AH30" s="223"/>
      <c r="AI30" s="223"/>
      <c r="AJ30" s="223"/>
      <c r="AK30" s="223"/>
      <c r="AL30" s="223"/>
      <c r="AM30" s="223"/>
      <c r="AN30" s="223"/>
      <c r="AO30" s="223"/>
      <c r="AP30" s="223"/>
      <c r="AQ30" s="223"/>
      <c r="AR30" s="223"/>
      <c r="AS30" s="223"/>
      <c r="AT30" s="223"/>
      <c r="AU30" s="223"/>
      <c r="AV30" s="223"/>
      <c r="AW30" s="223"/>
      <c r="AX30" s="223"/>
      <c r="AY30" s="223"/>
      <c r="AZ30" s="223"/>
      <c r="BA30" s="223"/>
      <c r="BB30" s="223"/>
      <c r="BC30" s="223"/>
      <c r="BD30" s="223"/>
      <c r="BE30" s="223"/>
      <c r="BF30" s="223"/>
      <c r="BG30" s="223"/>
      <c r="BH30" s="223"/>
      <c r="BI30" s="224"/>
    </row>
    <row r="31" spans="1:61" ht="15" customHeight="1">
      <c r="A31" s="138" t="s">
        <v>295</v>
      </c>
      <c r="B31" s="138"/>
      <c r="C31" s="138"/>
      <c r="D31" s="138"/>
      <c r="E31" s="138"/>
      <c r="F31" s="138"/>
      <c r="G31" s="712" t="s">
        <v>295</v>
      </c>
      <c r="H31" s="712"/>
      <c r="I31" s="712"/>
      <c r="J31" s="712"/>
      <c r="K31" s="712"/>
      <c r="L31" s="712"/>
      <c r="M31" s="246">
        <v>380</v>
      </c>
      <c r="N31" s="247"/>
      <c r="O31" s="248"/>
      <c r="P31" s="246" t="s">
        <v>284</v>
      </c>
      <c r="Q31" s="247"/>
      <c r="R31" s="247"/>
      <c r="S31" s="247"/>
      <c r="T31" s="247"/>
      <c r="U31" s="247"/>
      <c r="V31" s="247"/>
      <c r="W31" s="247"/>
      <c r="X31" s="247"/>
      <c r="Y31" s="247"/>
      <c r="Z31" s="247"/>
      <c r="AA31" s="247"/>
      <c r="AB31" s="247"/>
      <c r="AC31" s="247"/>
      <c r="AD31" s="247"/>
      <c r="AE31" s="248"/>
      <c r="AF31" s="246" t="s">
        <v>93</v>
      </c>
      <c r="AG31" s="247"/>
      <c r="AH31" s="247"/>
      <c r="AI31" s="248"/>
      <c r="AJ31" s="252">
        <v>1.1599999999999999</v>
      </c>
      <c r="AK31" s="253"/>
      <c r="AL31" s="253"/>
      <c r="AM31" s="254"/>
      <c r="AN31" s="246">
        <v>380</v>
      </c>
      <c r="AO31" s="247"/>
      <c r="AP31" s="248"/>
      <c r="AQ31" s="246" t="s">
        <v>144</v>
      </c>
      <c r="AR31" s="247"/>
      <c r="AS31" s="247"/>
      <c r="AT31" s="247"/>
      <c r="AU31" s="247"/>
      <c r="AV31" s="247"/>
      <c r="AW31" s="248"/>
      <c r="AX31" s="246" t="s">
        <v>261</v>
      </c>
      <c r="AY31" s="247"/>
      <c r="AZ31" s="247"/>
      <c r="BA31" s="247"/>
      <c r="BB31" s="247"/>
      <c r="BC31" s="247"/>
      <c r="BD31" s="248"/>
      <c r="BE31" s="246"/>
      <c r="BF31" s="247"/>
      <c r="BG31" s="247"/>
      <c r="BH31" s="247"/>
      <c r="BI31" s="248"/>
    </row>
    <row r="32" spans="1:61">
      <c r="A32" s="147" t="s">
        <v>295</v>
      </c>
      <c r="B32" s="138"/>
      <c r="C32" s="138"/>
      <c r="D32" s="138"/>
      <c r="E32" s="138"/>
      <c r="F32" s="138"/>
      <c r="G32" s="712"/>
      <c r="H32" s="712"/>
      <c r="I32" s="712"/>
      <c r="J32" s="712"/>
      <c r="K32" s="712"/>
      <c r="L32" s="712"/>
      <c r="M32" s="219"/>
      <c r="N32" s="220"/>
      <c r="O32" s="221"/>
      <c r="P32" s="219"/>
      <c r="Q32" s="220"/>
      <c r="R32" s="220"/>
      <c r="S32" s="220"/>
      <c r="T32" s="220"/>
      <c r="U32" s="220"/>
      <c r="V32" s="220"/>
      <c r="W32" s="220"/>
      <c r="X32" s="220"/>
      <c r="Y32" s="220"/>
      <c r="Z32" s="220"/>
      <c r="AA32" s="220"/>
      <c r="AB32" s="220"/>
      <c r="AC32" s="220"/>
      <c r="AD32" s="220"/>
      <c r="AE32" s="221"/>
      <c r="AF32" s="219"/>
      <c r="AG32" s="220"/>
      <c r="AH32" s="220"/>
      <c r="AI32" s="221"/>
      <c r="AJ32" s="252">
        <v>1.02</v>
      </c>
      <c r="AK32" s="253"/>
      <c r="AL32" s="253"/>
      <c r="AM32" s="254"/>
      <c r="AN32" s="246">
        <v>380</v>
      </c>
      <c r="AO32" s="247"/>
      <c r="AP32" s="248"/>
      <c r="AQ32" s="246" t="s">
        <v>165</v>
      </c>
      <c r="AR32" s="247"/>
      <c r="AS32" s="247"/>
      <c r="AT32" s="247"/>
      <c r="AU32" s="247"/>
      <c r="AV32" s="247"/>
      <c r="AW32" s="248"/>
      <c r="AX32" s="238" t="s">
        <v>164</v>
      </c>
      <c r="AY32" s="239"/>
      <c r="AZ32" s="239"/>
      <c r="BA32" s="239"/>
      <c r="BB32" s="239"/>
      <c r="BC32" s="239"/>
      <c r="BD32" s="240"/>
      <c r="BE32" s="246"/>
      <c r="BF32" s="247"/>
      <c r="BG32" s="247"/>
      <c r="BH32" s="247"/>
      <c r="BI32" s="248"/>
    </row>
    <row r="33" spans="1:61">
      <c r="A33" s="147" t="s">
        <v>295</v>
      </c>
      <c r="B33" s="138"/>
      <c r="C33" s="138"/>
      <c r="D33" s="138"/>
      <c r="E33" s="138"/>
      <c r="F33" s="138"/>
      <c r="G33" s="712"/>
      <c r="H33" s="712"/>
      <c r="I33" s="712"/>
      <c r="J33" s="712"/>
      <c r="K33" s="712"/>
      <c r="L33" s="712"/>
      <c r="M33" s="234"/>
      <c r="N33" s="235"/>
      <c r="O33" s="236"/>
      <c r="P33" s="234"/>
      <c r="Q33" s="235"/>
      <c r="R33" s="235"/>
      <c r="S33" s="235"/>
      <c r="T33" s="235"/>
      <c r="U33" s="235"/>
      <c r="V33" s="235"/>
      <c r="W33" s="235"/>
      <c r="X33" s="235"/>
      <c r="Y33" s="235"/>
      <c r="Z33" s="235"/>
      <c r="AA33" s="235"/>
      <c r="AB33" s="235"/>
      <c r="AC33" s="235"/>
      <c r="AD33" s="235"/>
      <c r="AE33" s="236"/>
      <c r="AF33" s="234"/>
      <c r="AG33" s="235"/>
      <c r="AH33" s="235"/>
      <c r="AI33" s="236"/>
      <c r="AJ33" s="252">
        <v>1.01</v>
      </c>
      <c r="AK33" s="253"/>
      <c r="AL33" s="253"/>
      <c r="AM33" s="254"/>
      <c r="AN33" s="246">
        <v>380</v>
      </c>
      <c r="AO33" s="247"/>
      <c r="AP33" s="248"/>
      <c r="AQ33" s="246" t="s">
        <v>211</v>
      </c>
      <c r="AR33" s="247"/>
      <c r="AS33" s="247"/>
      <c r="AT33" s="247"/>
      <c r="AU33" s="247"/>
      <c r="AV33" s="247"/>
      <c r="AW33" s="248"/>
      <c r="AX33" s="238" t="s">
        <v>262</v>
      </c>
      <c r="AY33" s="239"/>
      <c r="AZ33" s="239"/>
      <c r="BA33" s="239"/>
      <c r="BB33" s="239"/>
      <c r="BC33" s="239"/>
      <c r="BD33" s="240"/>
      <c r="BE33" s="246"/>
      <c r="BF33" s="247"/>
      <c r="BG33" s="247"/>
      <c r="BH33" s="247"/>
      <c r="BI33" s="248"/>
    </row>
    <row r="34" spans="1:61" ht="76.5" customHeight="1">
      <c r="A34" s="147" t="s">
        <v>295</v>
      </c>
      <c r="B34" s="138"/>
      <c r="C34" s="138"/>
      <c r="D34" s="138"/>
      <c r="E34" s="138"/>
      <c r="F34" s="138"/>
      <c r="G34" s="712"/>
      <c r="H34" s="712"/>
      <c r="I34" s="712"/>
      <c r="J34" s="712"/>
      <c r="K34" s="712"/>
      <c r="L34" s="712"/>
      <c r="M34" s="715" t="s">
        <v>308</v>
      </c>
      <c r="N34" s="223"/>
      <c r="O34" s="223"/>
      <c r="P34" s="223"/>
      <c r="Q34" s="223"/>
      <c r="R34" s="223"/>
      <c r="S34" s="223"/>
      <c r="T34" s="223"/>
      <c r="U34" s="223"/>
      <c r="V34" s="223"/>
      <c r="W34" s="223"/>
      <c r="X34" s="223"/>
      <c r="Y34" s="223"/>
      <c r="Z34" s="223"/>
      <c r="AA34" s="223"/>
      <c r="AB34" s="223"/>
      <c r="AC34" s="223"/>
      <c r="AD34" s="223"/>
      <c r="AE34" s="223"/>
      <c r="AF34" s="223"/>
      <c r="AG34" s="223"/>
      <c r="AH34" s="223"/>
      <c r="AI34" s="223"/>
      <c r="AJ34" s="223"/>
      <c r="AK34" s="223"/>
      <c r="AL34" s="223"/>
      <c r="AM34" s="223"/>
      <c r="AN34" s="223"/>
      <c r="AO34" s="223"/>
      <c r="AP34" s="223"/>
      <c r="AQ34" s="223"/>
      <c r="AR34" s="223"/>
      <c r="AS34" s="223"/>
      <c r="AT34" s="223"/>
      <c r="AU34" s="223"/>
      <c r="AV34" s="223"/>
      <c r="AW34" s="223"/>
      <c r="AX34" s="223"/>
      <c r="AY34" s="223"/>
      <c r="AZ34" s="223"/>
      <c r="BA34" s="223"/>
      <c r="BB34" s="223"/>
      <c r="BC34" s="223"/>
      <c r="BD34" s="223"/>
      <c r="BE34" s="223"/>
      <c r="BF34" s="223"/>
      <c r="BG34" s="223"/>
      <c r="BH34" s="223"/>
      <c r="BI34" s="224"/>
    </row>
    <row r="35" spans="1:61" ht="15" customHeight="1">
      <c r="A35" s="152" t="s">
        <v>290</v>
      </c>
      <c r="B35" s="77"/>
      <c r="C35" s="77"/>
      <c r="D35" s="77"/>
      <c r="E35" s="77"/>
      <c r="F35" s="127"/>
      <c r="G35" s="714" t="s">
        <v>290</v>
      </c>
      <c r="H35" s="714"/>
      <c r="I35" s="714"/>
      <c r="J35" s="714"/>
      <c r="K35" s="714"/>
      <c r="L35" s="714"/>
      <c r="M35" s="246">
        <v>380</v>
      </c>
      <c r="N35" s="247"/>
      <c r="O35" s="248"/>
      <c r="P35" s="246" t="s">
        <v>84</v>
      </c>
      <c r="Q35" s="247"/>
      <c r="R35" s="247"/>
      <c r="S35" s="247"/>
      <c r="T35" s="247"/>
      <c r="U35" s="247"/>
      <c r="V35" s="247"/>
      <c r="W35" s="248"/>
      <c r="X35" s="246" t="s">
        <v>85</v>
      </c>
      <c r="Y35" s="247"/>
      <c r="Z35" s="247"/>
      <c r="AA35" s="247"/>
      <c r="AB35" s="247"/>
      <c r="AC35" s="247"/>
      <c r="AD35" s="247"/>
      <c r="AE35" s="248"/>
      <c r="AF35" s="246"/>
      <c r="AG35" s="247"/>
      <c r="AH35" s="247"/>
      <c r="AI35" s="248"/>
      <c r="AJ35" s="252">
        <v>1.28</v>
      </c>
      <c r="AK35" s="253"/>
      <c r="AL35" s="253"/>
      <c r="AM35" s="254"/>
      <c r="AN35" s="246">
        <v>220</v>
      </c>
      <c r="AO35" s="247"/>
      <c r="AP35" s="248"/>
      <c r="AQ35" s="246" t="s">
        <v>84</v>
      </c>
      <c r="AR35" s="247"/>
      <c r="AS35" s="247"/>
      <c r="AT35" s="247"/>
      <c r="AU35" s="247"/>
      <c r="AV35" s="247"/>
      <c r="AW35" s="248"/>
      <c r="AX35" s="238" t="s">
        <v>85</v>
      </c>
      <c r="AY35" s="239"/>
      <c r="AZ35" s="239"/>
      <c r="BA35" s="239"/>
      <c r="BB35" s="239"/>
      <c r="BC35" s="239"/>
      <c r="BD35" s="240"/>
      <c r="BE35" s="246"/>
      <c r="BF35" s="247"/>
      <c r="BG35" s="247"/>
      <c r="BH35" s="247"/>
      <c r="BI35" s="248"/>
    </row>
    <row r="36" spans="1:61" ht="26.25" customHeight="1">
      <c r="A36" s="153" t="s">
        <v>290</v>
      </c>
      <c r="B36" s="77"/>
      <c r="C36" s="77"/>
      <c r="D36" s="77"/>
      <c r="E36" s="77"/>
      <c r="F36" s="127"/>
      <c r="G36" s="714"/>
      <c r="H36" s="714"/>
      <c r="I36" s="714"/>
      <c r="J36" s="714"/>
      <c r="K36" s="714"/>
      <c r="L36" s="714"/>
      <c r="M36" s="713" t="s">
        <v>309</v>
      </c>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6"/>
    </row>
    <row r="37" spans="1:61" ht="15" customHeight="1">
      <c r="A37" s="152" t="s">
        <v>290</v>
      </c>
      <c r="B37" s="77"/>
      <c r="C37" s="77"/>
      <c r="D37" s="77"/>
      <c r="E37" s="77"/>
      <c r="F37" s="127"/>
      <c r="G37" s="714" t="s">
        <v>290</v>
      </c>
      <c r="H37" s="714"/>
      <c r="I37" s="714"/>
      <c r="J37" s="714"/>
      <c r="K37" s="714"/>
      <c r="L37" s="714"/>
      <c r="M37" s="246">
        <v>380</v>
      </c>
      <c r="N37" s="247"/>
      <c r="O37" s="248"/>
      <c r="P37" s="246" t="s">
        <v>84</v>
      </c>
      <c r="Q37" s="247"/>
      <c r="R37" s="247"/>
      <c r="S37" s="247"/>
      <c r="T37" s="247"/>
      <c r="U37" s="247"/>
      <c r="V37" s="247"/>
      <c r="W37" s="248"/>
      <c r="X37" s="246" t="s">
        <v>85</v>
      </c>
      <c r="Y37" s="247"/>
      <c r="Z37" s="247"/>
      <c r="AA37" s="247"/>
      <c r="AB37" s="247"/>
      <c r="AC37" s="247"/>
      <c r="AD37" s="247"/>
      <c r="AE37" s="248"/>
      <c r="AF37" s="246" t="s">
        <v>93</v>
      </c>
      <c r="AG37" s="247"/>
      <c r="AH37" s="247"/>
      <c r="AI37" s="248"/>
      <c r="AJ37" s="252">
        <v>1.44</v>
      </c>
      <c r="AK37" s="253"/>
      <c r="AL37" s="253"/>
      <c r="AM37" s="254"/>
      <c r="AN37" s="246">
        <v>220</v>
      </c>
      <c r="AO37" s="247"/>
      <c r="AP37" s="248"/>
      <c r="AQ37" s="246" t="s">
        <v>161</v>
      </c>
      <c r="AR37" s="247"/>
      <c r="AS37" s="247"/>
      <c r="AT37" s="247"/>
      <c r="AU37" s="247"/>
      <c r="AV37" s="247"/>
      <c r="AW37" s="248"/>
      <c r="AX37" s="238" t="s">
        <v>162</v>
      </c>
      <c r="AY37" s="239"/>
      <c r="AZ37" s="239"/>
      <c r="BA37" s="239"/>
      <c r="BB37" s="239"/>
      <c r="BC37" s="239"/>
      <c r="BD37" s="240"/>
      <c r="BE37" s="246"/>
      <c r="BF37" s="247"/>
      <c r="BG37" s="247"/>
      <c r="BH37" s="247"/>
      <c r="BI37" s="248"/>
    </row>
    <row r="38" spans="1:61" ht="26.25" customHeight="1">
      <c r="A38" s="153" t="s">
        <v>290</v>
      </c>
      <c r="B38" s="77"/>
      <c r="C38" s="77"/>
      <c r="D38" s="77"/>
      <c r="E38" s="77"/>
      <c r="F38" s="127"/>
      <c r="G38" s="714"/>
      <c r="H38" s="714"/>
      <c r="I38" s="714"/>
      <c r="J38" s="714"/>
      <c r="K38" s="714"/>
      <c r="L38" s="714"/>
      <c r="M38" s="713" t="s">
        <v>296</v>
      </c>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6"/>
    </row>
    <row r="39" spans="1:61" ht="15" customHeight="1">
      <c r="A39" s="136" t="s">
        <v>290</v>
      </c>
      <c r="B39" s="136"/>
      <c r="C39" s="136"/>
      <c r="D39" s="136"/>
      <c r="E39" s="136"/>
      <c r="F39" s="136"/>
      <c r="G39" s="251" t="s">
        <v>290</v>
      </c>
      <c r="H39" s="251"/>
      <c r="I39" s="251"/>
      <c r="J39" s="251"/>
      <c r="K39" s="251"/>
      <c r="L39" s="251"/>
      <c r="M39" s="249">
        <v>380</v>
      </c>
      <c r="N39" s="249"/>
      <c r="O39" s="249"/>
      <c r="P39" s="249" t="s">
        <v>243</v>
      </c>
      <c r="Q39" s="249"/>
      <c r="R39" s="249"/>
      <c r="S39" s="249"/>
      <c r="T39" s="249"/>
      <c r="U39" s="249"/>
      <c r="V39" s="249"/>
      <c r="W39" s="249"/>
      <c r="X39" s="249" t="s">
        <v>241</v>
      </c>
      <c r="Y39" s="249"/>
      <c r="Z39" s="249"/>
      <c r="AA39" s="249"/>
      <c r="AB39" s="249"/>
      <c r="AC39" s="249"/>
      <c r="AD39" s="249"/>
      <c r="AE39" s="249"/>
      <c r="AF39" s="246" t="s">
        <v>223</v>
      </c>
      <c r="AG39" s="247"/>
      <c r="AH39" s="247"/>
      <c r="AI39" s="248"/>
      <c r="AJ39" s="252">
        <v>1.1299999999999999</v>
      </c>
      <c r="AK39" s="253"/>
      <c r="AL39" s="253"/>
      <c r="AM39" s="254"/>
      <c r="AN39" s="246">
        <v>220</v>
      </c>
      <c r="AO39" s="247"/>
      <c r="AP39" s="248"/>
      <c r="AQ39" s="238" t="s">
        <v>243</v>
      </c>
      <c r="AR39" s="239"/>
      <c r="AS39" s="239"/>
      <c r="AT39" s="239"/>
      <c r="AU39" s="239"/>
      <c r="AV39" s="239"/>
      <c r="AW39" s="240"/>
      <c r="AX39" s="238" t="s">
        <v>242</v>
      </c>
      <c r="AY39" s="239"/>
      <c r="AZ39" s="239"/>
      <c r="BA39" s="239"/>
      <c r="BB39" s="239"/>
      <c r="BC39" s="239"/>
      <c r="BD39" s="240"/>
      <c r="BE39" s="729" t="s">
        <v>244</v>
      </c>
      <c r="BF39" s="730"/>
      <c r="BG39" s="730"/>
      <c r="BH39" s="730"/>
      <c r="BI39" s="731"/>
    </row>
    <row r="40" spans="1:61" ht="32.25" customHeight="1">
      <c r="A40" s="144" t="s">
        <v>290</v>
      </c>
      <c r="B40" s="136"/>
      <c r="C40" s="136"/>
      <c r="D40" s="136"/>
      <c r="E40" s="136"/>
      <c r="F40" s="136"/>
      <c r="G40" s="251"/>
      <c r="H40" s="251"/>
      <c r="I40" s="251"/>
      <c r="J40" s="251"/>
      <c r="K40" s="251"/>
      <c r="L40" s="251"/>
      <c r="M40" s="715" t="s">
        <v>245</v>
      </c>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6"/>
    </row>
    <row r="41" spans="1:61" ht="15" customHeight="1">
      <c r="A41" s="135" t="s">
        <v>281</v>
      </c>
      <c r="B41" s="135"/>
      <c r="C41" s="135"/>
      <c r="D41" s="135"/>
      <c r="E41" s="135"/>
      <c r="F41" s="135"/>
      <c r="G41" s="714" t="s">
        <v>281</v>
      </c>
      <c r="H41" s="714"/>
      <c r="I41" s="714"/>
      <c r="J41" s="714"/>
      <c r="K41" s="714"/>
      <c r="L41" s="714"/>
      <c r="M41" s="246">
        <v>380</v>
      </c>
      <c r="N41" s="247"/>
      <c r="O41" s="248"/>
      <c r="P41" s="238" t="s">
        <v>282</v>
      </c>
      <c r="Q41" s="239"/>
      <c r="R41" s="239"/>
      <c r="S41" s="239"/>
      <c r="T41" s="239"/>
      <c r="U41" s="239"/>
      <c r="V41" s="239"/>
      <c r="W41" s="239"/>
      <c r="X41" s="239"/>
      <c r="Y41" s="239"/>
      <c r="Z41" s="239"/>
      <c r="AA41" s="239"/>
      <c r="AB41" s="239"/>
      <c r="AC41" s="239"/>
      <c r="AD41" s="239"/>
      <c r="AE41" s="240"/>
      <c r="AF41" s="246" t="s">
        <v>223</v>
      </c>
      <c r="AG41" s="247"/>
      <c r="AH41" s="247"/>
      <c r="AI41" s="248"/>
      <c r="AJ41" s="265">
        <v>1.28</v>
      </c>
      <c r="AK41" s="244"/>
      <c r="AL41" s="244"/>
      <c r="AM41" s="245"/>
      <c r="AN41" s="246">
        <v>220</v>
      </c>
      <c r="AO41" s="247"/>
      <c r="AP41" s="248"/>
      <c r="AQ41" s="246" t="s">
        <v>283</v>
      </c>
      <c r="AR41" s="247"/>
      <c r="AS41" s="247"/>
      <c r="AT41" s="247"/>
      <c r="AU41" s="247"/>
      <c r="AV41" s="247"/>
      <c r="AW41" s="248"/>
      <c r="AX41" s="246" t="s">
        <v>242</v>
      </c>
      <c r="AY41" s="247"/>
      <c r="AZ41" s="247"/>
      <c r="BA41" s="247"/>
      <c r="BB41" s="247"/>
      <c r="BC41" s="247"/>
      <c r="BD41" s="248"/>
      <c r="BE41" s="246"/>
      <c r="BF41" s="247"/>
      <c r="BG41" s="247"/>
      <c r="BH41" s="247"/>
      <c r="BI41" s="248"/>
    </row>
    <row r="42" spans="1:61">
      <c r="A42" s="146" t="s">
        <v>281</v>
      </c>
      <c r="B42" s="135"/>
      <c r="C42" s="135"/>
      <c r="D42" s="135"/>
      <c r="E42" s="135"/>
      <c r="F42" s="135"/>
      <c r="G42" s="714"/>
      <c r="H42" s="714"/>
      <c r="I42" s="714"/>
      <c r="J42" s="714"/>
      <c r="K42" s="714"/>
      <c r="L42" s="714"/>
      <c r="M42" s="234"/>
      <c r="N42" s="235"/>
      <c r="O42" s="236"/>
      <c r="P42" s="732" t="s">
        <v>284</v>
      </c>
      <c r="Q42" s="733"/>
      <c r="R42" s="733"/>
      <c r="S42" s="733"/>
      <c r="T42" s="733"/>
      <c r="U42" s="733"/>
      <c r="V42" s="733"/>
      <c r="W42" s="733"/>
      <c r="X42" s="733"/>
      <c r="Y42" s="733"/>
      <c r="Z42" s="733"/>
      <c r="AA42" s="733"/>
      <c r="AB42" s="733"/>
      <c r="AC42" s="733"/>
      <c r="AD42" s="733"/>
      <c r="AE42" s="734"/>
      <c r="AF42" s="246" t="s">
        <v>93</v>
      </c>
      <c r="AG42" s="247"/>
      <c r="AH42" s="247"/>
      <c r="AI42" s="248"/>
      <c r="AJ42" s="265">
        <v>1.21</v>
      </c>
      <c r="AK42" s="244"/>
      <c r="AL42" s="244"/>
      <c r="AM42" s="245"/>
      <c r="AN42" s="234"/>
      <c r="AO42" s="235"/>
      <c r="AP42" s="236"/>
      <c r="AQ42" s="234"/>
      <c r="AR42" s="235"/>
      <c r="AS42" s="235"/>
      <c r="AT42" s="235"/>
      <c r="AU42" s="235"/>
      <c r="AV42" s="235"/>
      <c r="AW42" s="236"/>
      <c r="AX42" s="234"/>
      <c r="AY42" s="235"/>
      <c r="AZ42" s="235"/>
      <c r="BA42" s="235"/>
      <c r="BB42" s="235"/>
      <c r="BC42" s="235"/>
      <c r="BD42" s="236"/>
      <c r="BE42" s="234"/>
      <c r="BF42" s="235"/>
      <c r="BG42" s="235"/>
      <c r="BH42" s="235"/>
      <c r="BI42" s="236"/>
    </row>
    <row r="43" spans="1:61" ht="18.75" customHeight="1">
      <c r="A43" s="146" t="s">
        <v>281</v>
      </c>
      <c r="B43" s="135"/>
      <c r="C43" s="135"/>
      <c r="D43" s="135"/>
      <c r="E43" s="135"/>
      <c r="F43" s="135"/>
      <c r="G43" s="714"/>
      <c r="H43" s="714"/>
      <c r="I43" s="714"/>
      <c r="J43" s="714"/>
      <c r="K43" s="714"/>
      <c r="L43" s="714"/>
      <c r="M43" s="715" t="s">
        <v>285</v>
      </c>
      <c r="N43" s="223"/>
      <c r="O43" s="223"/>
      <c r="P43" s="223"/>
      <c r="Q43" s="223"/>
      <c r="R43" s="223"/>
      <c r="S43" s="223"/>
      <c r="T43" s="223"/>
      <c r="U43" s="223"/>
      <c r="V43" s="223"/>
      <c r="W43" s="223"/>
      <c r="X43" s="223"/>
      <c r="Y43" s="223"/>
      <c r="Z43" s="223"/>
      <c r="AA43" s="223"/>
      <c r="AB43" s="223"/>
      <c r="AC43" s="223"/>
      <c r="AD43" s="223"/>
      <c r="AE43" s="223"/>
      <c r="AF43" s="223"/>
      <c r="AG43" s="223"/>
      <c r="AH43" s="223"/>
      <c r="AI43" s="223"/>
      <c r="AJ43" s="223"/>
      <c r="AK43" s="223"/>
      <c r="AL43" s="223"/>
      <c r="AM43" s="223"/>
      <c r="AN43" s="223"/>
      <c r="AO43" s="223"/>
      <c r="AP43" s="223"/>
      <c r="AQ43" s="223"/>
      <c r="AR43" s="223"/>
      <c r="AS43" s="223"/>
      <c r="AT43" s="223"/>
      <c r="AU43" s="223"/>
      <c r="AV43" s="223"/>
      <c r="AW43" s="223"/>
      <c r="AX43" s="223"/>
      <c r="AY43" s="223"/>
      <c r="AZ43" s="223"/>
      <c r="BA43" s="223"/>
      <c r="BB43" s="223"/>
      <c r="BC43" s="223"/>
      <c r="BD43" s="223"/>
      <c r="BE43" s="223"/>
      <c r="BF43" s="223"/>
      <c r="BG43" s="223"/>
      <c r="BH43" s="223"/>
      <c r="BI43" s="224"/>
    </row>
    <row r="44" spans="1:61" ht="15" customHeight="1">
      <c r="A44" s="137" t="s">
        <v>268</v>
      </c>
      <c r="B44" s="137"/>
      <c r="C44" s="137"/>
      <c r="D44" s="137"/>
      <c r="E44" s="137"/>
      <c r="F44" s="137"/>
      <c r="G44" s="774" t="s">
        <v>268</v>
      </c>
      <c r="H44" s="774"/>
      <c r="I44" s="774"/>
      <c r="J44" s="774"/>
      <c r="K44" s="774"/>
      <c r="L44" s="774"/>
      <c r="M44" s="775">
        <v>380</v>
      </c>
      <c r="N44" s="775"/>
      <c r="O44" s="775"/>
      <c r="P44" s="775" t="s">
        <v>165</v>
      </c>
      <c r="Q44" s="775"/>
      <c r="R44" s="775"/>
      <c r="S44" s="775"/>
      <c r="T44" s="775"/>
      <c r="U44" s="775"/>
      <c r="V44" s="775"/>
      <c r="W44" s="775"/>
      <c r="X44" s="775" t="s">
        <v>164</v>
      </c>
      <c r="Y44" s="775"/>
      <c r="Z44" s="775"/>
      <c r="AA44" s="775"/>
      <c r="AB44" s="775"/>
      <c r="AC44" s="775"/>
      <c r="AD44" s="775"/>
      <c r="AE44" s="775"/>
      <c r="AF44" s="765"/>
      <c r="AG44" s="766"/>
      <c r="AH44" s="766"/>
      <c r="AI44" s="767"/>
      <c r="AJ44" s="776">
        <v>1.18</v>
      </c>
      <c r="AK44" s="777"/>
      <c r="AL44" s="777"/>
      <c r="AM44" s="778"/>
      <c r="AN44" s="765">
        <v>220</v>
      </c>
      <c r="AO44" s="766"/>
      <c r="AP44" s="767"/>
      <c r="AQ44" s="765" t="s">
        <v>166</v>
      </c>
      <c r="AR44" s="766"/>
      <c r="AS44" s="766"/>
      <c r="AT44" s="766"/>
      <c r="AU44" s="766"/>
      <c r="AV44" s="766"/>
      <c r="AW44" s="767"/>
      <c r="AX44" s="779" t="s">
        <v>167</v>
      </c>
      <c r="AY44" s="780"/>
      <c r="AZ44" s="780"/>
      <c r="BA44" s="780"/>
      <c r="BB44" s="780"/>
      <c r="BC44" s="780"/>
      <c r="BD44" s="781"/>
      <c r="BE44" s="765"/>
      <c r="BF44" s="766"/>
      <c r="BG44" s="766"/>
      <c r="BH44" s="766"/>
      <c r="BI44" s="767"/>
    </row>
    <row r="45" spans="1:61" ht="20.25" customHeight="1">
      <c r="A45" s="145" t="s">
        <v>268</v>
      </c>
      <c r="B45" s="137"/>
      <c r="C45" s="137"/>
      <c r="D45" s="137"/>
      <c r="E45" s="137"/>
      <c r="F45" s="137"/>
      <c r="G45" s="774"/>
      <c r="H45" s="774"/>
      <c r="I45" s="774"/>
      <c r="J45" s="774"/>
      <c r="K45" s="774"/>
      <c r="L45" s="774"/>
      <c r="M45" s="784" t="s">
        <v>231</v>
      </c>
      <c r="N45" s="772"/>
      <c r="O45" s="772"/>
      <c r="P45" s="772"/>
      <c r="Q45" s="772"/>
      <c r="R45" s="772"/>
      <c r="S45" s="772"/>
      <c r="T45" s="772"/>
      <c r="U45" s="772"/>
      <c r="V45" s="772"/>
      <c r="W45" s="772"/>
      <c r="X45" s="772"/>
      <c r="Y45" s="772"/>
      <c r="Z45" s="772"/>
      <c r="AA45" s="772"/>
      <c r="AB45" s="772"/>
      <c r="AC45" s="772"/>
      <c r="AD45" s="772"/>
      <c r="AE45" s="772"/>
      <c r="AF45" s="772"/>
      <c r="AG45" s="772"/>
      <c r="AH45" s="772"/>
      <c r="AI45" s="772"/>
      <c r="AJ45" s="772"/>
      <c r="AK45" s="772"/>
      <c r="AL45" s="772"/>
      <c r="AM45" s="772"/>
      <c r="AN45" s="772"/>
      <c r="AO45" s="772"/>
      <c r="AP45" s="772"/>
      <c r="AQ45" s="772"/>
      <c r="AR45" s="772"/>
      <c r="AS45" s="772"/>
      <c r="AT45" s="772"/>
      <c r="AU45" s="772"/>
      <c r="AV45" s="772"/>
      <c r="AW45" s="772"/>
      <c r="AX45" s="772"/>
      <c r="AY45" s="772"/>
      <c r="AZ45" s="772"/>
      <c r="BA45" s="772"/>
      <c r="BB45" s="772"/>
      <c r="BC45" s="772"/>
      <c r="BD45" s="772"/>
      <c r="BE45" s="772"/>
      <c r="BF45" s="772"/>
      <c r="BG45" s="772"/>
      <c r="BH45" s="772"/>
      <c r="BI45" s="773"/>
    </row>
    <row r="46" spans="1:61" ht="15" customHeight="1">
      <c r="A46" s="136" t="s">
        <v>268</v>
      </c>
      <c r="B46" s="136"/>
      <c r="C46" s="136"/>
      <c r="D46" s="136"/>
      <c r="E46" s="136"/>
      <c r="F46" s="136"/>
      <c r="G46" s="251" t="s">
        <v>268</v>
      </c>
      <c r="H46" s="251"/>
      <c r="I46" s="251"/>
      <c r="J46" s="251"/>
      <c r="K46" s="251"/>
      <c r="L46" s="251"/>
      <c r="M46" s="246">
        <v>380</v>
      </c>
      <c r="N46" s="247"/>
      <c r="O46" s="248"/>
      <c r="P46" s="238" t="s">
        <v>183</v>
      </c>
      <c r="Q46" s="239"/>
      <c r="R46" s="239"/>
      <c r="S46" s="239"/>
      <c r="T46" s="239"/>
      <c r="U46" s="239"/>
      <c r="V46" s="239"/>
      <c r="W46" s="240"/>
      <c r="X46" s="238" t="s">
        <v>83</v>
      </c>
      <c r="Y46" s="239"/>
      <c r="Z46" s="239"/>
      <c r="AA46" s="239"/>
      <c r="AB46" s="239"/>
      <c r="AC46" s="239"/>
      <c r="AD46" s="239"/>
      <c r="AE46" s="240"/>
      <c r="AF46" s="246" t="s">
        <v>93</v>
      </c>
      <c r="AG46" s="247"/>
      <c r="AH46" s="247"/>
      <c r="AI46" s="248"/>
      <c r="AJ46" s="252">
        <v>1.02</v>
      </c>
      <c r="AK46" s="253"/>
      <c r="AL46" s="253"/>
      <c r="AM46" s="254"/>
      <c r="AN46" s="246">
        <v>380</v>
      </c>
      <c r="AO46" s="247"/>
      <c r="AP46" s="248"/>
      <c r="AQ46" s="246" t="s">
        <v>186</v>
      </c>
      <c r="AR46" s="247"/>
      <c r="AS46" s="247"/>
      <c r="AT46" s="247"/>
      <c r="AU46" s="247"/>
      <c r="AV46" s="247"/>
      <c r="AW46" s="248"/>
      <c r="AX46" s="246" t="s">
        <v>185</v>
      </c>
      <c r="AY46" s="247"/>
      <c r="AZ46" s="247"/>
      <c r="BA46" s="247"/>
      <c r="BB46" s="247"/>
      <c r="BC46" s="247"/>
      <c r="BD46" s="248"/>
      <c r="BE46" s="246"/>
      <c r="BF46" s="247"/>
      <c r="BG46" s="247"/>
      <c r="BH46" s="247"/>
      <c r="BI46" s="248"/>
    </row>
    <row r="47" spans="1:61" ht="15" customHeight="1">
      <c r="A47" s="140" t="s">
        <v>268</v>
      </c>
      <c r="B47" s="136"/>
      <c r="C47" s="136"/>
      <c r="D47" s="136"/>
      <c r="E47" s="136"/>
      <c r="F47" s="136"/>
      <c r="G47" s="251"/>
      <c r="H47" s="251"/>
      <c r="I47" s="251"/>
      <c r="J47" s="251"/>
      <c r="K47" s="251"/>
      <c r="L47" s="251"/>
      <c r="M47" s="219"/>
      <c r="N47" s="220"/>
      <c r="O47" s="221"/>
      <c r="P47" s="234" t="s">
        <v>184</v>
      </c>
      <c r="Q47" s="235"/>
      <c r="R47" s="235"/>
      <c r="S47" s="235"/>
      <c r="T47" s="235"/>
      <c r="U47" s="235"/>
      <c r="V47" s="235"/>
      <c r="W47" s="236"/>
      <c r="X47" s="234" t="s">
        <v>83</v>
      </c>
      <c r="Y47" s="235"/>
      <c r="Z47" s="235"/>
      <c r="AA47" s="235"/>
      <c r="AB47" s="235"/>
      <c r="AC47" s="235"/>
      <c r="AD47" s="235"/>
      <c r="AE47" s="236"/>
      <c r="AF47" s="234"/>
      <c r="AG47" s="235"/>
      <c r="AH47" s="235"/>
      <c r="AI47" s="236"/>
      <c r="AJ47" s="231"/>
      <c r="AK47" s="232"/>
      <c r="AL47" s="232"/>
      <c r="AM47" s="233"/>
      <c r="AN47" s="219"/>
      <c r="AO47" s="220"/>
      <c r="AP47" s="221"/>
      <c r="AQ47" s="219"/>
      <c r="AR47" s="220"/>
      <c r="AS47" s="220"/>
      <c r="AT47" s="220"/>
      <c r="AU47" s="220"/>
      <c r="AV47" s="220"/>
      <c r="AW47" s="221"/>
      <c r="AX47" s="219"/>
      <c r="AY47" s="220"/>
      <c r="AZ47" s="220"/>
      <c r="BA47" s="220"/>
      <c r="BB47" s="220"/>
      <c r="BC47" s="220"/>
      <c r="BD47" s="221"/>
      <c r="BE47" s="219"/>
      <c r="BF47" s="220"/>
      <c r="BG47" s="220"/>
      <c r="BH47" s="220"/>
      <c r="BI47" s="221"/>
    </row>
    <row r="48" spans="1:61" ht="15" customHeight="1">
      <c r="A48" s="140" t="s">
        <v>268</v>
      </c>
      <c r="B48" s="136"/>
      <c r="C48" s="136"/>
      <c r="D48" s="136"/>
      <c r="E48" s="136"/>
      <c r="F48" s="136"/>
      <c r="G48" s="251"/>
      <c r="H48" s="251"/>
      <c r="I48" s="251"/>
      <c r="J48" s="251"/>
      <c r="K48" s="251"/>
      <c r="L48" s="251"/>
      <c r="M48" s="219"/>
      <c r="N48" s="220"/>
      <c r="O48" s="221"/>
      <c r="P48" s="238" t="s">
        <v>183</v>
      </c>
      <c r="Q48" s="239"/>
      <c r="R48" s="239"/>
      <c r="S48" s="239"/>
      <c r="T48" s="239"/>
      <c r="U48" s="239"/>
      <c r="V48" s="239"/>
      <c r="W48" s="240"/>
      <c r="X48" s="238" t="s">
        <v>83</v>
      </c>
      <c r="Y48" s="239"/>
      <c r="Z48" s="239"/>
      <c r="AA48" s="239"/>
      <c r="AB48" s="239"/>
      <c r="AC48" s="239"/>
      <c r="AD48" s="239"/>
      <c r="AE48" s="240"/>
      <c r="AF48" s="246" t="s">
        <v>93</v>
      </c>
      <c r="AG48" s="247"/>
      <c r="AH48" s="247"/>
      <c r="AI48" s="248"/>
      <c r="AJ48" s="252">
        <v>1.08</v>
      </c>
      <c r="AK48" s="253"/>
      <c r="AL48" s="253"/>
      <c r="AM48" s="254"/>
      <c r="AN48" s="219"/>
      <c r="AO48" s="220"/>
      <c r="AP48" s="221"/>
      <c r="AQ48" s="219"/>
      <c r="AR48" s="220"/>
      <c r="AS48" s="220"/>
      <c r="AT48" s="220"/>
      <c r="AU48" s="220"/>
      <c r="AV48" s="220"/>
      <c r="AW48" s="221"/>
      <c r="AX48" s="219"/>
      <c r="AY48" s="220"/>
      <c r="AZ48" s="220"/>
      <c r="BA48" s="220"/>
      <c r="BB48" s="220"/>
      <c r="BC48" s="220"/>
      <c r="BD48" s="221"/>
      <c r="BE48" s="219"/>
      <c r="BF48" s="220"/>
      <c r="BG48" s="220"/>
      <c r="BH48" s="220"/>
      <c r="BI48" s="221"/>
    </row>
    <row r="49" spans="1:61" ht="15" customHeight="1">
      <c r="A49" s="140" t="s">
        <v>268</v>
      </c>
      <c r="B49" s="136"/>
      <c r="C49" s="136"/>
      <c r="D49" s="136"/>
      <c r="E49" s="136"/>
      <c r="F49" s="136"/>
      <c r="G49" s="251"/>
      <c r="H49" s="251"/>
      <c r="I49" s="251"/>
      <c r="J49" s="251"/>
      <c r="K49" s="251"/>
      <c r="L49" s="251"/>
      <c r="M49" s="234"/>
      <c r="N49" s="235"/>
      <c r="O49" s="236"/>
      <c r="P49" s="234" t="s">
        <v>184</v>
      </c>
      <c r="Q49" s="235"/>
      <c r="R49" s="235"/>
      <c r="S49" s="235"/>
      <c r="T49" s="235"/>
      <c r="U49" s="235"/>
      <c r="V49" s="235"/>
      <c r="W49" s="236"/>
      <c r="X49" s="234" t="s">
        <v>185</v>
      </c>
      <c r="Y49" s="235"/>
      <c r="Z49" s="235"/>
      <c r="AA49" s="235"/>
      <c r="AB49" s="235"/>
      <c r="AC49" s="235"/>
      <c r="AD49" s="235"/>
      <c r="AE49" s="236"/>
      <c r="AF49" s="234"/>
      <c r="AG49" s="235"/>
      <c r="AH49" s="235"/>
      <c r="AI49" s="236"/>
      <c r="AJ49" s="231"/>
      <c r="AK49" s="232"/>
      <c r="AL49" s="232"/>
      <c r="AM49" s="233"/>
      <c r="AN49" s="234"/>
      <c r="AO49" s="235"/>
      <c r="AP49" s="236"/>
      <c r="AQ49" s="234"/>
      <c r="AR49" s="235"/>
      <c r="AS49" s="235"/>
      <c r="AT49" s="235"/>
      <c r="AU49" s="235"/>
      <c r="AV49" s="235"/>
      <c r="AW49" s="236"/>
      <c r="AX49" s="234"/>
      <c r="AY49" s="235"/>
      <c r="AZ49" s="235"/>
      <c r="BA49" s="235"/>
      <c r="BB49" s="235"/>
      <c r="BC49" s="235"/>
      <c r="BD49" s="236"/>
      <c r="BE49" s="234"/>
      <c r="BF49" s="235"/>
      <c r="BG49" s="235"/>
      <c r="BH49" s="235"/>
      <c r="BI49" s="236"/>
    </row>
    <row r="50" spans="1:61" ht="32.25" customHeight="1">
      <c r="A50" s="140" t="s">
        <v>268</v>
      </c>
      <c r="B50" s="136"/>
      <c r="C50" s="136"/>
      <c r="D50" s="136"/>
      <c r="E50" s="136"/>
      <c r="F50" s="136"/>
      <c r="G50" s="251"/>
      <c r="H50" s="251"/>
      <c r="I50" s="251"/>
      <c r="J50" s="251"/>
      <c r="K50" s="251"/>
      <c r="L50" s="251"/>
      <c r="M50" s="713" t="s">
        <v>310</v>
      </c>
      <c r="N50" s="255"/>
      <c r="O50" s="255"/>
      <c r="P50" s="255"/>
      <c r="Q50" s="255"/>
      <c r="R50" s="255"/>
      <c r="S50" s="255"/>
      <c r="T50" s="255"/>
      <c r="U50" s="255"/>
      <c r="V50" s="255"/>
      <c r="W50" s="255"/>
      <c r="X50" s="255"/>
      <c r="Y50" s="255"/>
      <c r="Z50" s="255"/>
      <c r="AA50" s="255"/>
      <c r="AB50" s="255"/>
      <c r="AC50" s="255"/>
      <c r="AD50" s="255"/>
      <c r="AE50" s="255"/>
      <c r="AF50" s="255"/>
      <c r="AG50" s="255"/>
      <c r="AH50" s="255"/>
      <c r="AI50" s="255"/>
      <c r="AJ50" s="255"/>
      <c r="AK50" s="255"/>
      <c r="AL50" s="255"/>
      <c r="AM50" s="255"/>
      <c r="AN50" s="255"/>
      <c r="AO50" s="255"/>
      <c r="AP50" s="255"/>
      <c r="AQ50" s="255"/>
      <c r="AR50" s="255"/>
      <c r="AS50" s="255"/>
      <c r="AT50" s="255"/>
      <c r="AU50" s="255"/>
      <c r="AV50" s="255"/>
      <c r="AW50" s="255"/>
      <c r="AX50" s="255"/>
      <c r="AY50" s="255"/>
      <c r="AZ50" s="255"/>
      <c r="BA50" s="255"/>
      <c r="BB50" s="255"/>
      <c r="BC50" s="255"/>
      <c r="BD50" s="255"/>
      <c r="BE50" s="255"/>
      <c r="BF50" s="255"/>
      <c r="BG50" s="255"/>
      <c r="BH50" s="255"/>
      <c r="BI50" s="256"/>
    </row>
    <row r="51" spans="1:61" ht="15" customHeight="1">
      <c r="A51" s="135" t="s">
        <v>268</v>
      </c>
      <c r="B51" s="135"/>
      <c r="C51" s="135"/>
      <c r="D51" s="135"/>
      <c r="E51" s="135"/>
      <c r="F51" s="135"/>
      <c r="G51" s="714" t="s">
        <v>268</v>
      </c>
      <c r="H51" s="714"/>
      <c r="I51" s="714"/>
      <c r="J51" s="714"/>
      <c r="K51" s="714"/>
      <c r="L51" s="714"/>
      <c r="M51" s="246">
        <v>380</v>
      </c>
      <c r="N51" s="247"/>
      <c r="O51" s="248"/>
      <c r="P51" s="246" t="s">
        <v>83</v>
      </c>
      <c r="Q51" s="247"/>
      <c r="R51" s="247"/>
      <c r="S51" s="247"/>
      <c r="T51" s="247"/>
      <c r="U51" s="247"/>
      <c r="V51" s="247"/>
      <c r="W51" s="248"/>
      <c r="X51" s="247" t="s">
        <v>183</v>
      </c>
      <c r="Y51" s="247"/>
      <c r="Z51" s="247"/>
      <c r="AA51" s="247"/>
      <c r="AB51" s="247"/>
      <c r="AC51" s="247"/>
      <c r="AD51" s="247"/>
      <c r="AE51" s="248"/>
      <c r="AF51" s="246" t="s">
        <v>93</v>
      </c>
      <c r="AG51" s="247"/>
      <c r="AH51" s="247"/>
      <c r="AI51" s="248"/>
      <c r="AJ51" s="252">
        <v>1.1599999999999999</v>
      </c>
      <c r="AK51" s="253"/>
      <c r="AL51" s="253"/>
      <c r="AM51" s="254"/>
      <c r="AN51" s="246">
        <v>380</v>
      </c>
      <c r="AO51" s="247"/>
      <c r="AP51" s="248"/>
      <c r="AQ51" s="246" t="s">
        <v>144</v>
      </c>
      <c r="AR51" s="247"/>
      <c r="AS51" s="247"/>
      <c r="AT51" s="247"/>
      <c r="AU51" s="247"/>
      <c r="AV51" s="247"/>
      <c r="AW51" s="248"/>
      <c r="AX51" s="246" t="s">
        <v>261</v>
      </c>
      <c r="AY51" s="247"/>
      <c r="AZ51" s="247"/>
      <c r="BA51" s="247"/>
      <c r="BB51" s="247"/>
      <c r="BC51" s="247"/>
      <c r="BD51" s="248"/>
      <c r="BE51" s="246"/>
      <c r="BF51" s="247"/>
      <c r="BG51" s="247"/>
      <c r="BH51" s="247"/>
      <c r="BI51" s="248"/>
    </row>
    <row r="52" spans="1:61">
      <c r="A52" s="146" t="s">
        <v>268</v>
      </c>
      <c r="B52" s="135"/>
      <c r="C52" s="135"/>
      <c r="D52" s="135"/>
      <c r="E52" s="135"/>
      <c r="F52" s="135"/>
      <c r="G52" s="714"/>
      <c r="H52" s="714"/>
      <c r="I52" s="714"/>
      <c r="J52" s="714"/>
      <c r="K52" s="714"/>
      <c r="L52" s="714"/>
      <c r="M52" s="219"/>
      <c r="N52" s="220"/>
      <c r="O52" s="221"/>
      <c r="P52" s="219"/>
      <c r="Q52" s="220"/>
      <c r="R52" s="220"/>
      <c r="S52" s="220"/>
      <c r="T52" s="220"/>
      <c r="U52" s="220"/>
      <c r="V52" s="220"/>
      <c r="W52" s="221"/>
      <c r="X52" s="235"/>
      <c r="Y52" s="235"/>
      <c r="Z52" s="235"/>
      <c r="AA52" s="235"/>
      <c r="AB52" s="235"/>
      <c r="AC52" s="235"/>
      <c r="AD52" s="235"/>
      <c r="AE52" s="236"/>
      <c r="AF52" s="219"/>
      <c r="AG52" s="220"/>
      <c r="AH52" s="220"/>
      <c r="AI52" s="221"/>
      <c r="AJ52" s="231"/>
      <c r="AK52" s="232"/>
      <c r="AL52" s="232"/>
      <c r="AM52" s="233"/>
      <c r="AN52" s="234"/>
      <c r="AO52" s="235"/>
      <c r="AP52" s="236"/>
      <c r="AQ52" s="234"/>
      <c r="AR52" s="235"/>
      <c r="AS52" s="235"/>
      <c r="AT52" s="235"/>
      <c r="AU52" s="235"/>
      <c r="AV52" s="235"/>
      <c r="AW52" s="236"/>
      <c r="AX52" s="234"/>
      <c r="AY52" s="235"/>
      <c r="AZ52" s="235"/>
      <c r="BA52" s="235"/>
      <c r="BB52" s="235"/>
      <c r="BC52" s="235"/>
      <c r="BD52" s="236"/>
      <c r="BE52" s="234"/>
      <c r="BF52" s="235"/>
      <c r="BG52" s="235"/>
      <c r="BH52" s="235"/>
      <c r="BI52" s="236"/>
    </row>
    <row r="53" spans="1:61">
      <c r="A53" s="146" t="s">
        <v>268</v>
      </c>
      <c r="B53" s="135"/>
      <c r="C53" s="135"/>
      <c r="D53" s="135"/>
      <c r="E53" s="135"/>
      <c r="F53" s="135"/>
      <c r="G53" s="714"/>
      <c r="H53" s="714"/>
      <c r="I53" s="714"/>
      <c r="J53" s="714"/>
      <c r="K53" s="714"/>
      <c r="L53" s="714"/>
      <c r="M53" s="219"/>
      <c r="N53" s="220"/>
      <c r="O53" s="221"/>
      <c r="P53" s="219"/>
      <c r="Q53" s="220"/>
      <c r="R53" s="220"/>
      <c r="S53" s="220"/>
      <c r="T53" s="220"/>
      <c r="U53" s="220"/>
      <c r="V53" s="220"/>
      <c r="W53" s="221"/>
      <c r="X53" s="247" t="s">
        <v>185</v>
      </c>
      <c r="Y53" s="247"/>
      <c r="Z53" s="247"/>
      <c r="AA53" s="247"/>
      <c r="AB53" s="247"/>
      <c r="AC53" s="247"/>
      <c r="AD53" s="247"/>
      <c r="AE53" s="248"/>
      <c r="AF53" s="219"/>
      <c r="AG53" s="220"/>
      <c r="AH53" s="220"/>
      <c r="AI53" s="221"/>
      <c r="AJ53" s="252">
        <v>1.05</v>
      </c>
      <c r="AK53" s="253"/>
      <c r="AL53" s="253"/>
      <c r="AM53" s="254"/>
      <c r="AN53" s="246">
        <v>380</v>
      </c>
      <c r="AO53" s="247"/>
      <c r="AP53" s="248"/>
      <c r="AQ53" s="238" t="s">
        <v>262</v>
      </c>
      <c r="AR53" s="239"/>
      <c r="AS53" s="239"/>
      <c r="AT53" s="239"/>
      <c r="AU53" s="239"/>
      <c r="AV53" s="239"/>
      <c r="AW53" s="240"/>
      <c r="AX53" s="238" t="s">
        <v>211</v>
      </c>
      <c r="AY53" s="239"/>
      <c r="AZ53" s="239"/>
      <c r="BA53" s="239"/>
      <c r="BB53" s="239"/>
      <c r="BC53" s="239"/>
      <c r="BD53" s="240"/>
      <c r="BE53" s="246"/>
      <c r="BF53" s="247"/>
      <c r="BG53" s="247"/>
      <c r="BH53" s="247"/>
      <c r="BI53" s="248"/>
    </row>
    <row r="54" spans="1:61">
      <c r="A54" s="146" t="s">
        <v>268</v>
      </c>
      <c r="B54" s="135"/>
      <c r="C54" s="135"/>
      <c r="D54" s="135"/>
      <c r="E54" s="135"/>
      <c r="F54" s="135"/>
      <c r="G54" s="714"/>
      <c r="H54" s="714"/>
      <c r="I54" s="714"/>
      <c r="J54" s="714"/>
      <c r="K54" s="714"/>
      <c r="L54" s="714"/>
      <c r="M54" s="234"/>
      <c r="N54" s="235"/>
      <c r="O54" s="236"/>
      <c r="P54" s="234"/>
      <c r="Q54" s="235"/>
      <c r="R54" s="235"/>
      <c r="S54" s="235"/>
      <c r="T54" s="235"/>
      <c r="U54" s="235"/>
      <c r="V54" s="235"/>
      <c r="W54" s="236"/>
      <c r="X54" s="235"/>
      <c r="Y54" s="235"/>
      <c r="Z54" s="235"/>
      <c r="AA54" s="235"/>
      <c r="AB54" s="235"/>
      <c r="AC54" s="235"/>
      <c r="AD54" s="235"/>
      <c r="AE54" s="236"/>
      <c r="AF54" s="234"/>
      <c r="AG54" s="235"/>
      <c r="AH54" s="235"/>
      <c r="AI54" s="236"/>
      <c r="AJ54" s="252">
        <v>1.01</v>
      </c>
      <c r="AK54" s="253"/>
      <c r="AL54" s="253"/>
      <c r="AM54" s="254"/>
      <c r="AN54" s="246">
        <v>380</v>
      </c>
      <c r="AO54" s="247"/>
      <c r="AP54" s="248"/>
      <c r="AQ54" s="238" t="s">
        <v>165</v>
      </c>
      <c r="AR54" s="239"/>
      <c r="AS54" s="239"/>
      <c r="AT54" s="239"/>
      <c r="AU54" s="239"/>
      <c r="AV54" s="239"/>
      <c r="AW54" s="240"/>
      <c r="AX54" s="238" t="s">
        <v>164</v>
      </c>
      <c r="AY54" s="239"/>
      <c r="AZ54" s="239"/>
      <c r="BA54" s="239"/>
      <c r="BB54" s="239"/>
      <c r="BC54" s="239"/>
      <c r="BD54" s="240"/>
      <c r="BE54" s="246"/>
      <c r="BF54" s="247"/>
      <c r="BG54" s="247"/>
      <c r="BH54" s="247"/>
      <c r="BI54" s="248"/>
    </row>
    <row r="55" spans="1:61" ht="30" customHeight="1">
      <c r="A55" s="146" t="s">
        <v>268</v>
      </c>
      <c r="B55" s="135"/>
      <c r="C55" s="135"/>
      <c r="D55" s="135"/>
      <c r="E55" s="135"/>
      <c r="F55" s="135"/>
      <c r="G55" s="714"/>
      <c r="H55" s="714"/>
      <c r="I55" s="714"/>
      <c r="J55" s="714"/>
      <c r="K55" s="714"/>
      <c r="L55" s="714"/>
      <c r="M55" s="713" t="s">
        <v>311</v>
      </c>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4"/>
    </row>
    <row r="56" spans="1:61" ht="15" customHeight="1">
      <c r="A56" s="139" t="s">
        <v>268</v>
      </c>
      <c r="B56" s="139"/>
      <c r="C56" s="139"/>
      <c r="D56" s="139"/>
      <c r="E56" s="139"/>
      <c r="F56" s="139"/>
      <c r="G56" s="746" t="s">
        <v>268</v>
      </c>
      <c r="H56" s="744"/>
      <c r="I56" s="744"/>
      <c r="J56" s="744"/>
      <c r="K56" s="744"/>
      <c r="L56" s="747"/>
      <c r="M56" s="246">
        <v>380</v>
      </c>
      <c r="N56" s="247"/>
      <c r="O56" s="248"/>
      <c r="P56" s="238" t="s">
        <v>183</v>
      </c>
      <c r="Q56" s="239"/>
      <c r="R56" s="239"/>
      <c r="S56" s="239"/>
      <c r="T56" s="239"/>
      <c r="U56" s="239"/>
      <c r="V56" s="239"/>
      <c r="W56" s="240"/>
      <c r="X56" s="238" t="s">
        <v>83</v>
      </c>
      <c r="Y56" s="239"/>
      <c r="Z56" s="239"/>
      <c r="AA56" s="239"/>
      <c r="AB56" s="239"/>
      <c r="AC56" s="239"/>
      <c r="AD56" s="239"/>
      <c r="AE56" s="240"/>
      <c r="AF56" s="246" t="s">
        <v>93</v>
      </c>
      <c r="AG56" s="247"/>
      <c r="AH56" s="247"/>
      <c r="AI56" s="248"/>
      <c r="AJ56" s="252">
        <v>1.04</v>
      </c>
      <c r="AK56" s="253"/>
      <c r="AL56" s="253"/>
      <c r="AM56" s="254"/>
      <c r="AN56" s="246">
        <v>380</v>
      </c>
      <c r="AO56" s="247"/>
      <c r="AP56" s="248"/>
      <c r="AQ56" s="246" t="s">
        <v>262</v>
      </c>
      <c r="AR56" s="247"/>
      <c r="AS56" s="247"/>
      <c r="AT56" s="247"/>
      <c r="AU56" s="247"/>
      <c r="AV56" s="247"/>
      <c r="AW56" s="248"/>
      <c r="AX56" s="246" t="s">
        <v>211</v>
      </c>
      <c r="AY56" s="247"/>
      <c r="AZ56" s="247"/>
      <c r="BA56" s="247"/>
      <c r="BB56" s="247"/>
      <c r="BC56" s="247"/>
      <c r="BD56" s="248"/>
      <c r="BE56" s="246"/>
      <c r="BF56" s="247"/>
      <c r="BG56" s="247"/>
      <c r="BH56" s="247"/>
      <c r="BI56" s="248"/>
    </row>
    <row r="57" spans="1:61">
      <c r="A57" s="148" t="s">
        <v>268</v>
      </c>
      <c r="B57" s="139"/>
      <c r="C57" s="139"/>
      <c r="D57" s="139"/>
      <c r="E57" s="139"/>
      <c r="F57" s="139"/>
      <c r="G57" s="785"/>
      <c r="H57" s="786"/>
      <c r="I57" s="786"/>
      <c r="J57" s="786"/>
      <c r="K57" s="786"/>
      <c r="L57" s="787"/>
      <c r="M57" s="234"/>
      <c r="N57" s="235"/>
      <c r="O57" s="236"/>
      <c r="P57" s="234" t="s">
        <v>184</v>
      </c>
      <c r="Q57" s="235"/>
      <c r="R57" s="235"/>
      <c r="S57" s="235"/>
      <c r="T57" s="235"/>
      <c r="U57" s="235"/>
      <c r="V57" s="235"/>
      <c r="W57" s="236"/>
      <c r="X57" s="234" t="s">
        <v>185</v>
      </c>
      <c r="Y57" s="235"/>
      <c r="Z57" s="235"/>
      <c r="AA57" s="235"/>
      <c r="AB57" s="235"/>
      <c r="AC57" s="235"/>
      <c r="AD57" s="235"/>
      <c r="AE57" s="236"/>
      <c r="AF57" s="234"/>
      <c r="AG57" s="235"/>
      <c r="AH57" s="235"/>
      <c r="AI57" s="236"/>
      <c r="AJ57" s="231"/>
      <c r="AK57" s="232"/>
      <c r="AL57" s="232"/>
      <c r="AM57" s="233"/>
      <c r="AN57" s="234"/>
      <c r="AO57" s="235"/>
      <c r="AP57" s="236"/>
      <c r="AQ57" s="234"/>
      <c r="AR57" s="235"/>
      <c r="AS57" s="235"/>
      <c r="AT57" s="235"/>
      <c r="AU57" s="235"/>
      <c r="AV57" s="235"/>
      <c r="AW57" s="236"/>
      <c r="AX57" s="234"/>
      <c r="AY57" s="235"/>
      <c r="AZ57" s="235"/>
      <c r="BA57" s="235"/>
      <c r="BB57" s="235"/>
      <c r="BC57" s="235"/>
      <c r="BD57" s="236"/>
      <c r="BE57" s="234"/>
      <c r="BF57" s="235"/>
      <c r="BG57" s="235"/>
      <c r="BH57" s="235"/>
      <c r="BI57" s="236"/>
    </row>
    <row r="58" spans="1:61">
      <c r="A58" s="148" t="s">
        <v>268</v>
      </c>
      <c r="B58" s="139"/>
      <c r="C58" s="139"/>
      <c r="D58" s="139"/>
      <c r="E58" s="139"/>
      <c r="F58" s="139"/>
      <c r="G58" s="748"/>
      <c r="H58" s="745"/>
      <c r="I58" s="745"/>
      <c r="J58" s="745"/>
      <c r="K58" s="745"/>
      <c r="L58" s="749"/>
      <c r="M58" s="713" t="s">
        <v>289</v>
      </c>
      <c r="N58" s="255"/>
      <c r="O58" s="255"/>
      <c r="P58" s="255"/>
      <c r="Q58" s="255"/>
      <c r="R58" s="255"/>
      <c r="S58" s="255"/>
      <c r="T58" s="255"/>
      <c r="U58" s="255"/>
      <c r="V58" s="255"/>
      <c r="W58" s="255"/>
      <c r="X58" s="255"/>
      <c r="Y58" s="255"/>
      <c r="Z58" s="255"/>
      <c r="AA58" s="255"/>
      <c r="AB58" s="255"/>
      <c r="AC58" s="255"/>
      <c r="AD58" s="255"/>
      <c r="AE58" s="255"/>
      <c r="AF58" s="255"/>
      <c r="AG58" s="255"/>
      <c r="AH58" s="255"/>
      <c r="AI58" s="255"/>
      <c r="AJ58" s="255"/>
      <c r="AK58" s="255"/>
      <c r="AL58" s="255"/>
      <c r="AM58" s="255"/>
      <c r="AN58" s="255"/>
      <c r="AO58" s="255"/>
      <c r="AP58" s="255"/>
      <c r="AQ58" s="255"/>
      <c r="AR58" s="255"/>
      <c r="AS58" s="255"/>
      <c r="AT58" s="255"/>
      <c r="AU58" s="255"/>
      <c r="AV58" s="255"/>
      <c r="AW58" s="255"/>
      <c r="AX58" s="255"/>
      <c r="AY58" s="255"/>
      <c r="AZ58" s="255"/>
      <c r="BA58" s="255"/>
      <c r="BB58" s="255"/>
      <c r="BC58" s="255"/>
      <c r="BD58" s="255"/>
      <c r="BE58" s="255"/>
      <c r="BF58" s="255"/>
      <c r="BG58" s="255"/>
      <c r="BH58" s="255"/>
      <c r="BI58" s="256"/>
    </row>
    <row r="59" spans="1:61" ht="15" customHeight="1">
      <c r="A59" s="136" t="s">
        <v>268</v>
      </c>
      <c r="B59" s="136"/>
      <c r="C59" s="136"/>
      <c r="D59" s="136"/>
      <c r="E59" s="136"/>
      <c r="F59" s="136"/>
      <c r="G59" s="701" t="s">
        <v>268</v>
      </c>
      <c r="H59" s="702"/>
      <c r="I59" s="702"/>
      <c r="J59" s="702"/>
      <c r="K59" s="702"/>
      <c r="L59" s="708"/>
      <c r="M59" s="246">
        <v>380</v>
      </c>
      <c r="N59" s="247"/>
      <c r="O59" s="248"/>
      <c r="P59" s="247" t="s">
        <v>83</v>
      </c>
      <c r="Q59" s="247"/>
      <c r="R59" s="247"/>
      <c r="S59" s="247"/>
      <c r="T59" s="247"/>
      <c r="U59" s="247"/>
      <c r="V59" s="247"/>
      <c r="W59" s="248"/>
      <c r="X59" s="238" t="s">
        <v>277</v>
      </c>
      <c r="Y59" s="239"/>
      <c r="Z59" s="239"/>
      <c r="AA59" s="239"/>
      <c r="AB59" s="239"/>
      <c r="AC59" s="239"/>
      <c r="AD59" s="239"/>
      <c r="AE59" s="240"/>
      <c r="AF59" s="246" t="s">
        <v>93</v>
      </c>
      <c r="AG59" s="247"/>
      <c r="AH59" s="247"/>
      <c r="AI59" s="248"/>
      <c r="AJ59" s="252">
        <v>1.01</v>
      </c>
      <c r="AK59" s="253"/>
      <c r="AL59" s="253"/>
      <c r="AM59" s="254"/>
      <c r="AN59" s="744">
        <v>380</v>
      </c>
      <c r="AO59" s="744"/>
      <c r="AP59" s="744"/>
      <c r="AQ59" s="246" t="s">
        <v>262</v>
      </c>
      <c r="AR59" s="247"/>
      <c r="AS59" s="247"/>
      <c r="AT59" s="247"/>
      <c r="AU59" s="247"/>
      <c r="AV59" s="247"/>
      <c r="AW59" s="248"/>
      <c r="AX59" s="246" t="s">
        <v>211</v>
      </c>
      <c r="AY59" s="247"/>
      <c r="AZ59" s="247"/>
      <c r="BA59" s="247"/>
      <c r="BB59" s="247"/>
      <c r="BC59" s="247"/>
      <c r="BD59" s="248"/>
      <c r="BE59" s="746"/>
      <c r="BF59" s="744"/>
      <c r="BG59" s="744"/>
      <c r="BH59" s="744"/>
      <c r="BI59" s="747"/>
    </row>
    <row r="60" spans="1:61">
      <c r="A60" s="144" t="s">
        <v>268</v>
      </c>
      <c r="B60" s="136"/>
      <c r="C60" s="136"/>
      <c r="D60" s="136"/>
      <c r="E60" s="136"/>
      <c r="F60" s="136"/>
      <c r="G60" s="703"/>
      <c r="H60" s="704"/>
      <c r="I60" s="704"/>
      <c r="J60" s="704"/>
      <c r="K60" s="704"/>
      <c r="L60" s="743"/>
      <c r="M60" s="234"/>
      <c r="N60" s="235"/>
      <c r="O60" s="236"/>
      <c r="P60" s="235"/>
      <c r="Q60" s="235"/>
      <c r="R60" s="235"/>
      <c r="S60" s="235"/>
      <c r="T60" s="235"/>
      <c r="U60" s="235"/>
      <c r="V60" s="235"/>
      <c r="W60" s="236"/>
      <c r="X60" s="238" t="s">
        <v>183</v>
      </c>
      <c r="Y60" s="239"/>
      <c r="Z60" s="239"/>
      <c r="AA60" s="239"/>
      <c r="AB60" s="239"/>
      <c r="AC60" s="239"/>
      <c r="AD60" s="239"/>
      <c r="AE60" s="240"/>
      <c r="AF60" s="234"/>
      <c r="AG60" s="235"/>
      <c r="AH60" s="235"/>
      <c r="AI60" s="236"/>
      <c r="AJ60" s="231"/>
      <c r="AK60" s="232"/>
      <c r="AL60" s="232"/>
      <c r="AM60" s="233"/>
      <c r="AN60" s="745"/>
      <c r="AO60" s="745"/>
      <c r="AP60" s="745"/>
      <c r="AQ60" s="234"/>
      <c r="AR60" s="235"/>
      <c r="AS60" s="235"/>
      <c r="AT60" s="235"/>
      <c r="AU60" s="235"/>
      <c r="AV60" s="235"/>
      <c r="AW60" s="236"/>
      <c r="AX60" s="234"/>
      <c r="AY60" s="235"/>
      <c r="AZ60" s="235"/>
      <c r="BA60" s="235"/>
      <c r="BB60" s="235"/>
      <c r="BC60" s="235"/>
      <c r="BD60" s="236"/>
      <c r="BE60" s="748"/>
      <c r="BF60" s="745"/>
      <c r="BG60" s="745"/>
      <c r="BH60" s="745"/>
      <c r="BI60" s="749"/>
    </row>
    <row r="61" spans="1:61" ht="20.25" customHeight="1">
      <c r="A61" s="144" t="s">
        <v>268</v>
      </c>
      <c r="B61" s="136"/>
      <c r="C61" s="136"/>
      <c r="D61" s="136"/>
      <c r="E61" s="136"/>
      <c r="F61" s="136"/>
      <c r="G61" s="705"/>
      <c r="H61" s="706"/>
      <c r="I61" s="706"/>
      <c r="J61" s="706"/>
      <c r="K61" s="706"/>
      <c r="L61" s="707"/>
      <c r="M61" s="255" t="s">
        <v>301</v>
      </c>
      <c r="N61" s="255"/>
      <c r="O61" s="255"/>
      <c r="P61" s="255"/>
      <c r="Q61" s="255"/>
      <c r="R61" s="255"/>
      <c r="S61" s="255"/>
      <c r="T61" s="255"/>
      <c r="U61" s="255"/>
      <c r="V61" s="255"/>
      <c r="W61" s="255"/>
      <c r="X61" s="255"/>
      <c r="Y61" s="255"/>
      <c r="Z61" s="255"/>
      <c r="AA61" s="255"/>
      <c r="AB61" s="255"/>
      <c r="AC61" s="255"/>
      <c r="AD61" s="255"/>
      <c r="AE61" s="255"/>
      <c r="AF61" s="255"/>
      <c r="AG61" s="255"/>
      <c r="AH61" s="255"/>
      <c r="AI61" s="255"/>
      <c r="AJ61" s="255"/>
      <c r="AK61" s="255"/>
      <c r="AL61" s="255"/>
      <c r="AM61" s="255"/>
      <c r="AN61" s="255"/>
      <c r="AO61" s="255"/>
      <c r="AP61" s="255"/>
      <c r="AQ61" s="255"/>
      <c r="AR61" s="255"/>
      <c r="AS61" s="255"/>
      <c r="AT61" s="255"/>
      <c r="AU61" s="255"/>
      <c r="AV61" s="255"/>
      <c r="AW61" s="255"/>
      <c r="AX61" s="255"/>
      <c r="AY61" s="255"/>
      <c r="AZ61" s="255"/>
      <c r="BA61" s="255"/>
      <c r="BB61" s="255"/>
      <c r="BC61" s="255"/>
      <c r="BD61" s="255"/>
      <c r="BE61" s="255"/>
      <c r="BF61" s="255"/>
      <c r="BG61" s="255"/>
      <c r="BH61" s="255"/>
      <c r="BI61" s="256"/>
    </row>
    <row r="62" spans="1:61" ht="21.75" customHeight="1">
      <c r="A62" s="135" t="s">
        <v>268</v>
      </c>
      <c r="B62" s="135"/>
      <c r="C62" s="135"/>
      <c r="D62" s="135"/>
      <c r="E62" s="135"/>
      <c r="F62" s="135"/>
      <c r="G62" s="714" t="s">
        <v>268</v>
      </c>
      <c r="H62" s="714"/>
      <c r="I62" s="714"/>
      <c r="J62" s="714"/>
      <c r="K62" s="714"/>
      <c r="L62" s="714"/>
      <c r="M62" s="246">
        <v>220</v>
      </c>
      <c r="N62" s="247"/>
      <c r="O62" s="248"/>
      <c r="P62" s="246" t="s">
        <v>312</v>
      </c>
      <c r="Q62" s="247"/>
      <c r="R62" s="247"/>
      <c r="S62" s="247"/>
      <c r="T62" s="247"/>
      <c r="U62" s="247"/>
      <c r="V62" s="247"/>
      <c r="W62" s="248"/>
      <c r="X62" s="246" t="s">
        <v>269</v>
      </c>
      <c r="Y62" s="247"/>
      <c r="Z62" s="247"/>
      <c r="AA62" s="247"/>
      <c r="AB62" s="247"/>
      <c r="AC62" s="247"/>
      <c r="AD62" s="247"/>
      <c r="AE62" s="248"/>
      <c r="AF62" s="246"/>
      <c r="AG62" s="247"/>
      <c r="AH62" s="247"/>
      <c r="AI62" s="248"/>
      <c r="AJ62" s="265">
        <v>1.03</v>
      </c>
      <c r="AK62" s="244"/>
      <c r="AL62" s="244"/>
      <c r="AM62" s="245"/>
      <c r="AN62" s="238">
        <v>220</v>
      </c>
      <c r="AO62" s="239"/>
      <c r="AP62" s="240"/>
      <c r="AQ62" s="238" t="s">
        <v>271</v>
      </c>
      <c r="AR62" s="239"/>
      <c r="AS62" s="239"/>
      <c r="AT62" s="239"/>
      <c r="AU62" s="239"/>
      <c r="AV62" s="239"/>
      <c r="AW62" s="240"/>
      <c r="AX62" s="238" t="s">
        <v>270</v>
      </c>
      <c r="AY62" s="239"/>
      <c r="AZ62" s="239"/>
      <c r="BA62" s="239"/>
      <c r="BB62" s="239"/>
      <c r="BC62" s="239"/>
      <c r="BD62" s="240"/>
      <c r="BE62" s="246"/>
      <c r="BF62" s="247"/>
      <c r="BG62" s="247"/>
      <c r="BH62" s="247"/>
      <c r="BI62" s="248"/>
    </row>
    <row r="63" spans="1:61" ht="21.75" customHeight="1">
      <c r="A63" s="146" t="s">
        <v>268</v>
      </c>
      <c r="B63" s="135"/>
      <c r="C63" s="135"/>
      <c r="D63" s="135"/>
      <c r="E63" s="135"/>
      <c r="F63" s="135"/>
      <c r="G63" s="714"/>
      <c r="H63" s="714"/>
      <c r="I63" s="714"/>
      <c r="J63" s="714"/>
      <c r="K63" s="714"/>
      <c r="L63" s="714"/>
      <c r="M63" s="715" t="s">
        <v>300</v>
      </c>
      <c r="N63" s="223"/>
      <c r="O63" s="223"/>
      <c r="P63" s="223"/>
      <c r="Q63" s="223"/>
      <c r="R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4"/>
    </row>
    <row r="64" spans="1:61">
      <c r="A64" s="136" t="s">
        <v>39</v>
      </c>
      <c r="B64" s="136"/>
      <c r="C64" s="136"/>
      <c r="D64" s="136"/>
      <c r="E64" s="136"/>
      <c r="F64" s="136"/>
      <c r="G64" s="251" t="s">
        <v>39</v>
      </c>
      <c r="H64" s="251"/>
      <c r="I64" s="251"/>
      <c r="J64" s="251"/>
      <c r="K64" s="251"/>
      <c r="L64" s="251"/>
      <c r="M64" s="249"/>
      <c r="N64" s="249"/>
      <c r="O64" s="249"/>
      <c r="P64" s="249" t="s">
        <v>272</v>
      </c>
      <c r="Q64" s="249"/>
      <c r="R64" s="249"/>
      <c r="S64" s="249"/>
      <c r="T64" s="249"/>
      <c r="U64" s="249"/>
      <c r="V64" s="249"/>
      <c r="W64" s="249"/>
      <c r="X64" s="249" t="s">
        <v>273</v>
      </c>
      <c r="Y64" s="249"/>
      <c r="Z64" s="249"/>
      <c r="AA64" s="249"/>
      <c r="AB64" s="249"/>
      <c r="AC64" s="249"/>
      <c r="AD64" s="249"/>
      <c r="AE64" s="249"/>
      <c r="AF64" s="246" t="s">
        <v>274</v>
      </c>
      <c r="AG64" s="247"/>
      <c r="AH64" s="247"/>
      <c r="AI64" s="248"/>
      <c r="AJ64" s="252">
        <v>1.01</v>
      </c>
      <c r="AK64" s="253"/>
      <c r="AL64" s="253"/>
      <c r="AM64" s="254"/>
      <c r="AN64" s="246">
        <v>380</v>
      </c>
      <c r="AO64" s="247"/>
      <c r="AP64" s="248"/>
      <c r="AQ64" s="246" t="s">
        <v>275</v>
      </c>
      <c r="AR64" s="247"/>
      <c r="AS64" s="247"/>
      <c r="AT64" s="247"/>
      <c r="AU64" s="247"/>
      <c r="AV64" s="247"/>
      <c r="AW64" s="248"/>
      <c r="AX64" s="238" t="s">
        <v>276</v>
      </c>
      <c r="AY64" s="239"/>
      <c r="AZ64" s="239"/>
      <c r="BA64" s="239"/>
      <c r="BB64" s="239"/>
      <c r="BC64" s="239"/>
      <c r="BD64" s="240"/>
      <c r="BE64" s="246"/>
      <c r="BF64" s="247"/>
      <c r="BG64" s="247"/>
      <c r="BH64" s="247"/>
      <c r="BI64" s="248"/>
    </row>
    <row r="65" spans="1:61" ht="30" customHeight="1">
      <c r="A65" s="144" t="s">
        <v>39</v>
      </c>
      <c r="B65" s="136"/>
      <c r="C65" s="136"/>
      <c r="D65" s="136"/>
      <c r="E65" s="136"/>
      <c r="F65" s="136"/>
      <c r="G65" s="728"/>
      <c r="H65" s="728"/>
      <c r="I65" s="728"/>
      <c r="J65" s="728"/>
      <c r="K65" s="728"/>
      <c r="L65" s="728"/>
      <c r="M65" s="741" t="s">
        <v>297</v>
      </c>
      <c r="N65" s="742"/>
      <c r="O65" s="742"/>
      <c r="P65" s="255"/>
      <c r="Q65" s="255"/>
      <c r="R65" s="255"/>
      <c r="S65" s="255"/>
      <c r="T65" s="255"/>
      <c r="U65" s="255"/>
      <c r="V65" s="255"/>
      <c r="W65" s="255"/>
      <c r="X65" s="255"/>
      <c r="Y65" s="255"/>
      <c r="Z65" s="255"/>
      <c r="AA65" s="255"/>
      <c r="AB65" s="255"/>
      <c r="AC65" s="255"/>
      <c r="AD65" s="255"/>
      <c r="AE65" s="255"/>
      <c r="AF65" s="255"/>
      <c r="AG65" s="255"/>
      <c r="AH65" s="255"/>
      <c r="AI65" s="255"/>
      <c r="AJ65" s="255"/>
      <c r="AK65" s="255"/>
      <c r="AL65" s="255"/>
      <c r="AM65" s="255"/>
      <c r="AN65" s="255"/>
      <c r="AO65" s="255"/>
      <c r="AP65" s="255"/>
      <c r="AQ65" s="255"/>
      <c r="AR65" s="255"/>
      <c r="AS65" s="255"/>
      <c r="AT65" s="255"/>
      <c r="AU65" s="255"/>
      <c r="AV65" s="255"/>
      <c r="AW65" s="255"/>
      <c r="AX65" s="255"/>
      <c r="AY65" s="255"/>
      <c r="AZ65" s="255"/>
      <c r="BA65" s="255"/>
      <c r="BB65" s="255"/>
      <c r="BC65" s="255"/>
      <c r="BD65" s="255"/>
      <c r="BE65" s="255"/>
      <c r="BF65" s="255"/>
      <c r="BG65" s="255"/>
      <c r="BH65" s="255"/>
      <c r="BI65" s="256"/>
    </row>
    <row r="66" spans="1:61" ht="15" customHeight="1">
      <c r="A66" s="136" t="s">
        <v>294</v>
      </c>
      <c r="B66" s="136"/>
      <c r="C66" s="136"/>
      <c r="D66" s="136"/>
      <c r="E66" s="136"/>
      <c r="F66" s="136"/>
      <c r="G66" s="251" t="s">
        <v>294</v>
      </c>
      <c r="H66" s="251"/>
      <c r="I66" s="251"/>
      <c r="J66" s="251"/>
      <c r="K66" s="251"/>
      <c r="L66" s="251"/>
      <c r="M66" s="246">
        <v>380</v>
      </c>
      <c r="N66" s="247"/>
      <c r="O66" s="247"/>
      <c r="P66" s="246" t="s">
        <v>252</v>
      </c>
      <c r="Q66" s="247"/>
      <c r="R66" s="247"/>
      <c r="S66" s="247"/>
      <c r="T66" s="247"/>
      <c r="U66" s="247"/>
      <c r="V66" s="247"/>
      <c r="W66" s="248"/>
      <c r="X66" s="246" t="s">
        <v>253</v>
      </c>
      <c r="Y66" s="247"/>
      <c r="Z66" s="247"/>
      <c r="AA66" s="247"/>
      <c r="AB66" s="247"/>
      <c r="AC66" s="247"/>
      <c r="AD66" s="247"/>
      <c r="AE66" s="248"/>
      <c r="AF66" s="247"/>
      <c r="AG66" s="247"/>
      <c r="AH66" s="247"/>
      <c r="AI66" s="248"/>
      <c r="AJ66" s="252">
        <v>1.1599999999999999</v>
      </c>
      <c r="AK66" s="253"/>
      <c r="AL66" s="253"/>
      <c r="AM66" s="254"/>
      <c r="AN66" s="246">
        <v>220</v>
      </c>
      <c r="AO66" s="247"/>
      <c r="AP66" s="248"/>
      <c r="AQ66" s="246" t="s">
        <v>254</v>
      </c>
      <c r="AR66" s="247"/>
      <c r="AS66" s="247"/>
      <c r="AT66" s="247"/>
      <c r="AU66" s="247"/>
      <c r="AV66" s="247"/>
      <c r="AW66" s="248"/>
      <c r="AX66" s="238" t="s">
        <v>253</v>
      </c>
      <c r="AY66" s="239"/>
      <c r="AZ66" s="239"/>
      <c r="BA66" s="239"/>
      <c r="BB66" s="239"/>
      <c r="BC66" s="239"/>
      <c r="BD66" s="240"/>
      <c r="BE66" s="246">
        <v>1</v>
      </c>
      <c r="BF66" s="247"/>
      <c r="BG66" s="247"/>
      <c r="BH66" s="247"/>
      <c r="BI66" s="248"/>
    </row>
    <row r="67" spans="1:61">
      <c r="A67" s="144" t="s">
        <v>294</v>
      </c>
      <c r="B67" s="136"/>
      <c r="C67" s="136"/>
      <c r="D67" s="136"/>
      <c r="E67" s="136"/>
      <c r="F67" s="136"/>
      <c r="G67" s="251"/>
      <c r="H67" s="251"/>
      <c r="I67" s="251"/>
      <c r="J67" s="251"/>
      <c r="K67" s="251"/>
      <c r="L67" s="251"/>
      <c r="M67" s="120"/>
      <c r="N67" s="121"/>
      <c r="O67" s="122"/>
      <c r="P67" s="759" t="s">
        <v>251</v>
      </c>
      <c r="Q67" s="760"/>
      <c r="R67" s="760"/>
      <c r="S67" s="760"/>
      <c r="T67" s="760"/>
      <c r="U67" s="760"/>
      <c r="V67" s="760"/>
      <c r="W67" s="761"/>
      <c r="X67" s="117"/>
      <c r="Y67" s="118"/>
      <c r="Z67" s="118"/>
      <c r="AA67" s="118"/>
      <c r="AB67" s="118"/>
      <c r="AC67" s="118"/>
      <c r="AD67" s="118"/>
      <c r="AE67" s="119"/>
      <c r="AF67" s="118"/>
      <c r="AG67" s="118"/>
      <c r="AH67" s="118"/>
      <c r="AI67" s="119"/>
      <c r="AJ67" s="252">
        <v>1.1599999999999999</v>
      </c>
      <c r="AK67" s="253"/>
      <c r="AL67" s="253"/>
      <c r="AM67" s="254"/>
      <c r="AN67" s="246">
        <v>220</v>
      </c>
      <c r="AO67" s="247"/>
      <c r="AP67" s="248"/>
      <c r="AQ67" s="246" t="s">
        <v>254</v>
      </c>
      <c r="AR67" s="247"/>
      <c r="AS67" s="247"/>
      <c r="AT67" s="247"/>
      <c r="AU67" s="247"/>
      <c r="AV67" s="247"/>
      <c r="AW67" s="248"/>
      <c r="AX67" s="238" t="s">
        <v>253</v>
      </c>
      <c r="AY67" s="239"/>
      <c r="AZ67" s="239"/>
      <c r="BA67" s="239"/>
      <c r="BB67" s="239"/>
      <c r="BC67" s="239"/>
      <c r="BD67" s="240"/>
      <c r="BE67" s="246">
        <v>2</v>
      </c>
      <c r="BF67" s="247"/>
      <c r="BG67" s="247"/>
      <c r="BH67" s="247"/>
      <c r="BI67" s="248"/>
    </row>
    <row r="68" spans="1:61">
      <c r="A68" s="144" t="s">
        <v>294</v>
      </c>
      <c r="B68" s="136"/>
      <c r="C68" s="136"/>
      <c r="D68" s="136"/>
      <c r="E68" s="136"/>
      <c r="F68" s="136"/>
      <c r="G68" s="251"/>
      <c r="H68" s="251"/>
      <c r="I68" s="251"/>
      <c r="J68" s="251"/>
      <c r="K68" s="251"/>
      <c r="L68" s="251"/>
      <c r="M68" s="238">
        <v>380</v>
      </c>
      <c r="N68" s="239"/>
      <c r="O68" s="240"/>
      <c r="P68" s="246" t="s">
        <v>252</v>
      </c>
      <c r="Q68" s="247"/>
      <c r="R68" s="247"/>
      <c r="S68" s="247"/>
      <c r="T68" s="247"/>
      <c r="U68" s="247"/>
      <c r="V68" s="247"/>
      <c r="W68" s="248"/>
      <c r="X68" s="246" t="s">
        <v>216</v>
      </c>
      <c r="Y68" s="247"/>
      <c r="Z68" s="247"/>
      <c r="AA68" s="247"/>
      <c r="AB68" s="247"/>
      <c r="AC68" s="247"/>
      <c r="AD68" s="247"/>
      <c r="AE68" s="248"/>
      <c r="AF68" s="247">
        <v>1</v>
      </c>
      <c r="AG68" s="247"/>
      <c r="AH68" s="247"/>
      <c r="AI68" s="248"/>
      <c r="AJ68" s="252">
        <v>1.02</v>
      </c>
      <c r="AK68" s="253"/>
      <c r="AL68" s="253"/>
      <c r="AM68" s="254"/>
      <c r="AN68" s="246">
        <v>220</v>
      </c>
      <c r="AO68" s="247"/>
      <c r="AP68" s="248"/>
      <c r="AQ68" s="246" t="s">
        <v>255</v>
      </c>
      <c r="AR68" s="247"/>
      <c r="AS68" s="247"/>
      <c r="AT68" s="247"/>
      <c r="AU68" s="247"/>
      <c r="AV68" s="247"/>
      <c r="AW68" s="248"/>
      <c r="AX68" s="238" t="s">
        <v>256</v>
      </c>
      <c r="AY68" s="239"/>
      <c r="AZ68" s="239"/>
      <c r="BA68" s="239"/>
      <c r="BB68" s="239"/>
      <c r="BC68" s="239"/>
      <c r="BD68" s="240"/>
      <c r="BE68" s="246"/>
      <c r="BF68" s="247"/>
      <c r="BG68" s="247"/>
      <c r="BH68" s="247"/>
      <c r="BI68" s="248"/>
    </row>
    <row r="69" spans="1:61" ht="29.25" customHeight="1">
      <c r="A69" s="144" t="s">
        <v>294</v>
      </c>
      <c r="B69" s="136"/>
      <c r="C69" s="136"/>
      <c r="D69" s="136"/>
      <c r="E69" s="136"/>
      <c r="F69" s="136"/>
      <c r="G69" s="251"/>
      <c r="H69" s="251"/>
      <c r="I69" s="251"/>
      <c r="J69" s="251"/>
      <c r="K69" s="251"/>
      <c r="L69" s="251"/>
      <c r="M69" s="713" t="s">
        <v>298</v>
      </c>
      <c r="N69" s="255"/>
      <c r="O69" s="255"/>
      <c r="P69" s="255"/>
      <c r="Q69" s="255"/>
      <c r="R69" s="255"/>
      <c r="S69" s="255"/>
      <c r="T69" s="255"/>
      <c r="U69" s="255"/>
      <c r="V69" s="255"/>
      <c r="W69" s="255"/>
      <c r="X69" s="255"/>
      <c r="Y69" s="255"/>
      <c r="Z69" s="255"/>
      <c r="AA69" s="255"/>
      <c r="AB69" s="255"/>
      <c r="AC69" s="255"/>
      <c r="AD69" s="255"/>
      <c r="AE69" s="255"/>
      <c r="AF69" s="255"/>
      <c r="AG69" s="255"/>
      <c r="AH69" s="255"/>
      <c r="AI69" s="255"/>
      <c r="AJ69" s="255"/>
      <c r="AK69" s="255"/>
      <c r="AL69" s="255"/>
      <c r="AM69" s="255"/>
      <c r="AN69" s="255"/>
      <c r="AO69" s="255"/>
      <c r="AP69" s="255"/>
      <c r="AQ69" s="255"/>
      <c r="AR69" s="255"/>
      <c r="AS69" s="255"/>
      <c r="AT69" s="255"/>
      <c r="AU69" s="255"/>
      <c r="AV69" s="255"/>
      <c r="AW69" s="255"/>
      <c r="AX69" s="255"/>
      <c r="AY69" s="255"/>
      <c r="AZ69" s="255"/>
      <c r="BA69" s="255"/>
      <c r="BB69" s="255"/>
      <c r="BC69" s="255"/>
      <c r="BD69" s="255"/>
      <c r="BE69" s="255"/>
      <c r="BF69" s="255"/>
      <c r="BG69" s="255"/>
      <c r="BH69" s="255"/>
      <c r="BI69" s="256"/>
    </row>
    <row r="70" spans="1:61" ht="15" customHeight="1">
      <c r="A70" s="135" t="s">
        <v>293</v>
      </c>
      <c r="B70" s="135"/>
      <c r="C70" s="135"/>
      <c r="D70" s="135"/>
      <c r="E70" s="135"/>
      <c r="F70" s="135"/>
      <c r="G70" s="714" t="s">
        <v>293</v>
      </c>
      <c r="H70" s="714"/>
      <c r="I70" s="714"/>
      <c r="J70" s="714"/>
      <c r="K70" s="714"/>
      <c r="L70" s="714"/>
      <c r="M70" s="246">
        <v>380</v>
      </c>
      <c r="N70" s="247"/>
      <c r="O70" s="248"/>
      <c r="P70" s="246" t="s">
        <v>85</v>
      </c>
      <c r="Q70" s="247"/>
      <c r="R70" s="247"/>
      <c r="S70" s="247"/>
      <c r="T70" s="247"/>
      <c r="U70" s="247"/>
      <c r="V70" s="247"/>
      <c r="W70" s="248"/>
      <c r="X70" s="246" t="s">
        <v>169</v>
      </c>
      <c r="Y70" s="247"/>
      <c r="Z70" s="247"/>
      <c r="AA70" s="247"/>
      <c r="AB70" s="247"/>
      <c r="AC70" s="247"/>
      <c r="AD70" s="247"/>
      <c r="AE70" s="248"/>
      <c r="AF70" s="246"/>
      <c r="AG70" s="247"/>
      <c r="AH70" s="247"/>
      <c r="AI70" s="248"/>
      <c r="AJ70" s="252">
        <v>1.05</v>
      </c>
      <c r="AK70" s="253"/>
      <c r="AL70" s="253"/>
      <c r="AM70" s="254"/>
      <c r="AN70" s="246">
        <v>220</v>
      </c>
      <c r="AO70" s="247"/>
      <c r="AP70" s="248"/>
      <c r="AQ70" s="246" t="s">
        <v>170</v>
      </c>
      <c r="AR70" s="247"/>
      <c r="AS70" s="247"/>
      <c r="AT70" s="247"/>
      <c r="AU70" s="247"/>
      <c r="AV70" s="247"/>
      <c r="AW70" s="248"/>
      <c r="AX70" s="238" t="s">
        <v>85</v>
      </c>
      <c r="AY70" s="239"/>
      <c r="AZ70" s="239"/>
      <c r="BA70" s="239"/>
      <c r="BB70" s="239"/>
      <c r="BC70" s="239"/>
      <c r="BD70" s="240"/>
      <c r="BE70" s="246"/>
      <c r="BF70" s="247"/>
      <c r="BG70" s="247"/>
      <c r="BH70" s="247"/>
      <c r="BI70" s="248"/>
    </row>
    <row r="71" spans="1:61" ht="25.5" customHeight="1">
      <c r="A71" s="142" t="s">
        <v>293</v>
      </c>
      <c r="B71" s="135"/>
      <c r="C71" s="135"/>
      <c r="D71" s="135"/>
      <c r="E71" s="135"/>
      <c r="F71" s="135"/>
      <c r="G71" s="714"/>
      <c r="H71" s="714"/>
      <c r="I71" s="714"/>
      <c r="J71" s="714"/>
      <c r="K71" s="714"/>
      <c r="L71" s="714"/>
      <c r="M71" s="715" t="s">
        <v>171</v>
      </c>
      <c r="N71" s="223"/>
      <c r="O71" s="223"/>
      <c r="P71" s="223"/>
      <c r="Q71" s="223"/>
      <c r="R71" s="223"/>
      <c r="S71" s="223"/>
      <c r="T71" s="223"/>
      <c r="U71" s="223"/>
      <c r="V71" s="223"/>
      <c r="W71" s="223"/>
      <c r="X71" s="223"/>
      <c r="Y71" s="223"/>
      <c r="Z71" s="223"/>
      <c r="AA71" s="223"/>
      <c r="AB71" s="223"/>
      <c r="AC71" s="223"/>
      <c r="AD71" s="223"/>
      <c r="AE71" s="223"/>
      <c r="AF71" s="223"/>
      <c r="AG71" s="223"/>
      <c r="AH71" s="223"/>
      <c r="AI71" s="223"/>
      <c r="AJ71" s="223"/>
      <c r="AK71" s="223"/>
      <c r="AL71" s="223"/>
      <c r="AM71" s="223"/>
      <c r="AN71" s="223"/>
      <c r="AO71" s="223"/>
      <c r="AP71" s="223"/>
      <c r="AQ71" s="223"/>
      <c r="AR71" s="223"/>
      <c r="AS71" s="223"/>
      <c r="AT71" s="223"/>
      <c r="AU71" s="223"/>
      <c r="AV71" s="223"/>
      <c r="AW71" s="223"/>
      <c r="AX71" s="223"/>
      <c r="AY71" s="223"/>
      <c r="AZ71" s="223"/>
      <c r="BA71" s="223"/>
      <c r="BB71" s="223"/>
      <c r="BC71" s="223"/>
      <c r="BD71" s="223"/>
      <c r="BE71" s="223"/>
      <c r="BF71" s="223"/>
      <c r="BG71" s="223"/>
      <c r="BH71" s="223"/>
      <c r="BI71" s="224"/>
    </row>
    <row r="72" spans="1:61" ht="15" customHeight="1">
      <c r="A72" s="135" t="s">
        <v>240</v>
      </c>
      <c r="B72" s="135"/>
      <c r="C72" s="135"/>
      <c r="D72" s="135"/>
      <c r="E72" s="135"/>
      <c r="F72" s="135"/>
      <c r="G72" s="714" t="s">
        <v>240</v>
      </c>
      <c r="H72" s="714"/>
      <c r="I72" s="714"/>
      <c r="J72" s="714"/>
      <c r="K72" s="714"/>
      <c r="L72" s="714"/>
      <c r="M72" s="246">
        <v>380</v>
      </c>
      <c r="N72" s="247"/>
      <c r="O72" s="248"/>
      <c r="P72" s="246" t="s">
        <v>42</v>
      </c>
      <c r="Q72" s="247"/>
      <c r="R72" s="247"/>
      <c r="S72" s="247"/>
      <c r="T72" s="247"/>
      <c r="U72" s="247"/>
      <c r="V72" s="247"/>
      <c r="W72" s="248"/>
      <c r="X72" s="246" t="s">
        <v>92</v>
      </c>
      <c r="Y72" s="247"/>
      <c r="Z72" s="247"/>
      <c r="AA72" s="247"/>
      <c r="AB72" s="247"/>
      <c r="AC72" s="247"/>
      <c r="AD72" s="247"/>
      <c r="AE72" s="248"/>
      <c r="AF72" s="246" t="s">
        <v>93</v>
      </c>
      <c r="AG72" s="247"/>
      <c r="AH72" s="247"/>
      <c r="AI72" s="248"/>
      <c r="AJ72" s="252">
        <v>1.28</v>
      </c>
      <c r="AK72" s="253"/>
      <c r="AL72" s="253"/>
      <c r="AM72" s="254"/>
      <c r="AN72" s="246">
        <v>220</v>
      </c>
      <c r="AO72" s="247"/>
      <c r="AP72" s="248"/>
      <c r="AQ72" s="246" t="s">
        <v>159</v>
      </c>
      <c r="AR72" s="247"/>
      <c r="AS72" s="247"/>
      <c r="AT72" s="247"/>
      <c r="AU72" s="247"/>
      <c r="AV72" s="247"/>
      <c r="AW72" s="248"/>
      <c r="AX72" s="238" t="s">
        <v>163</v>
      </c>
      <c r="AY72" s="239"/>
      <c r="AZ72" s="239"/>
      <c r="BA72" s="239"/>
      <c r="BB72" s="239"/>
      <c r="BC72" s="239"/>
      <c r="BD72" s="240"/>
      <c r="BE72" s="246"/>
      <c r="BF72" s="247"/>
      <c r="BG72" s="247"/>
      <c r="BH72" s="247"/>
      <c r="BI72" s="248"/>
    </row>
    <row r="73" spans="1:61" ht="26.25" customHeight="1">
      <c r="A73" s="142" t="s">
        <v>240</v>
      </c>
      <c r="B73" s="135"/>
      <c r="C73" s="135"/>
      <c r="D73" s="135"/>
      <c r="E73" s="135"/>
      <c r="F73" s="135"/>
      <c r="G73" s="714"/>
      <c r="H73" s="714"/>
      <c r="I73" s="714"/>
      <c r="J73" s="714"/>
      <c r="K73" s="714"/>
      <c r="L73" s="714"/>
      <c r="M73" s="713" t="s">
        <v>168</v>
      </c>
      <c r="N73" s="255"/>
      <c r="O73" s="255"/>
      <c r="P73" s="255"/>
      <c r="Q73" s="255"/>
      <c r="R73" s="255"/>
      <c r="S73" s="255"/>
      <c r="T73" s="255"/>
      <c r="U73" s="255"/>
      <c r="V73" s="255"/>
      <c r="W73" s="255"/>
      <c r="X73" s="255"/>
      <c r="Y73" s="255"/>
      <c r="Z73" s="255"/>
      <c r="AA73" s="255"/>
      <c r="AB73" s="255"/>
      <c r="AC73" s="255"/>
      <c r="AD73" s="255"/>
      <c r="AE73" s="255"/>
      <c r="AF73" s="255"/>
      <c r="AG73" s="255"/>
      <c r="AH73" s="255"/>
      <c r="AI73" s="255"/>
      <c r="AJ73" s="255"/>
      <c r="AK73" s="255"/>
      <c r="AL73" s="255"/>
      <c r="AM73" s="255"/>
      <c r="AN73" s="255"/>
      <c r="AO73" s="255"/>
      <c r="AP73" s="255"/>
      <c r="AQ73" s="255"/>
      <c r="AR73" s="255"/>
      <c r="AS73" s="255"/>
      <c r="AT73" s="255"/>
      <c r="AU73" s="255"/>
      <c r="AV73" s="255"/>
      <c r="AW73" s="255"/>
      <c r="AX73" s="255"/>
      <c r="AY73" s="255"/>
      <c r="AZ73" s="255"/>
      <c r="BA73" s="255"/>
      <c r="BB73" s="255"/>
      <c r="BC73" s="255"/>
      <c r="BD73" s="255"/>
      <c r="BE73" s="255"/>
      <c r="BF73" s="255"/>
      <c r="BG73" s="255"/>
      <c r="BH73" s="255"/>
      <c r="BI73" s="256"/>
    </row>
    <row r="74" spans="1:61">
      <c r="A74" s="136" t="s">
        <v>240</v>
      </c>
      <c r="B74" s="136"/>
      <c r="C74" s="136"/>
      <c r="D74" s="136"/>
      <c r="E74" s="136"/>
      <c r="F74" s="136"/>
      <c r="G74" s="251" t="s">
        <v>240</v>
      </c>
      <c r="H74" s="251"/>
      <c r="I74" s="251"/>
      <c r="J74" s="251"/>
      <c r="K74" s="251"/>
      <c r="L74" s="251"/>
      <c r="M74" s="249">
        <v>380</v>
      </c>
      <c r="N74" s="249"/>
      <c r="O74" s="249"/>
      <c r="P74" s="249" t="s">
        <v>42</v>
      </c>
      <c r="Q74" s="249"/>
      <c r="R74" s="249"/>
      <c r="S74" s="249"/>
      <c r="T74" s="249"/>
      <c r="U74" s="249"/>
      <c r="V74" s="249"/>
      <c r="W74" s="249"/>
      <c r="X74" s="249" t="s">
        <v>92</v>
      </c>
      <c r="Y74" s="249"/>
      <c r="Z74" s="249"/>
      <c r="AA74" s="249"/>
      <c r="AB74" s="249"/>
      <c r="AC74" s="249"/>
      <c r="AD74" s="249"/>
      <c r="AE74" s="249"/>
      <c r="AF74" s="246" t="s">
        <v>93</v>
      </c>
      <c r="AG74" s="247"/>
      <c r="AH74" s="247"/>
      <c r="AI74" s="248"/>
      <c r="AJ74" s="252" t="s">
        <v>237</v>
      </c>
      <c r="AK74" s="253"/>
      <c r="AL74" s="253"/>
      <c r="AM74" s="254"/>
      <c r="AN74" s="246">
        <v>380</v>
      </c>
      <c r="AO74" s="247"/>
      <c r="AP74" s="248"/>
      <c r="AQ74" s="246" t="s">
        <v>238</v>
      </c>
      <c r="AR74" s="247"/>
      <c r="AS74" s="247"/>
      <c r="AT74" s="247"/>
      <c r="AU74" s="247"/>
      <c r="AV74" s="247"/>
      <c r="AW74" s="248"/>
      <c r="AX74" s="238" t="s">
        <v>15</v>
      </c>
      <c r="AY74" s="239"/>
      <c r="AZ74" s="239"/>
      <c r="BA74" s="239"/>
      <c r="BB74" s="239"/>
      <c r="BC74" s="239"/>
      <c r="BD74" s="240"/>
      <c r="BE74" s="246"/>
      <c r="BF74" s="247"/>
      <c r="BG74" s="247"/>
      <c r="BH74" s="247"/>
      <c r="BI74" s="248"/>
    </row>
    <row r="75" spans="1:61" ht="22.5" customHeight="1">
      <c r="A75" s="144" t="s">
        <v>240</v>
      </c>
      <c r="B75" s="136"/>
      <c r="C75" s="136"/>
      <c r="D75" s="136"/>
      <c r="E75" s="136"/>
      <c r="F75" s="136"/>
      <c r="G75" s="251"/>
      <c r="H75" s="251"/>
      <c r="I75" s="251"/>
      <c r="J75" s="251"/>
      <c r="K75" s="251"/>
      <c r="L75" s="251"/>
      <c r="M75" s="222" t="s">
        <v>239</v>
      </c>
      <c r="N75" s="255"/>
      <c r="O75" s="255"/>
      <c r="P75" s="255"/>
      <c r="Q75" s="255"/>
      <c r="R75" s="255"/>
      <c r="S75" s="255"/>
      <c r="T75" s="255"/>
      <c r="U75" s="255"/>
      <c r="V75" s="255"/>
      <c r="W75" s="255"/>
      <c r="X75" s="255"/>
      <c r="Y75" s="255"/>
      <c r="Z75" s="255"/>
      <c r="AA75" s="255"/>
      <c r="AB75" s="255"/>
      <c r="AC75" s="255"/>
      <c r="AD75" s="255"/>
      <c r="AE75" s="255"/>
      <c r="AF75" s="255"/>
      <c r="AG75" s="255"/>
      <c r="AH75" s="255"/>
      <c r="AI75" s="255"/>
      <c r="AJ75" s="255"/>
      <c r="AK75" s="255"/>
      <c r="AL75" s="255"/>
      <c r="AM75" s="255"/>
      <c r="AN75" s="255"/>
      <c r="AO75" s="255"/>
      <c r="AP75" s="255"/>
      <c r="AQ75" s="255"/>
      <c r="AR75" s="255"/>
      <c r="AS75" s="255"/>
      <c r="AT75" s="255"/>
      <c r="AU75" s="255"/>
      <c r="AV75" s="255"/>
      <c r="AW75" s="255"/>
      <c r="AX75" s="255"/>
      <c r="AY75" s="255"/>
      <c r="AZ75" s="255"/>
      <c r="BA75" s="255"/>
      <c r="BB75" s="255"/>
      <c r="BC75" s="255"/>
      <c r="BD75" s="255"/>
      <c r="BE75" s="255"/>
      <c r="BF75" s="255"/>
      <c r="BG75" s="255"/>
      <c r="BH75" s="255"/>
      <c r="BI75" s="256"/>
    </row>
    <row r="76" spans="1:61">
      <c r="A76" s="135" t="s">
        <v>240</v>
      </c>
      <c r="B76" s="135"/>
      <c r="C76" s="135"/>
      <c r="D76" s="135"/>
      <c r="E76" s="135"/>
      <c r="F76" s="135"/>
      <c r="G76" s="750" t="s">
        <v>240</v>
      </c>
      <c r="H76" s="751"/>
      <c r="I76" s="751"/>
      <c r="J76" s="751"/>
      <c r="K76" s="751"/>
      <c r="L76" s="752"/>
      <c r="M76" s="246">
        <v>380</v>
      </c>
      <c r="N76" s="247"/>
      <c r="O76" s="248"/>
      <c r="P76" s="246" t="s">
        <v>42</v>
      </c>
      <c r="Q76" s="247"/>
      <c r="R76" s="247"/>
      <c r="S76" s="247"/>
      <c r="T76" s="247"/>
      <c r="U76" s="247"/>
      <c r="V76" s="247"/>
      <c r="W76" s="248"/>
      <c r="X76" s="246" t="s">
        <v>92</v>
      </c>
      <c r="Y76" s="247"/>
      <c r="Z76" s="247"/>
      <c r="AA76" s="247"/>
      <c r="AB76" s="247"/>
      <c r="AC76" s="247"/>
      <c r="AD76" s="247"/>
      <c r="AE76" s="248"/>
      <c r="AF76" s="246" t="s">
        <v>93</v>
      </c>
      <c r="AG76" s="247"/>
      <c r="AH76" s="247"/>
      <c r="AI76" s="248"/>
      <c r="AJ76" s="265">
        <v>1.04</v>
      </c>
      <c r="AK76" s="244"/>
      <c r="AL76" s="244"/>
      <c r="AM76" s="245"/>
      <c r="AN76" s="238">
        <v>380</v>
      </c>
      <c r="AO76" s="239"/>
      <c r="AP76" s="240"/>
      <c r="AQ76" s="238" t="s">
        <v>238</v>
      </c>
      <c r="AR76" s="239"/>
      <c r="AS76" s="239"/>
      <c r="AT76" s="239"/>
      <c r="AU76" s="239"/>
      <c r="AV76" s="239"/>
      <c r="AW76" s="240"/>
      <c r="AX76" s="238" t="s">
        <v>15</v>
      </c>
      <c r="AY76" s="239"/>
      <c r="AZ76" s="239"/>
      <c r="BA76" s="239"/>
      <c r="BB76" s="239"/>
      <c r="BC76" s="239"/>
      <c r="BD76" s="240"/>
      <c r="BE76" s="246"/>
      <c r="BF76" s="247"/>
      <c r="BG76" s="247"/>
      <c r="BH76" s="247"/>
      <c r="BI76" s="248"/>
    </row>
    <row r="77" spans="1:61">
      <c r="A77" s="146" t="s">
        <v>240</v>
      </c>
      <c r="B77" s="135"/>
      <c r="C77" s="135"/>
      <c r="D77" s="135"/>
      <c r="E77" s="135"/>
      <c r="F77" s="135"/>
      <c r="G77" s="753"/>
      <c r="H77" s="754"/>
      <c r="I77" s="754"/>
      <c r="J77" s="754"/>
      <c r="K77" s="754"/>
      <c r="L77" s="755"/>
      <c r="M77" s="219"/>
      <c r="N77" s="220"/>
      <c r="O77" s="221"/>
      <c r="P77" s="219"/>
      <c r="Q77" s="220"/>
      <c r="R77" s="220"/>
      <c r="S77" s="220"/>
      <c r="T77" s="220"/>
      <c r="U77" s="220"/>
      <c r="V77" s="220"/>
      <c r="W77" s="221"/>
      <c r="X77" s="219"/>
      <c r="Y77" s="220"/>
      <c r="Z77" s="220"/>
      <c r="AA77" s="220"/>
      <c r="AB77" s="220"/>
      <c r="AC77" s="220"/>
      <c r="AD77" s="220"/>
      <c r="AE77" s="221"/>
      <c r="AF77" s="219"/>
      <c r="AG77" s="220"/>
      <c r="AH77" s="220"/>
      <c r="AI77" s="221"/>
      <c r="AJ77" s="265">
        <v>1.03</v>
      </c>
      <c r="AK77" s="244"/>
      <c r="AL77" s="244"/>
      <c r="AM77" s="245"/>
      <c r="AN77" s="238">
        <v>380</v>
      </c>
      <c r="AO77" s="239"/>
      <c r="AP77" s="240"/>
      <c r="AQ77" s="238" t="s">
        <v>246</v>
      </c>
      <c r="AR77" s="239"/>
      <c r="AS77" s="239"/>
      <c r="AT77" s="239"/>
      <c r="AU77" s="239"/>
      <c r="AV77" s="239"/>
      <c r="AW77" s="240"/>
      <c r="AX77" s="238" t="s">
        <v>247</v>
      </c>
      <c r="AY77" s="239"/>
      <c r="AZ77" s="239"/>
      <c r="BA77" s="239"/>
      <c r="BB77" s="239"/>
      <c r="BC77" s="239"/>
      <c r="BD77" s="240"/>
      <c r="BE77" s="117"/>
      <c r="BF77" s="118"/>
      <c r="BG77" s="118"/>
      <c r="BH77" s="118"/>
      <c r="BI77" s="119"/>
    </row>
    <row r="78" spans="1:61">
      <c r="A78" s="146" t="s">
        <v>240</v>
      </c>
      <c r="B78" s="135"/>
      <c r="C78" s="135"/>
      <c r="D78" s="135"/>
      <c r="E78" s="135"/>
      <c r="F78" s="135"/>
      <c r="G78" s="753"/>
      <c r="H78" s="754"/>
      <c r="I78" s="754"/>
      <c r="J78" s="754"/>
      <c r="K78" s="754"/>
      <c r="L78" s="755"/>
      <c r="M78" s="234"/>
      <c r="N78" s="235"/>
      <c r="O78" s="236"/>
      <c r="P78" s="234"/>
      <c r="Q78" s="235"/>
      <c r="R78" s="235"/>
      <c r="S78" s="235"/>
      <c r="T78" s="235"/>
      <c r="U78" s="235"/>
      <c r="V78" s="235"/>
      <c r="W78" s="236"/>
      <c r="X78" s="234"/>
      <c r="Y78" s="235"/>
      <c r="Z78" s="235"/>
      <c r="AA78" s="235"/>
      <c r="AB78" s="235"/>
      <c r="AC78" s="235"/>
      <c r="AD78" s="235"/>
      <c r="AE78" s="236"/>
      <c r="AF78" s="234"/>
      <c r="AG78" s="235"/>
      <c r="AH78" s="235"/>
      <c r="AI78" s="236"/>
      <c r="AJ78" s="265">
        <v>1</v>
      </c>
      <c r="AK78" s="244"/>
      <c r="AL78" s="244"/>
      <c r="AM78" s="245"/>
      <c r="AN78" s="238">
        <v>380</v>
      </c>
      <c r="AO78" s="239"/>
      <c r="AP78" s="240"/>
      <c r="AQ78" s="238" t="s">
        <v>248</v>
      </c>
      <c r="AR78" s="239"/>
      <c r="AS78" s="239"/>
      <c r="AT78" s="239"/>
      <c r="AU78" s="239"/>
      <c r="AV78" s="239"/>
      <c r="AW78" s="240"/>
      <c r="AX78" s="238" t="s">
        <v>246</v>
      </c>
      <c r="AY78" s="239"/>
      <c r="AZ78" s="239"/>
      <c r="BA78" s="239"/>
      <c r="BB78" s="239"/>
      <c r="BC78" s="239"/>
      <c r="BD78" s="240"/>
      <c r="BE78" s="246"/>
      <c r="BF78" s="247"/>
      <c r="BG78" s="247"/>
      <c r="BH78" s="247"/>
      <c r="BI78" s="248"/>
    </row>
    <row r="79" spans="1:61" ht="20.25" customHeight="1">
      <c r="A79" s="146" t="s">
        <v>240</v>
      </c>
      <c r="B79" s="135"/>
      <c r="C79" s="135"/>
      <c r="D79" s="135"/>
      <c r="E79" s="135"/>
      <c r="F79" s="135"/>
      <c r="G79" s="753"/>
      <c r="H79" s="754"/>
      <c r="I79" s="754"/>
      <c r="J79" s="754"/>
      <c r="K79" s="754"/>
      <c r="L79" s="755"/>
      <c r="M79" s="715" t="s">
        <v>249</v>
      </c>
      <c r="N79" s="223"/>
      <c r="O79" s="223"/>
      <c r="P79" s="223"/>
      <c r="Q79" s="223"/>
      <c r="R79" s="223"/>
      <c r="S79" s="223"/>
      <c r="T79" s="223"/>
      <c r="U79" s="223"/>
      <c r="V79" s="223"/>
      <c r="W79" s="223"/>
      <c r="X79" s="223"/>
      <c r="Y79" s="223"/>
      <c r="Z79" s="223"/>
      <c r="AA79" s="223"/>
      <c r="AB79" s="223"/>
      <c r="AC79" s="223"/>
      <c r="AD79" s="223"/>
      <c r="AE79" s="223"/>
      <c r="AF79" s="223"/>
      <c r="AG79" s="223"/>
      <c r="AH79" s="223"/>
      <c r="AI79" s="223"/>
      <c r="AJ79" s="223"/>
      <c r="AK79" s="223"/>
      <c r="AL79" s="223"/>
      <c r="AM79" s="223"/>
      <c r="AN79" s="223"/>
      <c r="AO79" s="223"/>
      <c r="AP79" s="223"/>
      <c r="AQ79" s="223"/>
      <c r="AR79" s="223"/>
      <c r="AS79" s="223"/>
      <c r="AT79" s="223"/>
      <c r="AU79" s="223"/>
      <c r="AV79" s="223"/>
      <c r="AW79" s="223"/>
      <c r="AX79" s="223"/>
      <c r="AY79" s="223"/>
      <c r="AZ79" s="223"/>
      <c r="BA79" s="223"/>
      <c r="BB79" s="223"/>
      <c r="BC79" s="223"/>
      <c r="BD79" s="223"/>
      <c r="BE79" s="223"/>
      <c r="BF79" s="223"/>
      <c r="BG79" s="223"/>
      <c r="BH79" s="223"/>
      <c r="BI79" s="224"/>
    </row>
    <row r="80" spans="1:61" ht="16.5" customHeight="1">
      <c r="A80" s="146" t="s">
        <v>240</v>
      </c>
      <c r="B80" s="135"/>
      <c r="C80" s="135"/>
      <c r="D80" s="135"/>
      <c r="E80" s="135"/>
      <c r="F80" s="135"/>
      <c r="G80" s="753"/>
      <c r="H80" s="754"/>
      <c r="I80" s="754"/>
      <c r="J80" s="754"/>
      <c r="K80" s="754"/>
      <c r="L80" s="755"/>
      <c r="M80" s="249">
        <v>380</v>
      </c>
      <c r="N80" s="249"/>
      <c r="O80" s="249"/>
      <c r="P80" s="249" t="s">
        <v>246</v>
      </c>
      <c r="Q80" s="249"/>
      <c r="R80" s="249"/>
      <c r="S80" s="249"/>
      <c r="T80" s="249"/>
      <c r="U80" s="249"/>
      <c r="V80" s="249"/>
      <c r="W80" s="249"/>
      <c r="X80" s="249" t="s">
        <v>247</v>
      </c>
      <c r="Y80" s="249"/>
      <c r="Z80" s="249"/>
      <c r="AA80" s="249"/>
      <c r="AB80" s="249"/>
      <c r="AC80" s="249"/>
      <c r="AD80" s="249"/>
      <c r="AE80" s="249"/>
      <c r="AF80" s="246"/>
      <c r="AG80" s="247"/>
      <c r="AH80" s="247"/>
      <c r="AI80" s="248"/>
      <c r="AJ80" s="252">
        <v>1.01</v>
      </c>
      <c r="AK80" s="253"/>
      <c r="AL80" s="253"/>
      <c r="AM80" s="254"/>
      <c r="AN80" s="246">
        <v>380</v>
      </c>
      <c r="AO80" s="247"/>
      <c r="AP80" s="248"/>
      <c r="AQ80" s="246" t="s">
        <v>42</v>
      </c>
      <c r="AR80" s="247"/>
      <c r="AS80" s="247"/>
      <c r="AT80" s="247"/>
      <c r="AU80" s="247"/>
      <c r="AV80" s="247"/>
      <c r="AW80" s="248"/>
      <c r="AX80" s="238" t="s">
        <v>92</v>
      </c>
      <c r="AY80" s="239"/>
      <c r="AZ80" s="239"/>
      <c r="BA80" s="239"/>
      <c r="BB80" s="239"/>
      <c r="BC80" s="239"/>
      <c r="BD80" s="240"/>
      <c r="BE80" s="246"/>
      <c r="BF80" s="247"/>
      <c r="BG80" s="247"/>
      <c r="BH80" s="247"/>
      <c r="BI80" s="248"/>
    </row>
    <row r="81" spans="1:61" ht="16.5" customHeight="1">
      <c r="A81" s="146" t="s">
        <v>240</v>
      </c>
      <c r="B81" s="135"/>
      <c r="C81" s="135"/>
      <c r="D81" s="135"/>
      <c r="E81" s="135"/>
      <c r="F81" s="135"/>
      <c r="G81" s="756"/>
      <c r="H81" s="757"/>
      <c r="I81" s="757"/>
      <c r="J81" s="757"/>
      <c r="K81" s="757"/>
      <c r="L81" s="758"/>
      <c r="M81" s="715" t="s">
        <v>250</v>
      </c>
      <c r="N81" s="255"/>
      <c r="O81" s="255"/>
      <c r="P81" s="255"/>
      <c r="Q81" s="255"/>
      <c r="R81" s="255"/>
      <c r="S81" s="255"/>
      <c r="T81" s="255"/>
      <c r="U81" s="255"/>
      <c r="V81" s="255"/>
      <c r="W81" s="255"/>
      <c r="X81" s="255"/>
      <c r="Y81" s="255"/>
      <c r="Z81" s="255"/>
      <c r="AA81" s="255"/>
      <c r="AB81" s="255"/>
      <c r="AC81" s="255"/>
      <c r="AD81" s="255"/>
      <c r="AE81" s="255"/>
      <c r="AF81" s="255"/>
      <c r="AG81" s="255"/>
      <c r="AH81" s="255"/>
      <c r="AI81" s="255"/>
      <c r="AJ81" s="255"/>
      <c r="AK81" s="255"/>
      <c r="AL81" s="255"/>
      <c r="AM81" s="255"/>
      <c r="AN81" s="255"/>
      <c r="AO81" s="255"/>
      <c r="AP81" s="255"/>
      <c r="AQ81" s="255"/>
      <c r="AR81" s="255"/>
      <c r="AS81" s="255"/>
      <c r="AT81" s="255"/>
      <c r="AU81" s="255"/>
      <c r="AV81" s="255"/>
      <c r="AW81" s="255"/>
      <c r="AX81" s="255"/>
      <c r="AY81" s="255"/>
      <c r="AZ81" s="255"/>
      <c r="BA81" s="255"/>
      <c r="BB81" s="255"/>
      <c r="BC81" s="255"/>
      <c r="BD81" s="255"/>
      <c r="BE81" s="255"/>
      <c r="BF81" s="255"/>
      <c r="BG81" s="255"/>
      <c r="BH81" s="255"/>
      <c r="BI81" s="256"/>
    </row>
    <row r="82" spans="1:61" ht="16.5" customHeight="1">
      <c r="A82" s="135" t="s">
        <v>240</v>
      </c>
      <c r="B82" s="135"/>
      <c r="C82" s="135"/>
      <c r="D82" s="135"/>
      <c r="E82" s="135"/>
      <c r="F82" s="135"/>
      <c r="G82" s="714" t="s">
        <v>240</v>
      </c>
      <c r="H82" s="751"/>
      <c r="I82" s="751"/>
      <c r="J82" s="751"/>
      <c r="K82" s="751"/>
      <c r="L82" s="752"/>
      <c r="M82" s="246">
        <v>380</v>
      </c>
      <c r="N82" s="247"/>
      <c r="O82" s="248"/>
      <c r="P82" s="238" t="s">
        <v>42</v>
      </c>
      <c r="Q82" s="239"/>
      <c r="R82" s="239"/>
      <c r="S82" s="239"/>
      <c r="T82" s="239"/>
      <c r="U82" s="239"/>
      <c r="V82" s="239"/>
      <c r="W82" s="240"/>
      <c r="X82" s="238" t="s">
        <v>92</v>
      </c>
      <c r="Y82" s="239"/>
      <c r="Z82" s="239"/>
      <c r="AA82" s="239"/>
      <c r="AB82" s="239"/>
      <c r="AC82" s="239"/>
      <c r="AD82" s="239"/>
      <c r="AE82" s="240"/>
      <c r="AF82" s="246" t="s">
        <v>93</v>
      </c>
      <c r="AG82" s="247"/>
      <c r="AH82" s="247"/>
      <c r="AI82" s="248"/>
      <c r="AJ82" s="265">
        <v>1.07</v>
      </c>
      <c r="AK82" s="244"/>
      <c r="AL82" s="244"/>
      <c r="AM82" s="245"/>
      <c r="AN82" s="238">
        <v>380</v>
      </c>
      <c r="AO82" s="239"/>
      <c r="AP82" s="240"/>
      <c r="AQ82" s="238" t="s">
        <v>247</v>
      </c>
      <c r="AR82" s="239"/>
      <c r="AS82" s="239"/>
      <c r="AT82" s="239"/>
      <c r="AU82" s="239"/>
      <c r="AV82" s="239"/>
      <c r="AW82" s="240"/>
      <c r="AX82" s="238" t="s">
        <v>246</v>
      </c>
      <c r="AY82" s="239"/>
      <c r="AZ82" s="239"/>
      <c r="BA82" s="239"/>
      <c r="BB82" s="239"/>
      <c r="BC82" s="239"/>
      <c r="BD82" s="240"/>
      <c r="BE82" s="762"/>
      <c r="BF82" s="763"/>
      <c r="BG82" s="763"/>
      <c r="BH82" s="763"/>
      <c r="BI82" s="764"/>
    </row>
    <row r="83" spans="1:61" ht="16.5" customHeight="1">
      <c r="A83" s="146" t="s">
        <v>240</v>
      </c>
      <c r="B83" s="135"/>
      <c r="C83" s="135"/>
      <c r="D83" s="135"/>
      <c r="E83" s="135"/>
      <c r="F83" s="135"/>
      <c r="G83" s="756"/>
      <c r="H83" s="757"/>
      <c r="I83" s="757"/>
      <c r="J83" s="757"/>
      <c r="K83" s="757"/>
      <c r="L83" s="758"/>
      <c r="M83" s="715" t="s">
        <v>249</v>
      </c>
      <c r="N83" s="223"/>
      <c r="O83" s="223"/>
      <c r="P83" s="223"/>
      <c r="Q83" s="223"/>
      <c r="R83" s="223"/>
      <c r="S83" s="223"/>
      <c r="T83" s="223"/>
      <c r="U83" s="223"/>
      <c r="V83" s="223"/>
      <c r="W83" s="223"/>
      <c r="X83" s="223"/>
      <c r="Y83" s="223"/>
      <c r="Z83" s="223"/>
      <c r="AA83" s="223"/>
      <c r="AB83" s="223"/>
      <c r="AC83" s="223"/>
      <c r="AD83" s="223"/>
      <c r="AE83" s="223"/>
      <c r="AF83" s="223"/>
      <c r="AG83" s="223"/>
      <c r="AH83" s="223"/>
      <c r="AI83" s="223"/>
      <c r="AJ83" s="223"/>
      <c r="AK83" s="223"/>
      <c r="AL83" s="223"/>
      <c r="AM83" s="223"/>
      <c r="AN83" s="223"/>
      <c r="AO83" s="223"/>
      <c r="AP83" s="223"/>
      <c r="AQ83" s="223"/>
      <c r="AR83" s="223"/>
      <c r="AS83" s="223"/>
      <c r="AT83" s="223"/>
      <c r="AU83" s="223"/>
      <c r="AV83" s="223"/>
      <c r="AW83" s="223"/>
      <c r="AX83" s="223"/>
      <c r="AY83" s="223"/>
      <c r="AZ83" s="223"/>
      <c r="BA83" s="223"/>
      <c r="BB83" s="223"/>
      <c r="BC83" s="223"/>
      <c r="BD83" s="223"/>
      <c r="BE83" s="223"/>
      <c r="BF83" s="223"/>
      <c r="BG83" s="223"/>
      <c r="BH83" s="223"/>
      <c r="BI83" s="224"/>
    </row>
    <row r="84" spans="1:61" ht="16.5" customHeight="1">
      <c r="A84" s="135" t="s">
        <v>293</v>
      </c>
      <c r="B84" s="135"/>
      <c r="C84" s="135"/>
      <c r="D84" s="135"/>
      <c r="E84" s="135"/>
      <c r="F84" s="135"/>
      <c r="G84" s="714" t="s">
        <v>293</v>
      </c>
      <c r="H84" s="714"/>
      <c r="I84" s="714"/>
      <c r="J84" s="714"/>
      <c r="K84" s="714"/>
      <c r="L84" s="714"/>
      <c r="M84" s="246">
        <v>380</v>
      </c>
      <c r="N84" s="247"/>
      <c r="O84" s="248"/>
      <c r="P84" s="246" t="s">
        <v>42</v>
      </c>
      <c r="Q84" s="247"/>
      <c r="R84" s="247"/>
      <c r="S84" s="247"/>
      <c r="T84" s="247"/>
      <c r="U84" s="247"/>
      <c r="V84" s="247"/>
      <c r="W84" s="248"/>
      <c r="X84" s="246" t="s">
        <v>92</v>
      </c>
      <c r="Y84" s="247"/>
      <c r="Z84" s="247"/>
      <c r="AA84" s="247"/>
      <c r="AB84" s="247"/>
      <c r="AC84" s="247"/>
      <c r="AD84" s="247"/>
      <c r="AE84" s="248"/>
      <c r="AF84" s="246" t="s">
        <v>93</v>
      </c>
      <c r="AG84" s="247"/>
      <c r="AH84" s="247"/>
      <c r="AI84" s="248"/>
      <c r="AJ84" s="252">
        <v>1.02</v>
      </c>
      <c r="AK84" s="253"/>
      <c r="AL84" s="253"/>
      <c r="AM84" s="254"/>
      <c r="AN84" s="246">
        <v>380</v>
      </c>
      <c r="AO84" s="247"/>
      <c r="AP84" s="248"/>
      <c r="AQ84" s="238" t="s">
        <v>246</v>
      </c>
      <c r="AR84" s="239"/>
      <c r="AS84" s="239"/>
      <c r="AT84" s="239"/>
      <c r="AU84" s="239"/>
      <c r="AV84" s="239"/>
      <c r="AW84" s="240"/>
      <c r="AX84" s="238" t="s">
        <v>248</v>
      </c>
      <c r="AY84" s="239"/>
      <c r="AZ84" s="239"/>
      <c r="BA84" s="239"/>
      <c r="BB84" s="239"/>
      <c r="BC84" s="239"/>
      <c r="BD84" s="240"/>
      <c r="BE84" s="246"/>
      <c r="BF84" s="247"/>
      <c r="BG84" s="247"/>
      <c r="BH84" s="247"/>
      <c r="BI84" s="248"/>
    </row>
    <row r="85" spans="1:61" ht="16.5" customHeight="1">
      <c r="A85" s="146" t="s">
        <v>293</v>
      </c>
      <c r="B85" s="135"/>
      <c r="C85" s="135"/>
      <c r="D85" s="135"/>
      <c r="E85" s="135"/>
      <c r="F85" s="135"/>
      <c r="G85" s="714"/>
      <c r="H85" s="714"/>
      <c r="I85" s="714"/>
      <c r="J85" s="714"/>
      <c r="K85" s="714"/>
      <c r="L85" s="714"/>
      <c r="M85" s="713" t="s">
        <v>313</v>
      </c>
      <c r="N85" s="255"/>
      <c r="O85" s="255"/>
      <c r="P85" s="255"/>
      <c r="Q85" s="255"/>
      <c r="R85" s="255"/>
      <c r="S85" s="255"/>
      <c r="T85" s="255"/>
      <c r="U85" s="255"/>
      <c r="V85" s="255"/>
      <c r="W85" s="255"/>
      <c r="X85" s="255"/>
      <c r="Y85" s="255"/>
      <c r="Z85" s="255"/>
      <c r="AA85" s="255"/>
      <c r="AB85" s="255"/>
      <c r="AC85" s="255"/>
      <c r="AD85" s="255"/>
      <c r="AE85" s="255"/>
      <c r="AF85" s="255"/>
      <c r="AG85" s="255"/>
      <c r="AH85" s="255"/>
      <c r="AI85" s="255"/>
      <c r="AJ85" s="255"/>
      <c r="AK85" s="255"/>
      <c r="AL85" s="255"/>
      <c r="AM85" s="255"/>
      <c r="AN85" s="255"/>
      <c r="AO85" s="255"/>
      <c r="AP85" s="255"/>
      <c r="AQ85" s="255"/>
      <c r="AR85" s="255"/>
      <c r="AS85" s="255"/>
      <c r="AT85" s="255"/>
      <c r="AU85" s="255"/>
      <c r="AV85" s="255"/>
      <c r="AW85" s="255"/>
      <c r="AX85" s="255"/>
      <c r="AY85" s="255"/>
      <c r="AZ85" s="255"/>
      <c r="BA85" s="255"/>
      <c r="BB85" s="255"/>
      <c r="BC85" s="255"/>
      <c r="BD85" s="255"/>
      <c r="BE85" s="255"/>
      <c r="BF85" s="255"/>
      <c r="BG85" s="255"/>
      <c r="BH85" s="255"/>
      <c r="BI85" s="256"/>
    </row>
    <row r="86" spans="1:61" ht="16.5" customHeight="1">
      <c r="A86" s="136" t="s">
        <v>38</v>
      </c>
      <c r="B86" s="136"/>
      <c r="C86" s="136"/>
      <c r="D86" s="136"/>
      <c r="E86" s="136"/>
      <c r="F86" s="136"/>
      <c r="G86" s="251" t="s">
        <v>38</v>
      </c>
      <c r="H86" s="251"/>
      <c r="I86" s="251"/>
      <c r="J86" s="251"/>
      <c r="K86" s="251"/>
      <c r="L86" s="251"/>
      <c r="M86" s="249">
        <v>380</v>
      </c>
      <c r="N86" s="249"/>
      <c r="O86" s="249"/>
      <c r="P86" s="249" t="s">
        <v>215</v>
      </c>
      <c r="Q86" s="249"/>
      <c r="R86" s="249"/>
      <c r="S86" s="249"/>
      <c r="T86" s="249"/>
      <c r="U86" s="249"/>
      <c r="V86" s="249"/>
      <c r="W86" s="249"/>
      <c r="X86" s="249" t="s">
        <v>216</v>
      </c>
      <c r="Y86" s="249"/>
      <c r="Z86" s="249"/>
      <c r="AA86" s="249"/>
      <c r="AB86" s="249"/>
      <c r="AC86" s="249"/>
      <c r="AD86" s="249"/>
      <c r="AE86" s="249"/>
      <c r="AF86" s="246" t="s">
        <v>217</v>
      </c>
      <c r="AG86" s="247"/>
      <c r="AH86" s="247"/>
      <c r="AI86" s="248"/>
      <c r="AJ86" s="252">
        <v>1.05</v>
      </c>
      <c r="AK86" s="253"/>
      <c r="AL86" s="253"/>
      <c r="AM86" s="254"/>
      <c r="AN86" s="246">
        <v>380</v>
      </c>
      <c r="AO86" s="247"/>
      <c r="AP86" s="248"/>
      <c r="AQ86" s="246" t="s">
        <v>218</v>
      </c>
      <c r="AR86" s="247"/>
      <c r="AS86" s="247"/>
      <c r="AT86" s="247"/>
      <c r="AU86" s="247"/>
      <c r="AV86" s="247"/>
      <c r="AW86" s="248"/>
      <c r="AX86" s="238" t="s">
        <v>215</v>
      </c>
      <c r="AY86" s="239"/>
      <c r="AZ86" s="239"/>
      <c r="BA86" s="239"/>
      <c r="BB86" s="239"/>
      <c r="BC86" s="239"/>
      <c r="BD86" s="240"/>
      <c r="BE86" s="246">
        <v>2</v>
      </c>
      <c r="BF86" s="247"/>
      <c r="BG86" s="247"/>
      <c r="BH86" s="247"/>
      <c r="BI86" s="248"/>
    </row>
    <row r="87" spans="1:61" ht="16.5" customHeight="1">
      <c r="A87" s="144" t="s">
        <v>38</v>
      </c>
      <c r="B87" s="136"/>
      <c r="C87" s="136"/>
      <c r="D87" s="136"/>
      <c r="E87" s="136"/>
      <c r="F87" s="136"/>
      <c r="G87" s="251"/>
      <c r="H87" s="251"/>
      <c r="I87" s="251"/>
      <c r="J87" s="251"/>
      <c r="K87" s="251"/>
      <c r="L87" s="251"/>
      <c r="M87" s="222" t="s">
        <v>314</v>
      </c>
      <c r="N87" s="255"/>
      <c r="O87" s="255"/>
      <c r="P87" s="255"/>
      <c r="Q87" s="255"/>
      <c r="R87" s="255"/>
      <c r="S87" s="255"/>
      <c r="T87" s="255"/>
      <c r="U87" s="255"/>
      <c r="V87" s="255"/>
      <c r="W87" s="255"/>
      <c r="X87" s="255"/>
      <c r="Y87" s="255"/>
      <c r="Z87" s="255"/>
      <c r="AA87" s="255"/>
      <c r="AB87" s="255"/>
      <c r="AC87" s="255"/>
      <c r="AD87" s="255"/>
      <c r="AE87" s="255"/>
      <c r="AF87" s="255"/>
      <c r="AG87" s="255"/>
      <c r="AH87" s="255"/>
      <c r="AI87" s="255"/>
      <c r="AJ87" s="255"/>
      <c r="AK87" s="255"/>
      <c r="AL87" s="255"/>
      <c r="AM87" s="255"/>
      <c r="AN87" s="255"/>
      <c r="AO87" s="255"/>
      <c r="AP87" s="255"/>
      <c r="AQ87" s="255"/>
      <c r="AR87" s="255"/>
      <c r="AS87" s="255"/>
      <c r="AT87" s="255"/>
      <c r="AU87" s="255"/>
      <c r="AV87" s="255"/>
      <c r="AW87" s="255"/>
      <c r="AX87" s="255"/>
      <c r="AY87" s="255"/>
      <c r="AZ87" s="255"/>
      <c r="BA87" s="255"/>
      <c r="BB87" s="255"/>
      <c r="BC87" s="255"/>
      <c r="BD87" s="255"/>
      <c r="BE87" s="255"/>
      <c r="BF87" s="255"/>
      <c r="BG87" s="255"/>
      <c r="BH87" s="255"/>
      <c r="BI87" s="256"/>
    </row>
    <row r="88" spans="1:61">
      <c r="A88" s="136" t="s">
        <v>38</v>
      </c>
      <c r="B88" s="135"/>
      <c r="C88" s="135"/>
      <c r="D88" s="135"/>
      <c r="E88" s="135"/>
      <c r="F88" s="135"/>
      <c r="G88" s="714" t="s">
        <v>38</v>
      </c>
      <c r="H88" s="751"/>
      <c r="I88" s="751"/>
      <c r="J88" s="751"/>
      <c r="K88" s="751"/>
      <c r="L88" s="752"/>
      <c r="M88" s="246">
        <v>380</v>
      </c>
      <c r="N88" s="247"/>
      <c r="O88" s="247"/>
      <c r="P88" s="246" t="s">
        <v>218</v>
      </c>
      <c r="Q88" s="247"/>
      <c r="R88" s="247"/>
      <c r="S88" s="247"/>
      <c r="T88" s="247"/>
      <c r="U88" s="247"/>
      <c r="V88" s="247"/>
      <c r="W88" s="247"/>
      <c r="X88" s="249" t="s">
        <v>219</v>
      </c>
      <c r="Y88" s="249"/>
      <c r="Z88" s="249"/>
      <c r="AA88" s="249"/>
      <c r="AB88" s="249"/>
      <c r="AC88" s="249"/>
      <c r="AD88" s="249"/>
      <c r="AE88" s="249"/>
      <c r="AF88" s="247" t="s">
        <v>93</v>
      </c>
      <c r="AG88" s="247"/>
      <c r="AH88" s="247"/>
      <c r="AI88" s="248"/>
      <c r="AJ88" s="265">
        <v>1.18</v>
      </c>
      <c r="AK88" s="244"/>
      <c r="AL88" s="244"/>
      <c r="AM88" s="245"/>
      <c r="AN88" s="238">
        <v>380</v>
      </c>
      <c r="AO88" s="239"/>
      <c r="AP88" s="240"/>
      <c r="AQ88" s="238" t="s">
        <v>220</v>
      </c>
      <c r="AR88" s="239"/>
      <c r="AS88" s="239"/>
      <c r="AT88" s="239"/>
      <c r="AU88" s="239"/>
      <c r="AV88" s="239"/>
      <c r="AW88" s="240"/>
      <c r="AX88" s="238" t="s">
        <v>221</v>
      </c>
      <c r="AY88" s="239"/>
      <c r="AZ88" s="239"/>
      <c r="BA88" s="239"/>
      <c r="BB88" s="239"/>
      <c r="BC88" s="239"/>
      <c r="BD88" s="240"/>
      <c r="BE88" s="238"/>
      <c r="BF88" s="239"/>
      <c r="BG88" s="239"/>
      <c r="BH88" s="239"/>
      <c r="BI88" s="240"/>
    </row>
    <row r="89" spans="1:61">
      <c r="A89" s="144" t="s">
        <v>38</v>
      </c>
      <c r="B89" s="135"/>
      <c r="C89" s="135"/>
      <c r="D89" s="135"/>
      <c r="E89" s="135"/>
      <c r="F89" s="135"/>
      <c r="G89" s="753"/>
      <c r="H89" s="754"/>
      <c r="I89" s="754"/>
      <c r="J89" s="754"/>
      <c r="K89" s="754"/>
      <c r="L89" s="755"/>
      <c r="M89" s="219"/>
      <c r="N89" s="220"/>
      <c r="O89" s="220"/>
      <c r="P89" s="234"/>
      <c r="Q89" s="235"/>
      <c r="R89" s="235"/>
      <c r="S89" s="235"/>
      <c r="T89" s="235"/>
      <c r="U89" s="235"/>
      <c r="V89" s="235"/>
      <c r="W89" s="235"/>
      <c r="X89" s="249"/>
      <c r="Y89" s="249"/>
      <c r="Z89" s="249"/>
      <c r="AA89" s="249"/>
      <c r="AB89" s="249"/>
      <c r="AC89" s="249"/>
      <c r="AD89" s="249"/>
      <c r="AE89" s="249"/>
      <c r="AF89" s="220"/>
      <c r="AG89" s="220"/>
      <c r="AH89" s="220"/>
      <c r="AI89" s="221"/>
      <c r="AJ89" s="265">
        <v>1.02</v>
      </c>
      <c r="AK89" s="244"/>
      <c r="AL89" s="244"/>
      <c r="AM89" s="245"/>
      <c r="AN89" s="238">
        <v>220</v>
      </c>
      <c r="AO89" s="239"/>
      <c r="AP89" s="240"/>
      <c r="AQ89" s="238" t="s">
        <v>218</v>
      </c>
      <c r="AR89" s="239"/>
      <c r="AS89" s="239"/>
      <c r="AT89" s="239"/>
      <c r="AU89" s="239"/>
      <c r="AV89" s="239"/>
      <c r="AW89" s="240"/>
      <c r="AX89" s="238" t="s">
        <v>221</v>
      </c>
      <c r="AY89" s="239"/>
      <c r="AZ89" s="239"/>
      <c r="BA89" s="239"/>
      <c r="BB89" s="239"/>
      <c r="BC89" s="239"/>
      <c r="BD89" s="240"/>
      <c r="BE89" s="238"/>
      <c r="BF89" s="239"/>
      <c r="BG89" s="239"/>
      <c r="BH89" s="239"/>
      <c r="BI89" s="240"/>
    </row>
    <row r="90" spans="1:61" ht="43.5" customHeight="1">
      <c r="A90" s="144" t="s">
        <v>38</v>
      </c>
      <c r="B90" s="135"/>
      <c r="C90" s="135"/>
      <c r="D90" s="135"/>
      <c r="E90" s="135"/>
      <c r="F90" s="135"/>
      <c r="G90" s="756"/>
      <c r="H90" s="757"/>
      <c r="I90" s="757"/>
      <c r="J90" s="757"/>
      <c r="K90" s="757"/>
      <c r="L90" s="758"/>
      <c r="M90" s="715" t="s">
        <v>315</v>
      </c>
      <c r="N90" s="223"/>
      <c r="O90" s="223"/>
      <c r="P90" s="223"/>
      <c r="Q90" s="223"/>
      <c r="R90" s="223"/>
      <c r="S90" s="223"/>
      <c r="T90" s="223"/>
      <c r="U90" s="223"/>
      <c r="V90" s="223"/>
      <c r="W90" s="223"/>
      <c r="X90" s="223"/>
      <c r="Y90" s="223"/>
      <c r="Z90" s="223"/>
      <c r="AA90" s="223"/>
      <c r="AB90" s="223"/>
      <c r="AC90" s="223"/>
      <c r="AD90" s="223"/>
      <c r="AE90" s="223"/>
      <c r="AF90" s="223"/>
      <c r="AG90" s="223"/>
      <c r="AH90" s="223"/>
      <c r="AI90" s="223"/>
      <c r="AJ90" s="223"/>
      <c r="AK90" s="223"/>
      <c r="AL90" s="223"/>
      <c r="AM90" s="223"/>
      <c r="AN90" s="223"/>
      <c r="AO90" s="223"/>
      <c r="AP90" s="223"/>
      <c r="AQ90" s="223"/>
      <c r="AR90" s="223"/>
      <c r="AS90" s="223"/>
      <c r="AT90" s="223"/>
      <c r="AU90" s="223"/>
      <c r="AV90" s="223"/>
      <c r="AW90" s="223"/>
      <c r="AX90" s="223"/>
      <c r="AY90" s="223"/>
      <c r="AZ90" s="223"/>
      <c r="BA90" s="223"/>
      <c r="BB90" s="223"/>
      <c r="BC90" s="223"/>
      <c r="BD90" s="223"/>
      <c r="BE90" s="223"/>
      <c r="BF90" s="223"/>
      <c r="BG90" s="223"/>
      <c r="BH90" s="223"/>
      <c r="BI90" s="224"/>
    </row>
    <row r="91" spans="1:61" ht="27" customHeight="1">
      <c r="A91" s="136" t="s">
        <v>38</v>
      </c>
      <c r="B91" s="136"/>
      <c r="C91" s="136"/>
      <c r="D91" s="136"/>
      <c r="E91" s="136"/>
      <c r="F91" s="136"/>
      <c r="G91" s="251" t="s">
        <v>38</v>
      </c>
      <c r="H91" s="251"/>
      <c r="I91" s="251"/>
      <c r="J91" s="251"/>
      <c r="K91" s="251"/>
      <c r="L91" s="251"/>
      <c r="M91" s="249">
        <v>380</v>
      </c>
      <c r="N91" s="249"/>
      <c r="O91" s="249"/>
      <c r="P91" s="249" t="s">
        <v>218</v>
      </c>
      <c r="Q91" s="249"/>
      <c r="R91" s="249"/>
      <c r="S91" s="249"/>
      <c r="T91" s="249"/>
      <c r="U91" s="249"/>
      <c r="V91" s="249"/>
      <c r="W91" s="249"/>
      <c r="X91" s="249" t="s">
        <v>215</v>
      </c>
      <c r="Y91" s="249"/>
      <c r="Z91" s="249"/>
      <c r="AA91" s="249"/>
      <c r="AB91" s="249"/>
      <c r="AC91" s="249"/>
      <c r="AD91" s="249"/>
      <c r="AE91" s="249"/>
      <c r="AF91" s="246" t="s">
        <v>227</v>
      </c>
      <c r="AG91" s="247"/>
      <c r="AH91" s="247"/>
      <c r="AI91" s="248"/>
      <c r="AJ91" s="252" t="s">
        <v>232</v>
      </c>
      <c r="AK91" s="253"/>
      <c r="AL91" s="253"/>
      <c r="AM91" s="254"/>
      <c r="AN91" s="246">
        <v>380</v>
      </c>
      <c r="AO91" s="247"/>
      <c r="AP91" s="248"/>
      <c r="AQ91" s="246" t="s">
        <v>218</v>
      </c>
      <c r="AR91" s="247"/>
      <c r="AS91" s="247"/>
      <c r="AT91" s="247"/>
      <c r="AU91" s="247"/>
      <c r="AV91" s="247"/>
      <c r="AW91" s="248"/>
      <c r="AX91" s="238" t="s">
        <v>215</v>
      </c>
      <c r="AY91" s="239"/>
      <c r="AZ91" s="239"/>
      <c r="BA91" s="239"/>
      <c r="BB91" s="239"/>
      <c r="BC91" s="239"/>
      <c r="BD91" s="240"/>
      <c r="BE91" s="246" t="s">
        <v>228</v>
      </c>
      <c r="BF91" s="247"/>
      <c r="BG91" s="247"/>
      <c r="BH91" s="247"/>
      <c r="BI91" s="248"/>
    </row>
    <row r="92" spans="1:61" ht="62.25" customHeight="1">
      <c r="A92" s="144" t="s">
        <v>38</v>
      </c>
      <c r="B92" s="136"/>
      <c r="C92" s="136"/>
      <c r="D92" s="136"/>
      <c r="E92" s="136"/>
      <c r="F92" s="136"/>
      <c r="G92" s="251"/>
      <c r="H92" s="251"/>
      <c r="I92" s="251"/>
      <c r="J92" s="251"/>
      <c r="K92" s="251"/>
      <c r="L92" s="251"/>
      <c r="M92" s="222" t="s">
        <v>235</v>
      </c>
      <c r="N92" s="255"/>
      <c r="O92" s="255"/>
      <c r="P92" s="255"/>
      <c r="Q92" s="255"/>
      <c r="R92" s="255"/>
      <c r="S92" s="255"/>
      <c r="T92" s="255"/>
      <c r="U92" s="255"/>
      <c r="V92" s="255"/>
      <c r="W92" s="255"/>
      <c r="X92" s="255"/>
      <c r="Y92" s="255"/>
      <c r="Z92" s="255"/>
      <c r="AA92" s="255"/>
      <c r="AB92" s="255"/>
      <c r="AC92" s="255"/>
      <c r="AD92" s="255"/>
      <c r="AE92" s="255"/>
      <c r="AF92" s="255"/>
      <c r="AG92" s="255"/>
      <c r="AH92" s="255"/>
      <c r="AI92" s="255"/>
      <c r="AJ92" s="255"/>
      <c r="AK92" s="255"/>
      <c r="AL92" s="255"/>
      <c r="AM92" s="255"/>
      <c r="AN92" s="255"/>
      <c r="AO92" s="255"/>
      <c r="AP92" s="255"/>
      <c r="AQ92" s="255"/>
      <c r="AR92" s="255"/>
      <c r="AS92" s="255"/>
      <c r="AT92" s="255"/>
      <c r="AU92" s="255"/>
      <c r="AV92" s="255"/>
      <c r="AW92" s="255"/>
      <c r="AX92" s="255"/>
      <c r="AY92" s="255"/>
      <c r="AZ92" s="255"/>
      <c r="BA92" s="255"/>
      <c r="BB92" s="255"/>
      <c r="BC92" s="255"/>
      <c r="BD92" s="255"/>
      <c r="BE92" s="255"/>
      <c r="BF92" s="255"/>
      <c r="BG92" s="255"/>
      <c r="BH92" s="255"/>
      <c r="BI92" s="256"/>
    </row>
    <row r="93" spans="1:61">
      <c r="A93" s="136" t="s">
        <v>38</v>
      </c>
      <c r="B93" s="136"/>
      <c r="C93" s="136"/>
      <c r="D93" s="136"/>
      <c r="E93" s="136"/>
      <c r="F93" s="136"/>
      <c r="G93" s="251" t="s">
        <v>38</v>
      </c>
      <c r="H93" s="251"/>
      <c r="I93" s="251"/>
      <c r="J93" s="251"/>
      <c r="K93" s="251"/>
      <c r="L93" s="251"/>
      <c r="M93" s="249">
        <v>380</v>
      </c>
      <c r="N93" s="249"/>
      <c r="O93" s="249"/>
      <c r="P93" s="249" t="s">
        <v>218</v>
      </c>
      <c r="Q93" s="249"/>
      <c r="R93" s="249"/>
      <c r="S93" s="249"/>
      <c r="T93" s="249"/>
      <c r="U93" s="249"/>
      <c r="V93" s="249"/>
      <c r="W93" s="249"/>
      <c r="X93" s="249" t="s">
        <v>220</v>
      </c>
      <c r="Y93" s="249"/>
      <c r="Z93" s="249"/>
      <c r="AA93" s="249"/>
      <c r="AB93" s="249"/>
      <c r="AC93" s="249"/>
      <c r="AD93" s="249"/>
      <c r="AE93" s="249"/>
      <c r="AF93" s="246" t="s">
        <v>227</v>
      </c>
      <c r="AG93" s="247"/>
      <c r="AH93" s="247"/>
      <c r="AI93" s="248"/>
      <c r="AJ93" s="252" t="s">
        <v>236</v>
      </c>
      <c r="AK93" s="253"/>
      <c r="AL93" s="253"/>
      <c r="AM93" s="254"/>
      <c r="AN93" s="246">
        <v>380</v>
      </c>
      <c r="AO93" s="247"/>
      <c r="AP93" s="248"/>
      <c r="AQ93" s="246" t="s">
        <v>218</v>
      </c>
      <c r="AR93" s="247"/>
      <c r="AS93" s="247"/>
      <c r="AT93" s="247"/>
      <c r="AU93" s="247"/>
      <c r="AV93" s="247"/>
      <c r="AW93" s="248"/>
      <c r="AX93" s="238" t="s">
        <v>220</v>
      </c>
      <c r="AY93" s="239"/>
      <c r="AZ93" s="239"/>
      <c r="BA93" s="239"/>
      <c r="BB93" s="239"/>
      <c r="BC93" s="239"/>
      <c r="BD93" s="240"/>
      <c r="BE93" s="246" t="s">
        <v>228</v>
      </c>
      <c r="BF93" s="247"/>
      <c r="BG93" s="247"/>
      <c r="BH93" s="247"/>
      <c r="BI93" s="248"/>
    </row>
    <row r="94" spans="1:61" ht="29.25" customHeight="1">
      <c r="A94" s="144" t="s">
        <v>38</v>
      </c>
      <c r="B94" s="136"/>
      <c r="C94" s="136"/>
      <c r="D94" s="136"/>
      <c r="E94" s="136"/>
      <c r="F94" s="136"/>
      <c r="G94" s="251"/>
      <c r="H94" s="251"/>
      <c r="I94" s="251"/>
      <c r="J94" s="251"/>
      <c r="K94" s="251"/>
      <c r="L94" s="251"/>
      <c r="M94" s="222" t="s">
        <v>316</v>
      </c>
      <c r="N94" s="255"/>
      <c r="O94" s="255"/>
      <c r="P94" s="255"/>
      <c r="Q94" s="255"/>
      <c r="R94" s="255"/>
      <c r="S94" s="255"/>
      <c r="T94" s="255"/>
      <c r="U94" s="255"/>
      <c r="V94" s="255"/>
      <c r="W94" s="255"/>
      <c r="X94" s="255"/>
      <c r="Y94" s="255"/>
      <c r="Z94" s="255"/>
      <c r="AA94" s="255"/>
      <c r="AB94" s="255"/>
      <c r="AC94" s="255"/>
      <c r="AD94" s="255"/>
      <c r="AE94" s="255"/>
      <c r="AF94" s="255"/>
      <c r="AG94" s="255"/>
      <c r="AH94" s="255"/>
      <c r="AI94" s="255"/>
      <c r="AJ94" s="255"/>
      <c r="AK94" s="255"/>
      <c r="AL94" s="255"/>
      <c r="AM94" s="255"/>
      <c r="AN94" s="255"/>
      <c r="AO94" s="255"/>
      <c r="AP94" s="255"/>
      <c r="AQ94" s="255"/>
      <c r="AR94" s="255"/>
      <c r="AS94" s="255"/>
      <c r="AT94" s="255"/>
      <c r="AU94" s="255"/>
      <c r="AV94" s="255"/>
      <c r="AW94" s="255"/>
      <c r="AX94" s="255"/>
      <c r="AY94" s="255"/>
      <c r="AZ94" s="255"/>
      <c r="BA94" s="255"/>
      <c r="BB94" s="255"/>
      <c r="BC94" s="255"/>
      <c r="BD94" s="255"/>
      <c r="BE94" s="255"/>
      <c r="BF94" s="255"/>
      <c r="BG94" s="255"/>
      <c r="BH94" s="255"/>
      <c r="BI94" s="256"/>
    </row>
    <row r="95" spans="1:61">
      <c r="A95" s="135" t="s">
        <v>38</v>
      </c>
      <c r="B95" s="135"/>
      <c r="C95" s="135"/>
      <c r="D95" s="135"/>
      <c r="E95" s="135"/>
      <c r="F95" s="135"/>
      <c r="G95" s="714" t="s">
        <v>38</v>
      </c>
      <c r="H95" s="714"/>
      <c r="I95" s="714"/>
      <c r="J95" s="714"/>
      <c r="K95" s="714"/>
      <c r="L95" s="714"/>
      <c r="M95" s="246">
        <v>380</v>
      </c>
      <c r="N95" s="247"/>
      <c r="O95" s="248"/>
      <c r="P95" s="246" t="s">
        <v>41</v>
      </c>
      <c r="Q95" s="247"/>
      <c r="R95" s="247"/>
      <c r="S95" s="247"/>
      <c r="T95" s="247"/>
      <c r="U95" s="247"/>
      <c r="V95" s="247"/>
      <c r="W95" s="248"/>
      <c r="X95" s="246" t="s">
        <v>216</v>
      </c>
      <c r="Y95" s="247"/>
      <c r="Z95" s="247"/>
      <c r="AA95" s="247"/>
      <c r="AB95" s="247"/>
      <c r="AC95" s="247"/>
      <c r="AD95" s="247"/>
      <c r="AE95" s="248"/>
      <c r="AF95" s="246">
        <v>2</v>
      </c>
      <c r="AG95" s="247"/>
      <c r="AH95" s="247"/>
      <c r="AI95" s="248"/>
      <c r="AJ95" s="265" t="s">
        <v>266</v>
      </c>
      <c r="AK95" s="244"/>
      <c r="AL95" s="244"/>
      <c r="AM95" s="245"/>
      <c r="AN95" s="238">
        <v>220</v>
      </c>
      <c r="AO95" s="239"/>
      <c r="AP95" s="240"/>
      <c r="AQ95" s="238" t="s">
        <v>41</v>
      </c>
      <c r="AR95" s="239"/>
      <c r="AS95" s="239"/>
      <c r="AT95" s="239"/>
      <c r="AU95" s="239"/>
      <c r="AV95" s="239"/>
      <c r="AW95" s="240"/>
      <c r="AX95" s="238" t="s">
        <v>267</v>
      </c>
      <c r="AY95" s="239"/>
      <c r="AZ95" s="239"/>
      <c r="BA95" s="239"/>
      <c r="BB95" s="239"/>
      <c r="BC95" s="239"/>
      <c r="BD95" s="240"/>
      <c r="BE95" s="246"/>
      <c r="BF95" s="247"/>
      <c r="BG95" s="247"/>
      <c r="BH95" s="247"/>
      <c r="BI95" s="248"/>
    </row>
    <row r="96" spans="1:61" ht="24.75" customHeight="1">
      <c r="A96" s="146" t="s">
        <v>38</v>
      </c>
      <c r="B96" s="135"/>
      <c r="C96" s="135"/>
      <c r="D96" s="135"/>
      <c r="E96" s="135"/>
      <c r="F96" s="135"/>
      <c r="G96" s="714"/>
      <c r="H96" s="714"/>
      <c r="I96" s="714"/>
      <c r="J96" s="714"/>
      <c r="K96" s="714"/>
      <c r="L96" s="714"/>
      <c r="M96" s="715" t="s">
        <v>317</v>
      </c>
      <c r="N96" s="223"/>
      <c r="O96" s="223"/>
      <c r="P96" s="223"/>
      <c r="Q96" s="223"/>
      <c r="R96" s="223"/>
      <c r="S96" s="223"/>
      <c r="T96" s="223"/>
      <c r="U96" s="223"/>
      <c r="V96" s="223"/>
      <c r="W96" s="223"/>
      <c r="X96" s="223"/>
      <c r="Y96" s="223"/>
      <c r="Z96" s="223"/>
      <c r="AA96" s="223"/>
      <c r="AB96" s="223"/>
      <c r="AC96" s="223"/>
      <c r="AD96" s="223"/>
      <c r="AE96" s="223"/>
      <c r="AF96" s="223"/>
      <c r="AG96" s="223"/>
      <c r="AH96" s="223"/>
      <c r="AI96" s="223"/>
      <c r="AJ96" s="223"/>
      <c r="AK96" s="223"/>
      <c r="AL96" s="223"/>
      <c r="AM96" s="223"/>
      <c r="AN96" s="223"/>
      <c r="AO96" s="223"/>
      <c r="AP96" s="223"/>
      <c r="AQ96" s="223"/>
      <c r="AR96" s="223"/>
      <c r="AS96" s="223"/>
      <c r="AT96" s="223"/>
      <c r="AU96" s="223"/>
      <c r="AV96" s="223"/>
      <c r="AW96" s="223"/>
      <c r="AX96" s="223"/>
      <c r="AY96" s="223"/>
      <c r="AZ96" s="223"/>
      <c r="BA96" s="223"/>
      <c r="BB96" s="223"/>
      <c r="BC96" s="223"/>
      <c r="BD96" s="223"/>
      <c r="BE96" s="223"/>
      <c r="BF96" s="223"/>
      <c r="BG96" s="223"/>
      <c r="BH96" s="223"/>
      <c r="BI96" s="224"/>
    </row>
    <row r="97" spans="1:61">
      <c r="A97" s="135" t="s">
        <v>206</v>
      </c>
      <c r="B97" s="135"/>
      <c r="C97" s="135"/>
      <c r="D97" s="135"/>
      <c r="E97" s="135"/>
      <c r="F97" s="135"/>
      <c r="G97" s="714" t="s">
        <v>206</v>
      </c>
      <c r="H97" s="714"/>
      <c r="I97" s="714"/>
      <c r="J97" s="714"/>
      <c r="K97" s="714"/>
      <c r="L97" s="714"/>
      <c r="M97" s="246">
        <v>380</v>
      </c>
      <c r="N97" s="247"/>
      <c r="O97" s="248"/>
      <c r="P97" s="246" t="s">
        <v>144</v>
      </c>
      <c r="Q97" s="247"/>
      <c r="R97" s="247"/>
      <c r="S97" s="247"/>
      <c r="T97" s="247"/>
      <c r="U97" s="247"/>
      <c r="V97" s="247"/>
      <c r="W97" s="248"/>
      <c r="X97" s="246" t="s">
        <v>207</v>
      </c>
      <c r="Y97" s="247"/>
      <c r="Z97" s="247"/>
      <c r="AA97" s="247"/>
      <c r="AB97" s="247"/>
      <c r="AC97" s="247"/>
      <c r="AD97" s="247"/>
      <c r="AE97" s="248"/>
      <c r="AF97" s="246"/>
      <c r="AG97" s="247"/>
      <c r="AH97" s="247"/>
      <c r="AI97" s="248"/>
      <c r="AJ97" s="265">
        <v>1.3</v>
      </c>
      <c r="AK97" s="244"/>
      <c r="AL97" s="244"/>
      <c r="AM97" s="245"/>
      <c r="AN97" s="238">
        <v>220</v>
      </c>
      <c r="AO97" s="239"/>
      <c r="AP97" s="240"/>
      <c r="AQ97" s="238" t="s">
        <v>208</v>
      </c>
      <c r="AR97" s="239"/>
      <c r="AS97" s="239"/>
      <c r="AT97" s="239"/>
      <c r="AU97" s="239"/>
      <c r="AV97" s="239"/>
      <c r="AW97" s="240"/>
      <c r="AX97" s="238" t="s">
        <v>209</v>
      </c>
      <c r="AY97" s="239"/>
      <c r="AZ97" s="239"/>
      <c r="BA97" s="239"/>
      <c r="BB97" s="239"/>
      <c r="BC97" s="239"/>
      <c r="BD97" s="240"/>
      <c r="BE97" s="246"/>
      <c r="BF97" s="247"/>
      <c r="BG97" s="247"/>
      <c r="BH97" s="247"/>
      <c r="BI97" s="248"/>
    </row>
    <row r="98" spans="1:61" ht="27" customHeight="1">
      <c r="A98" s="146" t="s">
        <v>206</v>
      </c>
      <c r="B98" s="135"/>
      <c r="C98" s="135"/>
      <c r="D98" s="135"/>
      <c r="E98" s="135"/>
      <c r="F98" s="135"/>
      <c r="G98" s="714"/>
      <c r="H98" s="714"/>
      <c r="I98" s="714"/>
      <c r="J98" s="714"/>
      <c r="K98" s="714"/>
      <c r="L98" s="714"/>
      <c r="M98" s="715" t="s">
        <v>210</v>
      </c>
      <c r="N98" s="223"/>
      <c r="O98" s="223"/>
      <c r="P98" s="223"/>
      <c r="Q98" s="223"/>
      <c r="R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4"/>
    </row>
    <row r="99" spans="1:61" ht="18" customHeight="1">
      <c r="A99" s="136" t="s">
        <v>21</v>
      </c>
      <c r="B99" s="136"/>
      <c r="C99" s="136"/>
      <c r="D99" s="136"/>
      <c r="E99" s="136"/>
      <c r="F99" s="136"/>
      <c r="G99" s="251" t="s">
        <v>21</v>
      </c>
      <c r="H99" s="251"/>
      <c r="I99" s="251"/>
      <c r="J99" s="251"/>
      <c r="K99" s="251"/>
      <c r="L99" s="251"/>
      <c r="M99" s="249"/>
      <c r="N99" s="249"/>
      <c r="O99" s="249"/>
      <c r="P99" s="249" t="s">
        <v>222</v>
      </c>
      <c r="Q99" s="249"/>
      <c r="R99" s="249"/>
      <c r="S99" s="249"/>
      <c r="T99" s="249"/>
      <c r="U99" s="249"/>
      <c r="V99" s="249"/>
      <c r="W99" s="249"/>
      <c r="X99" s="249" t="s">
        <v>143</v>
      </c>
      <c r="Y99" s="249"/>
      <c r="Z99" s="249"/>
      <c r="AA99" s="249"/>
      <c r="AB99" s="249"/>
      <c r="AC99" s="249"/>
      <c r="AD99" s="249"/>
      <c r="AE99" s="249"/>
      <c r="AF99" s="246"/>
      <c r="AG99" s="247"/>
      <c r="AH99" s="247"/>
      <c r="AI99" s="248"/>
      <c r="AJ99" s="252">
        <v>1</v>
      </c>
      <c r="AK99" s="253"/>
      <c r="AL99" s="253"/>
      <c r="AM99" s="254"/>
      <c r="AN99" s="246">
        <v>380</v>
      </c>
      <c r="AO99" s="247"/>
      <c r="AP99" s="248"/>
      <c r="AQ99" s="246" t="s">
        <v>142</v>
      </c>
      <c r="AR99" s="247"/>
      <c r="AS99" s="247"/>
      <c r="AT99" s="247"/>
      <c r="AU99" s="247"/>
      <c r="AV99" s="247"/>
      <c r="AW99" s="248"/>
      <c r="AX99" s="238" t="s">
        <v>92</v>
      </c>
      <c r="AY99" s="239"/>
      <c r="AZ99" s="239"/>
      <c r="BA99" s="239"/>
      <c r="BB99" s="239"/>
      <c r="BC99" s="239"/>
      <c r="BD99" s="240"/>
      <c r="BE99" s="246"/>
      <c r="BF99" s="247"/>
      <c r="BG99" s="247"/>
      <c r="BH99" s="247"/>
      <c r="BI99" s="248"/>
    </row>
    <row r="100" spans="1:61" ht="18" customHeight="1">
      <c r="A100" s="144" t="s">
        <v>21</v>
      </c>
      <c r="B100" s="136"/>
      <c r="C100" s="136"/>
      <c r="D100" s="136"/>
      <c r="E100" s="136"/>
      <c r="F100" s="136"/>
      <c r="G100" s="251"/>
      <c r="H100" s="251"/>
      <c r="I100" s="251"/>
      <c r="J100" s="251"/>
      <c r="K100" s="251"/>
      <c r="L100" s="251"/>
      <c r="M100" s="713" t="s">
        <v>318</v>
      </c>
      <c r="N100" s="255"/>
      <c r="O100" s="255"/>
      <c r="P100" s="255"/>
      <c r="Q100" s="255"/>
      <c r="R100" s="255"/>
      <c r="S100" s="255"/>
      <c r="T100" s="255"/>
      <c r="U100" s="255"/>
      <c r="V100" s="255"/>
      <c r="W100" s="255"/>
      <c r="X100" s="255"/>
      <c r="Y100" s="255"/>
      <c r="Z100" s="255"/>
      <c r="AA100" s="255"/>
      <c r="AB100" s="255"/>
      <c r="AC100" s="255"/>
      <c r="AD100" s="255"/>
      <c r="AE100" s="255"/>
      <c r="AF100" s="255"/>
      <c r="AG100" s="255"/>
      <c r="AH100" s="255"/>
      <c r="AI100" s="255"/>
      <c r="AJ100" s="255"/>
      <c r="AK100" s="255"/>
      <c r="AL100" s="255"/>
      <c r="AM100" s="255"/>
      <c r="AN100" s="255"/>
      <c r="AO100" s="255"/>
      <c r="AP100" s="255"/>
      <c r="AQ100" s="255"/>
      <c r="AR100" s="255"/>
      <c r="AS100" s="255"/>
      <c r="AT100" s="255"/>
      <c r="AU100" s="255"/>
      <c r="AV100" s="255"/>
      <c r="AW100" s="255"/>
      <c r="AX100" s="255"/>
      <c r="AY100" s="255"/>
      <c r="AZ100" s="255"/>
      <c r="BA100" s="255"/>
      <c r="BB100" s="255"/>
      <c r="BC100" s="255"/>
      <c r="BD100" s="255"/>
      <c r="BE100" s="255"/>
      <c r="BF100" s="255"/>
      <c r="BG100" s="255"/>
      <c r="BH100" s="255"/>
      <c r="BI100" s="256"/>
    </row>
    <row r="101" spans="1:61" ht="18" customHeight="1">
      <c r="A101" s="136" t="s">
        <v>21</v>
      </c>
      <c r="B101" s="136"/>
      <c r="C101" s="136"/>
      <c r="D101" s="136"/>
      <c r="E101" s="136"/>
      <c r="F101" s="136"/>
      <c r="G101" s="251" t="s">
        <v>21</v>
      </c>
      <c r="H101" s="251"/>
      <c r="I101" s="251"/>
      <c r="J101" s="251"/>
      <c r="K101" s="251"/>
      <c r="L101" s="251"/>
      <c r="M101" s="249">
        <v>380</v>
      </c>
      <c r="N101" s="249"/>
      <c r="O101" s="249"/>
      <c r="P101" s="249" t="s">
        <v>143</v>
      </c>
      <c r="Q101" s="249"/>
      <c r="R101" s="249"/>
      <c r="S101" s="249"/>
      <c r="T101" s="249"/>
      <c r="U101" s="249"/>
      <c r="V101" s="249"/>
      <c r="W101" s="249"/>
      <c r="X101" s="249" t="s">
        <v>222</v>
      </c>
      <c r="Y101" s="249"/>
      <c r="Z101" s="249"/>
      <c r="AA101" s="249"/>
      <c r="AB101" s="249"/>
      <c r="AC101" s="249"/>
      <c r="AD101" s="249"/>
      <c r="AE101" s="249"/>
      <c r="AF101" s="246" t="s">
        <v>223</v>
      </c>
      <c r="AG101" s="247"/>
      <c r="AH101" s="247"/>
      <c r="AI101" s="248"/>
      <c r="AJ101" s="252">
        <v>1.05</v>
      </c>
      <c r="AK101" s="253"/>
      <c r="AL101" s="253"/>
      <c r="AM101" s="254"/>
      <c r="AN101" s="246">
        <v>380</v>
      </c>
      <c r="AO101" s="247"/>
      <c r="AP101" s="248"/>
      <c r="AQ101" s="246" t="s">
        <v>142</v>
      </c>
      <c r="AR101" s="247"/>
      <c r="AS101" s="247"/>
      <c r="AT101" s="247"/>
      <c r="AU101" s="247"/>
      <c r="AV101" s="247"/>
      <c r="AW101" s="248"/>
      <c r="AX101" s="238" t="s">
        <v>92</v>
      </c>
      <c r="AY101" s="239"/>
      <c r="AZ101" s="239"/>
      <c r="BA101" s="239"/>
      <c r="BB101" s="239"/>
      <c r="BC101" s="239"/>
      <c r="BD101" s="240"/>
      <c r="BE101" s="246"/>
      <c r="BF101" s="247"/>
      <c r="BG101" s="247"/>
      <c r="BH101" s="247"/>
      <c r="BI101" s="248"/>
    </row>
    <row r="102" spans="1:61" ht="18" customHeight="1">
      <c r="A102" s="144" t="s">
        <v>21</v>
      </c>
      <c r="B102" s="136"/>
      <c r="C102" s="136"/>
      <c r="D102" s="136"/>
      <c r="E102" s="136"/>
      <c r="F102" s="136"/>
      <c r="G102" s="251"/>
      <c r="H102" s="251"/>
      <c r="I102" s="251"/>
      <c r="J102" s="251"/>
      <c r="K102" s="251"/>
      <c r="L102" s="251"/>
      <c r="M102" s="715" t="s">
        <v>265</v>
      </c>
      <c r="N102" s="255"/>
      <c r="O102" s="255"/>
      <c r="P102" s="255"/>
      <c r="Q102" s="255"/>
      <c r="R102" s="255"/>
      <c r="S102" s="255"/>
      <c r="T102" s="255"/>
      <c r="U102" s="255"/>
      <c r="V102" s="255"/>
      <c r="W102" s="255"/>
      <c r="X102" s="255"/>
      <c r="Y102" s="255"/>
      <c r="Z102" s="255"/>
      <c r="AA102" s="255"/>
      <c r="AB102" s="255"/>
      <c r="AC102" s="255"/>
      <c r="AD102" s="255"/>
      <c r="AE102" s="255"/>
      <c r="AF102" s="255"/>
      <c r="AG102" s="255"/>
      <c r="AH102" s="255"/>
      <c r="AI102" s="255"/>
      <c r="AJ102" s="255"/>
      <c r="AK102" s="255"/>
      <c r="AL102" s="255"/>
      <c r="AM102" s="255"/>
      <c r="AN102" s="255"/>
      <c r="AO102" s="255"/>
      <c r="AP102" s="255"/>
      <c r="AQ102" s="255"/>
      <c r="AR102" s="255"/>
      <c r="AS102" s="255"/>
      <c r="AT102" s="255"/>
      <c r="AU102" s="255"/>
      <c r="AV102" s="255"/>
      <c r="AW102" s="255"/>
      <c r="AX102" s="255"/>
      <c r="AY102" s="255"/>
      <c r="AZ102" s="255"/>
      <c r="BA102" s="255"/>
      <c r="BB102" s="255"/>
      <c r="BC102" s="255"/>
      <c r="BD102" s="255"/>
      <c r="BE102" s="255"/>
      <c r="BF102" s="255"/>
      <c r="BG102" s="255"/>
      <c r="BH102" s="255"/>
      <c r="BI102" s="256"/>
    </row>
    <row r="103" spans="1:61" ht="18" customHeight="1">
      <c r="A103" s="135" t="s">
        <v>21</v>
      </c>
      <c r="B103" s="135"/>
      <c r="C103" s="135"/>
      <c r="D103" s="135"/>
      <c r="E103" s="135"/>
      <c r="F103" s="135"/>
      <c r="G103" s="714" t="s">
        <v>21</v>
      </c>
      <c r="H103" s="714"/>
      <c r="I103" s="714"/>
      <c r="J103" s="714"/>
      <c r="K103" s="714"/>
      <c r="L103" s="714"/>
      <c r="M103" s="246">
        <v>380</v>
      </c>
      <c r="N103" s="247"/>
      <c r="O103" s="248"/>
      <c r="P103" s="246" t="s">
        <v>222</v>
      </c>
      <c r="Q103" s="247"/>
      <c r="R103" s="247"/>
      <c r="S103" s="247"/>
      <c r="T103" s="247"/>
      <c r="U103" s="247"/>
      <c r="V103" s="247"/>
      <c r="W103" s="248"/>
      <c r="X103" s="246" t="s">
        <v>143</v>
      </c>
      <c r="Y103" s="247"/>
      <c r="Z103" s="247"/>
      <c r="AA103" s="247"/>
      <c r="AB103" s="247"/>
      <c r="AC103" s="247"/>
      <c r="AD103" s="247"/>
      <c r="AE103" s="248"/>
      <c r="AF103" s="246"/>
      <c r="AG103" s="247"/>
      <c r="AH103" s="247"/>
      <c r="AI103" s="248"/>
      <c r="AJ103" s="252">
        <v>1.1000000000000001</v>
      </c>
      <c r="AK103" s="253"/>
      <c r="AL103" s="253"/>
      <c r="AM103" s="254"/>
      <c r="AN103" s="246">
        <v>380</v>
      </c>
      <c r="AO103" s="247"/>
      <c r="AP103" s="248"/>
      <c r="AQ103" s="246" t="s">
        <v>263</v>
      </c>
      <c r="AR103" s="247"/>
      <c r="AS103" s="247"/>
      <c r="AT103" s="247"/>
      <c r="AU103" s="247"/>
      <c r="AV103" s="247"/>
      <c r="AW103" s="248"/>
      <c r="AX103" s="238" t="s">
        <v>264</v>
      </c>
      <c r="AY103" s="239"/>
      <c r="AZ103" s="239"/>
      <c r="BA103" s="239"/>
      <c r="BB103" s="239"/>
      <c r="BC103" s="239"/>
      <c r="BD103" s="240"/>
      <c r="BE103" s="246"/>
      <c r="BF103" s="247"/>
      <c r="BG103" s="247"/>
      <c r="BH103" s="247"/>
      <c r="BI103" s="248"/>
    </row>
    <row r="104" spans="1:61" ht="18" customHeight="1">
      <c r="A104" s="146" t="s">
        <v>21</v>
      </c>
      <c r="B104" s="135"/>
      <c r="C104" s="135"/>
      <c r="D104" s="135"/>
      <c r="E104" s="135"/>
      <c r="F104" s="135"/>
      <c r="G104" s="714"/>
      <c r="H104" s="714"/>
      <c r="I104" s="714"/>
      <c r="J104" s="714"/>
      <c r="K104" s="714"/>
      <c r="L104" s="714"/>
      <c r="M104" s="715" t="s">
        <v>265</v>
      </c>
      <c r="N104" s="255"/>
      <c r="O104" s="255"/>
      <c r="P104" s="255"/>
      <c r="Q104" s="255"/>
      <c r="R104" s="255"/>
      <c r="S104" s="255"/>
      <c r="T104" s="255"/>
      <c r="U104" s="255"/>
      <c r="V104" s="255"/>
      <c r="W104" s="255"/>
      <c r="X104" s="255"/>
      <c r="Y104" s="255"/>
      <c r="Z104" s="255"/>
      <c r="AA104" s="255"/>
      <c r="AB104" s="255"/>
      <c r="AC104" s="255"/>
      <c r="AD104" s="255"/>
      <c r="AE104" s="255"/>
      <c r="AF104" s="255"/>
      <c r="AG104" s="255"/>
      <c r="AH104" s="255"/>
      <c r="AI104" s="255"/>
      <c r="AJ104" s="255"/>
      <c r="AK104" s="255"/>
      <c r="AL104" s="255"/>
      <c r="AM104" s="255"/>
      <c r="AN104" s="255"/>
      <c r="AO104" s="255"/>
      <c r="AP104" s="255"/>
      <c r="AQ104" s="255"/>
      <c r="AR104" s="255"/>
      <c r="AS104" s="255"/>
      <c r="AT104" s="255"/>
      <c r="AU104" s="255"/>
      <c r="AV104" s="255"/>
      <c r="AW104" s="255"/>
      <c r="AX104" s="255"/>
      <c r="AY104" s="255"/>
      <c r="AZ104" s="255"/>
      <c r="BA104" s="255"/>
      <c r="BB104" s="255"/>
      <c r="BC104" s="255"/>
      <c r="BD104" s="255"/>
      <c r="BE104" s="255"/>
      <c r="BF104" s="255"/>
      <c r="BG104" s="255"/>
      <c r="BH104" s="255"/>
      <c r="BI104" s="256"/>
    </row>
    <row r="105" spans="1:61" ht="18" customHeight="1">
      <c r="A105" s="136" t="s">
        <v>21</v>
      </c>
      <c r="B105" s="136"/>
      <c r="C105" s="136"/>
      <c r="D105" s="136"/>
      <c r="E105" s="136"/>
      <c r="F105" s="136"/>
      <c r="G105" s="251" t="s">
        <v>21</v>
      </c>
      <c r="H105" s="251"/>
      <c r="I105" s="251"/>
      <c r="J105" s="251"/>
      <c r="K105" s="251"/>
      <c r="L105" s="251"/>
      <c r="M105" s="246">
        <v>220</v>
      </c>
      <c r="N105" s="247"/>
      <c r="O105" s="247"/>
      <c r="P105" s="246" t="s">
        <v>92</v>
      </c>
      <c r="Q105" s="247"/>
      <c r="R105" s="247"/>
      <c r="S105" s="247"/>
      <c r="T105" s="247"/>
      <c r="U105" s="247"/>
      <c r="V105" s="247"/>
      <c r="W105" s="248"/>
      <c r="X105" s="246" t="s">
        <v>257</v>
      </c>
      <c r="Y105" s="247"/>
      <c r="Z105" s="247"/>
      <c r="AA105" s="247"/>
      <c r="AB105" s="247"/>
      <c r="AC105" s="247"/>
      <c r="AD105" s="247"/>
      <c r="AE105" s="248"/>
      <c r="AF105" s="247"/>
      <c r="AG105" s="247"/>
      <c r="AH105" s="247"/>
      <c r="AI105" s="248"/>
      <c r="AJ105" s="252">
        <v>1.23</v>
      </c>
      <c r="AK105" s="253"/>
      <c r="AL105" s="253"/>
      <c r="AM105" s="254"/>
      <c r="AN105" s="246">
        <v>220</v>
      </c>
      <c r="AO105" s="247"/>
      <c r="AP105" s="248"/>
      <c r="AQ105" s="246" t="s">
        <v>258</v>
      </c>
      <c r="AR105" s="247"/>
      <c r="AS105" s="247"/>
      <c r="AT105" s="247"/>
      <c r="AU105" s="247"/>
      <c r="AV105" s="247"/>
      <c r="AW105" s="248"/>
      <c r="AX105" s="238" t="s">
        <v>259</v>
      </c>
      <c r="AY105" s="239"/>
      <c r="AZ105" s="239"/>
      <c r="BA105" s="239"/>
      <c r="BB105" s="239"/>
      <c r="BC105" s="239"/>
      <c r="BD105" s="240"/>
      <c r="BE105" s="246"/>
      <c r="BF105" s="247"/>
      <c r="BG105" s="247"/>
      <c r="BH105" s="247"/>
      <c r="BI105" s="248"/>
    </row>
    <row r="106" spans="1:61" ht="35.25" customHeight="1">
      <c r="A106" s="144" t="s">
        <v>21</v>
      </c>
      <c r="B106" s="136"/>
      <c r="C106" s="136"/>
      <c r="D106" s="136"/>
      <c r="E106" s="136"/>
      <c r="F106" s="136"/>
      <c r="G106" s="251"/>
      <c r="H106" s="251"/>
      <c r="I106" s="251"/>
      <c r="J106" s="251"/>
      <c r="K106" s="251"/>
      <c r="L106" s="251"/>
      <c r="M106" s="715" t="s">
        <v>260</v>
      </c>
      <c r="N106" s="255"/>
      <c r="O106" s="255"/>
      <c r="P106" s="255"/>
      <c r="Q106" s="255"/>
      <c r="R106" s="255"/>
      <c r="S106" s="255"/>
      <c r="T106" s="255"/>
      <c r="U106" s="255"/>
      <c r="V106" s="255"/>
      <c r="W106" s="255"/>
      <c r="X106" s="255"/>
      <c r="Y106" s="255"/>
      <c r="Z106" s="255"/>
      <c r="AA106" s="255"/>
      <c r="AB106" s="255"/>
      <c r="AC106" s="255"/>
      <c r="AD106" s="255"/>
      <c r="AE106" s="255"/>
      <c r="AF106" s="255"/>
      <c r="AG106" s="255"/>
      <c r="AH106" s="255"/>
      <c r="AI106" s="255"/>
      <c r="AJ106" s="255"/>
      <c r="AK106" s="255"/>
      <c r="AL106" s="255"/>
      <c r="AM106" s="255"/>
      <c r="AN106" s="255"/>
      <c r="AO106" s="255"/>
      <c r="AP106" s="255"/>
      <c r="AQ106" s="255"/>
      <c r="AR106" s="255"/>
      <c r="AS106" s="255"/>
      <c r="AT106" s="255"/>
      <c r="AU106" s="255"/>
      <c r="AV106" s="255"/>
      <c r="AW106" s="255"/>
      <c r="AX106" s="255"/>
      <c r="AY106" s="255"/>
      <c r="AZ106" s="255"/>
      <c r="BA106" s="255"/>
      <c r="BB106" s="255"/>
      <c r="BC106" s="255"/>
      <c r="BD106" s="255"/>
      <c r="BE106" s="255"/>
      <c r="BF106" s="255"/>
      <c r="BG106" s="255"/>
      <c r="BH106" s="255"/>
      <c r="BI106" s="256"/>
    </row>
    <row r="107" spans="1:61" ht="18" customHeight="1">
      <c r="A107" s="136" t="s">
        <v>21</v>
      </c>
      <c r="B107" s="136"/>
      <c r="C107" s="136"/>
      <c r="D107" s="136"/>
      <c r="E107" s="136"/>
      <c r="F107" s="136"/>
      <c r="G107" s="251" t="s">
        <v>21</v>
      </c>
      <c r="H107" s="251"/>
      <c r="I107" s="251"/>
      <c r="J107" s="251"/>
      <c r="K107" s="251"/>
      <c r="L107" s="251"/>
      <c r="M107" s="249">
        <v>380</v>
      </c>
      <c r="N107" s="249"/>
      <c r="O107" s="249"/>
      <c r="P107" s="249" t="s">
        <v>222</v>
      </c>
      <c r="Q107" s="249"/>
      <c r="R107" s="249"/>
      <c r="S107" s="249"/>
      <c r="T107" s="249"/>
      <c r="U107" s="249"/>
      <c r="V107" s="249"/>
      <c r="W107" s="249"/>
      <c r="X107" s="249" t="s">
        <v>143</v>
      </c>
      <c r="Y107" s="249"/>
      <c r="Z107" s="249"/>
      <c r="AA107" s="249"/>
      <c r="AB107" s="249"/>
      <c r="AC107" s="249"/>
      <c r="AD107" s="249"/>
      <c r="AE107" s="249"/>
      <c r="AF107" s="246" t="s">
        <v>223</v>
      </c>
      <c r="AG107" s="247"/>
      <c r="AH107" s="247"/>
      <c r="AI107" s="248"/>
      <c r="AJ107" s="252">
        <v>1.1100000000000001</v>
      </c>
      <c r="AK107" s="253"/>
      <c r="AL107" s="253"/>
      <c r="AM107" s="254"/>
      <c r="AN107" s="246">
        <v>380</v>
      </c>
      <c r="AO107" s="247"/>
      <c r="AP107" s="248"/>
      <c r="AQ107" s="246" t="s">
        <v>224</v>
      </c>
      <c r="AR107" s="247"/>
      <c r="AS107" s="247"/>
      <c r="AT107" s="247"/>
      <c r="AU107" s="247"/>
      <c r="AV107" s="247"/>
      <c r="AW107" s="248"/>
      <c r="AX107" s="238" t="s">
        <v>225</v>
      </c>
      <c r="AY107" s="239"/>
      <c r="AZ107" s="239"/>
      <c r="BA107" s="239"/>
      <c r="BB107" s="239"/>
      <c r="BC107" s="239"/>
      <c r="BD107" s="240"/>
      <c r="BE107" s="246"/>
      <c r="BF107" s="247"/>
      <c r="BG107" s="247"/>
      <c r="BH107" s="247"/>
      <c r="BI107" s="248"/>
    </row>
    <row r="108" spans="1:61" ht="18" customHeight="1">
      <c r="A108" s="144" t="s">
        <v>21</v>
      </c>
      <c r="B108" s="136"/>
      <c r="C108" s="136"/>
      <c r="D108" s="136"/>
      <c r="E108" s="136"/>
      <c r="F108" s="136"/>
      <c r="G108" s="251"/>
      <c r="H108" s="251"/>
      <c r="I108" s="251"/>
      <c r="J108" s="251"/>
      <c r="K108" s="251"/>
      <c r="L108" s="251"/>
      <c r="M108" s="715" t="s">
        <v>226</v>
      </c>
      <c r="N108" s="255"/>
      <c r="O108" s="255"/>
      <c r="P108" s="255"/>
      <c r="Q108" s="255"/>
      <c r="R108" s="255"/>
      <c r="S108" s="255"/>
      <c r="T108" s="255"/>
      <c r="U108" s="255"/>
      <c r="V108" s="255"/>
      <c r="W108" s="255"/>
      <c r="X108" s="255"/>
      <c r="Y108" s="255"/>
      <c r="Z108" s="255"/>
      <c r="AA108" s="255"/>
      <c r="AB108" s="255"/>
      <c r="AC108" s="255"/>
      <c r="AD108" s="255"/>
      <c r="AE108" s="255"/>
      <c r="AF108" s="255"/>
      <c r="AG108" s="255"/>
      <c r="AH108" s="255"/>
      <c r="AI108" s="255"/>
      <c r="AJ108" s="255"/>
      <c r="AK108" s="255"/>
      <c r="AL108" s="255"/>
      <c r="AM108" s="255"/>
      <c r="AN108" s="255"/>
      <c r="AO108" s="255"/>
      <c r="AP108" s="255"/>
      <c r="AQ108" s="255"/>
      <c r="AR108" s="255"/>
      <c r="AS108" s="255"/>
      <c r="AT108" s="255"/>
      <c r="AU108" s="255"/>
      <c r="AV108" s="255"/>
      <c r="AW108" s="255"/>
      <c r="AX108" s="255"/>
      <c r="AY108" s="255"/>
      <c r="AZ108" s="255"/>
      <c r="BA108" s="255"/>
      <c r="BB108" s="255"/>
      <c r="BC108" s="255"/>
      <c r="BD108" s="255"/>
      <c r="BE108" s="255"/>
      <c r="BF108" s="255"/>
      <c r="BG108" s="255"/>
      <c r="BH108" s="255"/>
      <c r="BI108" s="256"/>
    </row>
    <row r="109" spans="1:61" ht="18" customHeight="1">
      <c r="A109" s="137" t="s">
        <v>21</v>
      </c>
      <c r="B109" s="137"/>
      <c r="C109" s="137"/>
      <c r="D109" s="137"/>
      <c r="E109" s="137"/>
      <c r="F109" s="137"/>
      <c r="G109" s="774" t="s">
        <v>21</v>
      </c>
      <c r="H109" s="774"/>
      <c r="I109" s="774"/>
      <c r="J109" s="774"/>
      <c r="K109" s="774"/>
      <c r="L109" s="774"/>
      <c r="M109" s="775">
        <v>380</v>
      </c>
      <c r="N109" s="775"/>
      <c r="O109" s="775"/>
      <c r="P109" s="775" t="s">
        <v>222</v>
      </c>
      <c r="Q109" s="775"/>
      <c r="R109" s="775"/>
      <c r="S109" s="775"/>
      <c r="T109" s="775"/>
      <c r="U109" s="775"/>
      <c r="V109" s="775"/>
      <c r="W109" s="775"/>
      <c r="X109" s="775" t="s">
        <v>143</v>
      </c>
      <c r="Y109" s="775"/>
      <c r="Z109" s="775"/>
      <c r="AA109" s="775"/>
      <c r="AB109" s="775"/>
      <c r="AC109" s="775"/>
      <c r="AD109" s="775"/>
      <c r="AE109" s="775"/>
      <c r="AF109" s="765"/>
      <c r="AG109" s="766"/>
      <c r="AH109" s="766"/>
      <c r="AI109" s="767"/>
      <c r="AJ109" s="776">
        <v>1.1000000000000001</v>
      </c>
      <c r="AK109" s="777"/>
      <c r="AL109" s="777"/>
      <c r="AM109" s="778"/>
      <c r="AN109" s="765">
        <v>380</v>
      </c>
      <c r="AO109" s="766"/>
      <c r="AP109" s="767"/>
      <c r="AQ109" s="765" t="s">
        <v>142</v>
      </c>
      <c r="AR109" s="766"/>
      <c r="AS109" s="766"/>
      <c r="AT109" s="766"/>
      <c r="AU109" s="766"/>
      <c r="AV109" s="766"/>
      <c r="AW109" s="767"/>
      <c r="AX109" s="779" t="s">
        <v>92</v>
      </c>
      <c r="AY109" s="780"/>
      <c r="AZ109" s="780"/>
      <c r="BA109" s="780"/>
      <c r="BB109" s="780"/>
      <c r="BC109" s="780"/>
      <c r="BD109" s="781"/>
      <c r="BE109" s="765"/>
      <c r="BF109" s="766"/>
      <c r="BG109" s="766"/>
      <c r="BH109" s="766"/>
      <c r="BI109" s="767"/>
    </row>
    <row r="110" spans="1:61" ht="18" customHeight="1">
      <c r="A110" s="145" t="s">
        <v>21</v>
      </c>
      <c r="B110" s="136"/>
      <c r="C110" s="136"/>
      <c r="D110" s="136"/>
      <c r="E110" s="136"/>
      <c r="F110" s="136"/>
      <c r="G110" s="774"/>
      <c r="H110" s="774"/>
      <c r="I110" s="774"/>
      <c r="J110" s="774"/>
      <c r="K110" s="774"/>
      <c r="L110" s="774"/>
      <c r="M110" s="249">
        <v>380</v>
      </c>
      <c r="N110" s="249"/>
      <c r="O110" s="249"/>
      <c r="P110" s="249" t="s">
        <v>142</v>
      </c>
      <c r="Q110" s="249"/>
      <c r="R110" s="249"/>
      <c r="S110" s="249"/>
      <c r="T110" s="249"/>
      <c r="U110" s="249"/>
      <c r="V110" s="249"/>
      <c r="W110" s="249"/>
      <c r="X110" s="249" t="s">
        <v>92</v>
      </c>
      <c r="Y110" s="249"/>
      <c r="Z110" s="249"/>
      <c r="AA110" s="249"/>
      <c r="AB110" s="249"/>
      <c r="AC110" s="249"/>
      <c r="AD110" s="249"/>
      <c r="AE110" s="249"/>
      <c r="AF110" s="246" t="s">
        <v>233</v>
      </c>
      <c r="AG110" s="247"/>
      <c r="AH110" s="247"/>
      <c r="AI110" s="248"/>
      <c r="AJ110" s="252">
        <v>1.06</v>
      </c>
      <c r="AK110" s="253"/>
      <c r="AL110" s="253"/>
      <c r="AM110" s="254"/>
      <c r="AN110" s="246">
        <v>380</v>
      </c>
      <c r="AO110" s="247"/>
      <c r="AP110" s="248"/>
      <c r="AQ110" s="246" t="s">
        <v>222</v>
      </c>
      <c r="AR110" s="247"/>
      <c r="AS110" s="247"/>
      <c r="AT110" s="247"/>
      <c r="AU110" s="247"/>
      <c r="AV110" s="247"/>
      <c r="AW110" s="248"/>
      <c r="AX110" s="238" t="s">
        <v>143</v>
      </c>
      <c r="AY110" s="239"/>
      <c r="AZ110" s="239"/>
      <c r="BA110" s="239"/>
      <c r="BB110" s="239"/>
      <c r="BC110" s="239"/>
      <c r="BD110" s="240"/>
      <c r="BE110" s="246" t="s">
        <v>233</v>
      </c>
      <c r="BF110" s="247"/>
      <c r="BG110" s="247"/>
      <c r="BH110" s="247"/>
      <c r="BI110" s="248"/>
    </row>
    <row r="111" spans="1:61" ht="24" customHeight="1">
      <c r="B111" s="137"/>
      <c r="C111" s="137"/>
      <c r="D111" s="137"/>
      <c r="E111" s="137"/>
      <c r="F111" s="137"/>
      <c r="G111" s="774"/>
      <c r="H111" s="774"/>
      <c r="I111" s="774"/>
      <c r="J111" s="774"/>
      <c r="K111" s="774"/>
      <c r="L111" s="774"/>
      <c r="M111" s="771" t="s">
        <v>230</v>
      </c>
      <c r="N111" s="772"/>
      <c r="O111" s="772"/>
      <c r="P111" s="772"/>
      <c r="Q111" s="772"/>
      <c r="R111" s="772"/>
      <c r="S111" s="772"/>
      <c r="T111" s="772"/>
      <c r="U111" s="772"/>
      <c r="V111" s="772"/>
      <c r="W111" s="772"/>
      <c r="X111" s="772"/>
      <c r="Y111" s="772"/>
      <c r="Z111" s="772"/>
      <c r="AA111" s="772"/>
      <c r="AB111" s="772"/>
      <c r="AC111" s="772"/>
      <c r="AD111" s="772"/>
      <c r="AE111" s="772"/>
      <c r="AF111" s="772"/>
      <c r="AG111" s="772"/>
      <c r="AH111" s="772"/>
      <c r="AI111" s="772"/>
      <c r="AJ111" s="772"/>
      <c r="AK111" s="772"/>
      <c r="AL111" s="772"/>
      <c r="AM111" s="772"/>
      <c r="AN111" s="772"/>
      <c r="AO111" s="772"/>
      <c r="AP111" s="772"/>
      <c r="AQ111" s="772"/>
      <c r="AR111" s="772"/>
      <c r="AS111" s="772"/>
      <c r="AT111" s="772"/>
      <c r="AU111" s="772"/>
      <c r="AV111" s="772"/>
      <c r="AW111" s="772"/>
      <c r="AX111" s="772"/>
      <c r="AY111" s="772"/>
      <c r="AZ111" s="772"/>
      <c r="BA111" s="772"/>
      <c r="BB111" s="772"/>
      <c r="BC111" s="772"/>
      <c r="BD111" s="772"/>
      <c r="BE111" s="772"/>
      <c r="BF111" s="772"/>
      <c r="BG111" s="772"/>
      <c r="BH111" s="772"/>
      <c r="BI111" s="773"/>
    </row>
    <row r="112" spans="1:61">
      <c r="A112" s="139" t="s">
        <v>268</v>
      </c>
      <c r="G112" s="251" t="s">
        <v>268</v>
      </c>
      <c r="H112" s="251"/>
      <c r="I112" s="251"/>
      <c r="J112" s="251"/>
      <c r="K112" s="251"/>
      <c r="L112" s="251"/>
      <c r="M112" s="246">
        <v>380</v>
      </c>
      <c r="N112" s="247"/>
      <c r="O112" s="248"/>
      <c r="P112" s="238" t="s">
        <v>183</v>
      </c>
      <c r="Q112" s="239"/>
      <c r="R112" s="239"/>
      <c r="S112" s="239"/>
      <c r="T112" s="239"/>
      <c r="U112" s="239"/>
      <c r="V112" s="239"/>
      <c r="W112" s="240"/>
      <c r="X112" s="238" t="s">
        <v>83</v>
      </c>
      <c r="Y112" s="239"/>
      <c r="Z112" s="239"/>
      <c r="AA112" s="239"/>
      <c r="AB112" s="239"/>
      <c r="AC112" s="239"/>
      <c r="AD112" s="239"/>
      <c r="AE112" s="240"/>
      <c r="AF112" s="246" t="s">
        <v>93</v>
      </c>
      <c r="AG112" s="247"/>
      <c r="AH112" s="247"/>
      <c r="AI112" s="248"/>
      <c r="AJ112" s="252">
        <v>1.02</v>
      </c>
      <c r="AK112" s="253"/>
      <c r="AL112" s="253"/>
      <c r="AM112" s="254"/>
      <c r="AN112" s="246">
        <v>380</v>
      </c>
      <c r="AO112" s="247"/>
      <c r="AP112" s="248"/>
      <c r="AQ112" s="246" t="s">
        <v>186</v>
      </c>
      <c r="AR112" s="247"/>
      <c r="AS112" s="247"/>
      <c r="AT112" s="247"/>
      <c r="AU112" s="247"/>
      <c r="AV112" s="247"/>
      <c r="AW112" s="248"/>
      <c r="AX112" s="246" t="s">
        <v>185</v>
      </c>
      <c r="AY112" s="247"/>
      <c r="AZ112" s="247"/>
      <c r="BA112" s="247"/>
      <c r="BB112" s="247"/>
      <c r="BC112" s="247"/>
      <c r="BD112" s="248"/>
      <c r="BE112" s="246"/>
      <c r="BF112" s="247"/>
      <c r="BG112" s="247"/>
      <c r="BH112" s="247"/>
      <c r="BI112" s="248"/>
    </row>
    <row r="113" spans="1:61">
      <c r="G113" s="251"/>
      <c r="H113" s="251"/>
      <c r="I113" s="251"/>
      <c r="J113" s="251"/>
      <c r="K113" s="251"/>
      <c r="L113" s="251"/>
      <c r="M113" s="219"/>
      <c r="N113" s="220"/>
      <c r="O113" s="221"/>
      <c r="P113" s="234" t="s">
        <v>184</v>
      </c>
      <c r="Q113" s="235"/>
      <c r="R113" s="235"/>
      <c r="S113" s="235"/>
      <c r="T113" s="235"/>
      <c r="U113" s="235"/>
      <c r="V113" s="235"/>
      <c r="W113" s="236"/>
      <c r="X113" s="234" t="s">
        <v>83</v>
      </c>
      <c r="Y113" s="235"/>
      <c r="Z113" s="235"/>
      <c r="AA113" s="235"/>
      <c r="AB113" s="235"/>
      <c r="AC113" s="235"/>
      <c r="AD113" s="235"/>
      <c r="AE113" s="236"/>
      <c r="AF113" s="234"/>
      <c r="AG113" s="235"/>
      <c r="AH113" s="235"/>
      <c r="AI113" s="236"/>
      <c r="AJ113" s="231"/>
      <c r="AK113" s="232"/>
      <c r="AL113" s="232"/>
      <c r="AM113" s="233"/>
      <c r="AN113" s="219"/>
      <c r="AO113" s="220"/>
      <c r="AP113" s="221"/>
      <c r="AQ113" s="219"/>
      <c r="AR113" s="220"/>
      <c r="AS113" s="220"/>
      <c r="AT113" s="220"/>
      <c r="AU113" s="220"/>
      <c r="AV113" s="220"/>
      <c r="AW113" s="221"/>
      <c r="AX113" s="219"/>
      <c r="AY113" s="220"/>
      <c r="AZ113" s="220"/>
      <c r="BA113" s="220"/>
      <c r="BB113" s="220"/>
      <c r="BC113" s="220"/>
      <c r="BD113" s="221"/>
      <c r="BE113" s="219"/>
      <c r="BF113" s="220"/>
      <c r="BG113" s="220"/>
      <c r="BH113" s="220"/>
      <c r="BI113" s="221"/>
    </row>
    <row r="114" spans="1:61">
      <c r="G114" s="251"/>
      <c r="H114" s="251"/>
      <c r="I114" s="251"/>
      <c r="J114" s="251"/>
      <c r="K114" s="251"/>
      <c r="L114" s="251"/>
      <c r="M114" s="219"/>
      <c r="N114" s="220"/>
      <c r="O114" s="221"/>
      <c r="P114" s="238" t="s">
        <v>183</v>
      </c>
      <c r="Q114" s="239"/>
      <c r="R114" s="239"/>
      <c r="S114" s="239"/>
      <c r="T114" s="239"/>
      <c r="U114" s="239"/>
      <c r="V114" s="239"/>
      <c r="W114" s="240"/>
      <c r="X114" s="238" t="s">
        <v>83</v>
      </c>
      <c r="Y114" s="239"/>
      <c r="Z114" s="239"/>
      <c r="AA114" s="239"/>
      <c r="AB114" s="239"/>
      <c r="AC114" s="239"/>
      <c r="AD114" s="239"/>
      <c r="AE114" s="240"/>
      <c r="AF114" s="246" t="s">
        <v>93</v>
      </c>
      <c r="AG114" s="247"/>
      <c r="AH114" s="247"/>
      <c r="AI114" s="248"/>
      <c r="AJ114" s="252">
        <v>1.08</v>
      </c>
      <c r="AK114" s="253"/>
      <c r="AL114" s="253"/>
      <c r="AM114" s="254"/>
      <c r="AN114" s="219"/>
      <c r="AO114" s="220"/>
      <c r="AP114" s="221"/>
      <c r="AQ114" s="219"/>
      <c r="AR114" s="220"/>
      <c r="AS114" s="220"/>
      <c r="AT114" s="220"/>
      <c r="AU114" s="220"/>
      <c r="AV114" s="220"/>
      <c r="AW114" s="221"/>
      <c r="AX114" s="219"/>
      <c r="AY114" s="220"/>
      <c r="AZ114" s="220"/>
      <c r="BA114" s="220"/>
      <c r="BB114" s="220"/>
      <c r="BC114" s="220"/>
      <c r="BD114" s="221"/>
      <c r="BE114" s="219"/>
      <c r="BF114" s="220"/>
      <c r="BG114" s="220"/>
      <c r="BH114" s="220"/>
      <c r="BI114" s="221"/>
    </row>
    <row r="115" spans="1:61">
      <c r="G115" s="251"/>
      <c r="H115" s="251"/>
      <c r="I115" s="251"/>
      <c r="J115" s="251"/>
      <c r="K115" s="251"/>
      <c r="L115" s="251"/>
      <c r="M115" s="234"/>
      <c r="N115" s="235"/>
      <c r="O115" s="236"/>
      <c r="P115" s="234" t="s">
        <v>184</v>
      </c>
      <c r="Q115" s="235"/>
      <c r="R115" s="235"/>
      <c r="S115" s="235"/>
      <c r="T115" s="235"/>
      <c r="U115" s="235"/>
      <c r="V115" s="235"/>
      <c r="W115" s="236"/>
      <c r="X115" s="234" t="s">
        <v>185</v>
      </c>
      <c r="Y115" s="235"/>
      <c r="Z115" s="235"/>
      <c r="AA115" s="235"/>
      <c r="AB115" s="235"/>
      <c r="AC115" s="235"/>
      <c r="AD115" s="235"/>
      <c r="AE115" s="236"/>
      <c r="AF115" s="234"/>
      <c r="AG115" s="235"/>
      <c r="AH115" s="235"/>
      <c r="AI115" s="236"/>
      <c r="AJ115" s="231"/>
      <c r="AK115" s="232"/>
      <c r="AL115" s="232"/>
      <c r="AM115" s="233"/>
      <c r="AN115" s="234"/>
      <c r="AO115" s="235"/>
      <c r="AP115" s="236"/>
      <c r="AQ115" s="234"/>
      <c r="AR115" s="235"/>
      <c r="AS115" s="235"/>
      <c r="AT115" s="235"/>
      <c r="AU115" s="235"/>
      <c r="AV115" s="235"/>
      <c r="AW115" s="236"/>
      <c r="AX115" s="234"/>
      <c r="AY115" s="235"/>
      <c r="AZ115" s="235"/>
      <c r="BA115" s="235"/>
      <c r="BB115" s="235"/>
      <c r="BC115" s="235"/>
      <c r="BD115" s="236"/>
      <c r="BE115" s="234"/>
      <c r="BF115" s="235"/>
      <c r="BG115" s="235"/>
      <c r="BH115" s="235"/>
      <c r="BI115" s="236"/>
    </row>
    <row r="116" spans="1:61">
      <c r="G116" s="251"/>
      <c r="H116" s="251"/>
      <c r="I116" s="251"/>
      <c r="J116" s="251"/>
      <c r="K116" s="251"/>
      <c r="L116" s="251"/>
      <c r="M116" s="713" t="s">
        <v>310</v>
      </c>
      <c r="N116" s="255"/>
      <c r="O116" s="255"/>
      <c r="P116" s="255"/>
      <c r="Q116" s="255"/>
      <c r="R116" s="255"/>
      <c r="S116" s="255"/>
      <c r="T116" s="255"/>
      <c r="U116" s="255"/>
      <c r="V116" s="255"/>
      <c r="W116" s="255"/>
      <c r="X116" s="255"/>
      <c r="Y116" s="255"/>
      <c r="Z116" s="255"/>
      <c r="AA116" s="255"/>
      <c r="AB116" s="255"/>
      <c r="AC116" s="255"/>
      <c r="AD116" s="255"/>
      <c r="AE116" s="255"/>
      <c r="AF116" s="255"/>
      <c r="AG116" s="255"/>
      <c r="AH116" s="255"/>
      <c r="AI116" s="255"/>
      <c r="AJ116" s="255"/>
      <c r="AK116" s="255"/>
      <c r="AL116" s="255"/>
      <c r="AM116" s="255"/>
      <c r="AN116" s="255"/>
      <c r="AO116" s="255"/>
      <c r="AP116" s="255"/>
      <c r="AQ116" s="255"/>
      <c r="AR116" s="255"/>
      <c r="AS116" s="255"/>
      <c r="AT116" s="255"/>
      <c r="AU116" s="255"/>
      <c r="AV116" s="255"/>
      <c r="AW116" s="255"/>
      <c r="AX116" s="255"/>
      <c r="AY116" s="255"/>
      <c r="AZ116" s="255"/>
      <c r="BA116" s="255"/>
      <c r="BB116" s="255"/>
      <c r="BC116" s="255"/>
      <c r="BD116" s="255"/>
      <c r="BE116" s="255"/>
      <c r="BF116" s="255"/>
      <c r="BG116" s="255"/>
      <c r="BH116" s="255"/>
      <c r="BI116" s="256"/>
    </row>
    <row r="117" spans="1:61" ht="15" customHeight="1">
      <c r="A117" s="136" t="s">
        <v>38</v>
      </c>
      <c r="G117" s="714" t="s">
        <v>38</v>
      </c>
      <c r="H117" s="714"/>
      <c r="I117" s="714"/>
      <c r="J117" s="714"/>
      <c r="K117" s="714"/>
      <c r="L117" s="714"/>
      <c r="M117" s="246">
        <v>380</v>
      </c>
      <c r="N117" s="247"/>
      <c r="O117" s="248"/>
      <c r="P117" s="246" t="s">
        <v>42</v>
      </c>
      <c r="Q117" s="247"/>
      <c r="R117" s="247"/>
      <c r="S117" s="247"/>
      <c r="T117" s="247"/>
      <c r="U117" s="247"/>
      <c r="V117" s="247"/>
      <c r="W117" s="248"/>
      <c r="X117" s="246" t="s">
        <v>216</v>
      </c>
      <c r="Y117" s="247"/>
      <c r="Z117" s="247"/>
      <c r="AA117" s="247"/>
      <c r="AB117" s="247"/>
      <c r="AC117" s="247"/>
      <c r="AD117" s="247"/>
      <c r="AE117" s="248"/>
      <c r="AF117" s="246" t="s">
        <v>355</v>
      </c>
      <c r="AG117" s="247"/>
      <c r="AH117" s="247"/>
      <c r="AI117" s="248"/>
      <c r="AJ117" s="720" t="s">
        <v>356</v>
      </c>
      <c r="AK117" s="720"/>
      <c r="AL117" s="720"/>
      <c r="AM117" s="720"/>
      <c r="AN117" s="249">
        <v>220</v>
      </c>
      <c r="AO117" s="249"/>
      <c r="AP117" s="249"/>
      <c r="AQ117" s="249" t="s">
        <v>357</v>
      </c>
      <c r="AR117" s="249"/>
      <c r="AS117" s="249"/>
      <c r="AT117" s="249"/>
      <c r="AU117" s="249"/>
      <c r="AV117" s="249"/>
      <c r="AW117" s="249"/>
      <c r="AX117" s="249" t="s">
        <v>358</v>
      </c>
      <c r="AY117" s="249"/>
      <c r="AZ117" s="249"/>
      <c r="BA117" s="249"/>
      <c r="BB117" s="249"/>
      <c r="BC117" s="249"/>
      <c r="BD117" s="249"/>
      <c r="BE117" s="249"/>
      <c r="BF117" s="249"/>
      <c r="BG117" s="249"/>
      <c r="BH117" s="249"/>
      <c r="BI117" s="249"/>
    </row>
    <row r="118" spans="1:61">
      <c r="G118" s="714"/>
      <c r="H118" s="714"/>
      <c r="I118" s="714"/>
      <c r="J118" s="714"/>
      <c r="K118" s="714"/>
      <c r="L118" s="714"/>
      <c r="M118" s="234"/>
      <c r="N118" s="235"/>
      <c r="O118" s="236"/>
      <c r="P118" s="234"/>
      <c r="Q118" s="235"/>
      <c r="R118" s="235"/>
      <c r="S118" s="235"/>
      <c r="T118" s="235"/>
      <c r="U118" s="235"/>
      <c r="V118" s="235"/>
      <c r="W118" s="236"/>
      <c r="X118" s="234"/>
      <c r="Y118" s="235"/>
      <c r="Z118" s="235"/>
      <c r="AA118" s="235"/>
      <c r="AB118" s="235"/>
      <c r="AC118" s="235"/>
      <c r="AD118" s="235"/>
      <c r="AE118" s="236"/>
      <c r="AF118" s="234"/>
      <c r="AG118" s="235"/>
      <c r="AH118" s="235"/>
      <c r="AI118" s="236"/>
      <c r="AJ118" s="720" t="s">
        <v>359</v>
      </c>
      <c r="AK118" s="720"/>
      <c r="AL118" s="720"/>
      <c r="AM118" s="720"/>
      <c r="AN118" s="249">
        <v>220</v>
      </c>
      <c r="AO118" s="249"/>
      <c r="AP118" s="249"/>
      <c r="AQ118" s="249" t="s">
        <v>41</v>
      </c>
      <c r="AR118" s="249"/>
      <c r="AS118" s="249"/>
      <c r="AT118" s="249"/>
      <c r="AU118" s="249"/>
      <c r="AV118" s="249"/>
      <c r="AW118" s="249"/>
      <c r="AX118" s="249" t="s">
        <v>360</v>
      </c>
      <c r="AY118" s="249"/>
      <c r="AZ118" s="249"/>
      <c r="BA118" s="249"/>
      <c r="BB118" s="249"/>
      <c r="BC118" s="249"/>
      <c r="BD118" s="249"/>
      <c r="BE118" s="249"/>
      <c r="BF118" s="249"/>
      <c r="BG118" s="249"/>
      <c r="BH118" s="249"/>
      <c r="BI118" s="249"/>
    </row>
    <row r="119" spans="1:61">
      <c r="G119" s="714"/>
      <c r="H119" s="714"/>
      <c r="I119" s="714"/>
      <c r="J119" s="714"/>
      <c r="K119" s="714"/>
      <c r="L119" s="714"/>
      <c r="M119" s="715" t="s">
        <v>361</v>
      </c>
      <c r="N119" s="223"/>
      <c r="O119" s="223"/>
      <c r="P119" s="223"/>
      <c r="Q119" s="223"/>
      <c r="R119" s="223"/>
      <c r="S119" s="223"/>
      <c r="T119" s="223"/>
      <c r="U119" s="223"/>
      <c r="V119" s="223"/>
      <c r="W119" s="223"/>
      <c r="X119" s="223"/>
      <c r="Y119" s="223"/>
      <c r="Z119" s="223"/>
      <c r="AA119" s="223"/>
      <c r="AB119" s="223"/>
      <c r="AC119" s="223"/>
      <c r="AD119" s="223"/>
      <c r="AE119" s="223"/>
      <c r="AF119" s="223"/>
      <c r="AG119" s="223"/>
      <c r="AH119" s="223"/>
      <c r="AI119" s="223"/>
      <c r="AJ119" s="223"/>
      <c r="AK119" s="223"/>
      <c r="AL119" s="223"/>
      <c r="AM119" s="223"/>
      <c r="AN119" s="223"/>
      <c r="AO119" s="223"/>
      <c r="AP119" s="223"/>
      <c r="AQ119" s="223"/>
      <c r="AR119" s="223"/>
      <c r="AS119" s="223"/>
      <c r="AT119" s="223"/>
      <c r="AU119" s="223"/>
      <c r="AV119" s="223"/>
      <c r="AW119" s="223"/>
      <c r="AX119" s="223"/>
      <c r="AY119" s="223"/>
      <c r="AZ119" s="223"/>
      <c r="BA119" s="223"/>
      <c r="BB119" s="223"/>
      <c r="BC119" s="223"/>
      <c r="BD119" s="223"/>
      <c r="BE119" s="223"/>
      <c r="BF119" s="223"/>
      <c r="BG119" s="223"/>
      <c r="BH119" s="223"/>
      <c r="BI119" s="224"/>
    </row>
    <row r="120" spans="1:61">
      <c r="A120" s="136" t="s">
        <v>38</v>
      </c>
      <c r="G120" s="714" t="s">
        <v>38</v>
      </c>
      <c r="H120" s="714"/>
      <c r="I120" s="714"/>
      <c r="J120" s="714"/>
      <c r="K120" s="714"/>
      <c r="L120" s="714"/>
      <c r="M120" s="246">
        <v>380</v>
      </c>
      <c r="N120" s="247"/>
      <c r="O120" s="248"/>
      <c r="P120" s="246" t="s">
        <v>42</v>
      </c>
      <c r="Q120" s="247"/>
      <c r="R120" s="247"/>
      <c r="S120" s="247"/>
      <c r="T120" s="247"/>
      <c r="U120" s="247"/>
      <c r="V120" s="247"/>
      <c r="W120" s="248"/>
      <c r="X120" s="246" t="s">
        <v>238</v>
      </c>
      <c r="Y120" s="247"/>
      <c r="Z120" s="247"/>
      <c r="AA120" s="247"/>
      <c r="AB120" s="247"/>
      <c r="AC120" s="247"/>
      <c r="AD120" s="247"/>
      <c r="AE120" s="248"/>
      <c r="AF120" s="246" t="s">
        <v>244</v>
      </c>
      <c r="AG120" s="247"/>
      <c r="AH120" s="247"/>
      <c r="AI120" s="248"/>
      <c r="AJ120" s="720" t="s">
        <v>363</v>
      </c>
      <c r="AK120" s="720"/>
      <c r="AL120" s="720"/>
      <c r="AM120" s="720"/>
      <c r="AN120" s="249">
        <v>220</v>
      </c>
      <c r="AO120" s="249"/>
      <c r="AP120" s="249"/>
      <c r="AQ120" s="249" t="s">
        <v>42</v>
      </c>
      <c r="AR120" s="249"/>
      <c r="AS120" s="249"/>
      <c r="AT120" s="249"/>
      <c r="AU120" s="249"/>
      <c r="AV120" s="249"/>
      <c r="AW120" s="249"/>
      <c r="AX120" s="249" t="s">
        <v>362</v>
      </c>
      <c r="AY120" s="249"/>
      <c r="AZ120" s="249"/>
      <c r="BA120" s="249"/>
      <c r="BB120" s="249"/>
      <c r="BC120" s="249"/>
      <c r="BD120" s="249"/>
      <c r="BE120" s="249"/>
      <c r="BF120" s="249"/>
      <c r="BG120" s="249"/>
      <c r="BH120" s="249"/>
      <c r="BI120" s="249"/>
    </row>
    <row r="121" spans="1:61">
      <c r="G121" s="714"/>
      <c r="H121" s="714"/>
      <c r="I121" s="714"/>
      <c r="J121" s="714"/>
      <c r="K121" s="714"/>
      <c r="L121" s="714"/>
      <c r="M121" s="715" t="s">
        <v>364</v>
      </c>
      <c r="N121" s="223"/>
      <c r="O121" s="223"/>
      <c r="P121" s="223"/>
      <c r="Q121" s="223"/>
      <c r="R121" s="223"/>
      <c r="S121" s="223"/>
      <c r="T121" s="223"/>
      <c r="U121" s="223"/>
      <c r="V121" s="223"/>
      <c r="W121" s="223"/>
      <c r="X121" s="223"/>
      <c r="Y121" s="223"/>
      <c r="Z121" s="223"/>
      <c r="AA121" s="223"/>
      <c r="AB121" s="223"/>
      <c r="AC121" s="223"/>
      <c r="AD121" s="223"/>
      <c r="AE121" s="223"/>
      <c r="AF121" s="223"/>
      <c r="AG121" s="223"/>
      <c r="AH121" s="223"/>
      <c r="AI121" s="223"/>
      <c r="AJ121" s="223"/>
      <c r="AK121" s="223"/>
      <c r="AL121" s="223"/>
      <c r="AM121" s="223"/>
      <c r="AN121" s="223"/>
      <c r="AO121" s="223"/>
      <c r="AP121" s="223"/>
      <c r="AQ121" s="223"/>
      <c r="AR121" s="223"/>
      <c r="AS121" s="223"/>
      <c r="AT121" s="223"/>
      <c r="AU121" s="223"/>
      <c r="AV121" s="223"/>
      <c r="AW121" s="223"/>
      <c r="AX121" s="223"/>
      <c r="AY121" s="223"/>
      <c r="AZ121" s="223"/>
      <c r="BA121" s="223"/>
      <c r="BB121" s="223"/>
      <c r="BC121" s="223"/>
      <c r="BD121" s="223"/>
      <c r="BE121" s="223"/>
      <c r="BF121" s="223"/>
      <c r="BG121" s="223"/>
      <c r="BH121" s="223"/>
      <c r="BI121" s="224"/>
    </row>
    <row r="122" spans="1:61">
      <c r="A122" s="138" t="s">
        <v>292</v>
      </c>
      <c r="G122" s="750" t="s">
        <v>292</v>
      </c>
      <c r="H122" s="751"/>
      <c r="I122" s="751"/>
      <c r="J122" s="751"/>
      <c r="K122" s="751"/>
      <c r="L122" s="752"/>
      <c r="M122" s="246">
        <v>380</v>
      </c>
      <c r="N122" s="247"/>
      <c r="O122" s="248"/>
      <c r="P122" s="732" t="s">
        <v>280</v>
      </c>
      <c r="Q122" s="733"/>
      <c r="R122" s="733"/>
      <c r="S122" s="733"/>
      <c r="T122" s="733"/>
      <c r="U122" s="733"/>
      <c r="V122" s="733"/>
      <c r="W122" s="733"/>
      <c r="X122" s="733"/>
      <c r="Y122" s="733"/>
      <c r="Z122" s="733"/>
      <c r="AA122" s="733"/>
      <c r="AB122" s="733"/>
      <c r="AC122" s="733"/>
      <c r="AD122" s="733"/>
      <c r="AE122" s="734"/>
      <c r="AF122" s="246" t="s">
        <v>93</v>
      </c>
      <c r="AG122" s="247"/>
      <c r="AH122" s="247"/>
      <c r="AI122" s="248"/>
      <c r="AJ122" s="252">
        <v>1.05</v>
      </c>
      <c r="AK122" s="253"/>
      <c r="AL122" s="253"/>
      <c r="AM122" s="254"/>
      <c r="AN122" s="246">
        <v>220</v>
      </c>
      <c r="AO122" s="247"/>
      <c r="AP122" s="248"/>
      <c r="AQ122" s="246" t="s">
        <v>146</v>
      </c>
      <c r="AR122" s="247"/>
      <c r="AS122" s="247"/>
      <c r="AT122" s="247"/>
      <c r="AU122" s="247"/>
      <c r="AV122" s="247"/>
      <c r="AW122" s="248"/>
      <c r="AX122" s="246" t="s">
        <v>15</v>
      </c>
      <c r="AY122" s="247"/>
      <c r="AZ122" s="247"/>
      <c r="BA122" s="247"/>
      <c r="BB122" s="247"/>
      <c r="BC122" s="247"/>
      <c r="BD122" s="248"/>
      <c r="BE122" s="246"/>
      <c r="BF122" s="247"/>
      <c r="BG122" s="247"/>
      <c r="BH122" s="247"/>
      <c r="BI122" s="248"/>
    </row>
    <row r="123" spans="1:61">
      <c r="G123" s="756"/>
      <c r="H123" s="757"/>
      <c r="I123" s="757"/>
      <c r="J123" s="757"/>
      <c r="K123" s="757"/>
      <c r="L123" s="758"/>
      <c r="M123" s="715" t="s">
        <v>365</v>
      </c>
      <c r="N123" s="223"/>
      <c r="O123" s="223"/>
      <c r="P123" s="223"/>
      <c r="Q123" s="223"/>
      <c r="R123" s="223"/>
      <c r="S123" s="223"/>
      <c r="T123" s="223"/>
      <c r="U123" s="223"/>
      <c r="V123" s="223"/>
      <c r="W123" s="223"/>
      <c r="X123" s="223"/>
      <c r="Y123" s="223"/>
      <c r="Z123" s="223"/>
      <c r="AA123" s="223"/>
      <c r="AB123" s="223"/>
      <c r="AC123" s="223"/>
      <c r="AD123" s="223"/>
      <c r="AE123" s="223"/>
      <c r="AF123" s="223"/>
      <c r="AG123" s="223"/>
      <c r="AH123" s="223"/>
      <c r="AI123" s="223"/>
      <c r="AJ123" s="223"/>
      <c r="AK123" s="223"/>
      <c r="AL123" s="223"/>
      <c r="AM123" s="223"/>
      <c r="AN123" s="223"/>
      <c r="AO123" s="223"/>
      <c r="AP123" s="223"/>
      <c r="AQ123" s="223"/>
      <c r="AR123" s="223"/>
      <c r="AS123" s="223"/>
      <c r="AT123" s="223"/>
      <c r="AU123" s="223"/>
      <c r="AV123" s="223"/>
      <c r="AW123" s="223"/>
      <c r="AX123" s="223"/>
      <c r="AY123" s="223"/>
      <c r="AZ123" s="223"/>
      <c r="BA123" s="223"/>
      <c r="BB123" s="223"/>
      <c r="BC123" s="223"/>
      <c r="BD123" s="223"/>
      <c r="BE123" s="223"/>
      <c r="BF123" s="223"/>
      <c r="BG123" s="223"/>
      <c r="BH123" s="223"/>
      <c r="BI123" s="224"/>
    </row>
    <row r="124" spans="1:61">
      <c r="A124" s="135" t="s">
        <v>240</v>
      </c>
      <c r="G124" s="251" t="s">
        <v>240</v>
      </c>
      <c r="H124" s="251"/>
      <c r="I124" s="251"/>
      <c r="J124" s="251"/>
      <c r="K124" s="251"/>
      <c r="L124" s="251"/>
      <c r="M124" s="249">
        <v>380</v>
      </c>
      <c r="N124" s="249"/>
      <c r="O124" s="249"/>
      <c r="P124" s="249" t="s">
        <v>42</v>
      </c>
      <c r="Q124" s="249"/>
      <c r="R124" s="249"/>
      <c r="S124" s="249"/>
      <c r="T124" s="249"/>
      <c r="U124" s="249"/>
      <c r="V124" s="249"/>
      <c r="W124" s="249"/>
      <c r="X124" s="249" t="s">
        <v>92</v>
      </c>
      <c r="Y124" s="249"/>
      <c r="Z124" s="249"/>
      <c r="AA124" s="249"/>
      <c r="AB124" s="249"/>
      <c r="AC124" s="249"/>
      <c r="AD124" s="249"/>
      <c r="AE124" s="249"/>
      <c r="AF124" s="249" t="s">
        <v>93</v>
      </c>
      <c r="AG124" s="249"/>
      <c r="AH124" s="249"/>
      <c r="AI124" s="249"/>
      <c r="AJ124" s="252" t="s">
        <v>369</v>
      </c>
      <c r="AK124" s="253"/>
      <c r="AL124" s="253"/>
      <c r="AM124" s="254"/>
      <c r="AN124" s="246">
        <v>380</v>
      </c>
      <c r="AO124" s="247"/>
      <c r="AP124" s="248"/>
      <c r="AQ124" s="246" t="s">
        <v>238</v>
      </c>
      <c r="AR124" s="247"/>
      <c r="AS124" s="247"/>
      <c r="AT124" s="247"/>
      <c r="AU124" s="247"/>
      <c r="AV124" s="247"/>
      <c r="AW124" s="248"/>
      <c r="AX124" s="238" t="s">
        <v>15</v>
      </c>
      <c r="AY124" s="239"/>
      <c r="AZ124" s="239"/>
      <c r="BA124" s="239"/>
      <c r="BB124" s="239"/>
      <c r="BC124" s="239"/>
      <c r="BD124" s="240"/>
      <c r="BE124" s="246"/>
      <c r="BF124" s="247"/>
      <c r="BG124" s="247"/>
      <c r="BH124" s="247"/>
      <c r="BI124" s="248"/>
    </row>
    <row r="125" spans="1:61">
      <c r="G125" s="251"/>
      <c r="H125" s="251"/>
      <c r="I125" s="251"/>
      <c r="J125" s="251"/>
      <c r="K125" s="251"/>
      <c r="L125" s="251"/>
      <c r="M125" s="249"/>
      <c r="N125" s="249"/>
      <c r="O125" s="249"/>
      <c r="P125" s="249"/>
      <c r="Q125" s="249"/>
      <c r="R125" s="249"/>
      <c r="S125" s="249"/>
      <c r="T125" s="249"/>
      <c r="U125" s="249"/>
      <c r="V125" s="249"/>
      <c r="W125" s="249"/>
      <c r="X125" s="249"/>
      <c r="Y125" s="249"/>
      <c r="Z125" s="249"/>
      <c r="AA125" s="249"/>
      <c r="AB125" s="249"/>
      <c r="AC125" s="249"/>
      <c r="AD125" s="249"/>
      <c r="AE125" s="249"/>
      <c r="AF125" s="249"/>
      <c r="AG125" s="249"/>
      <c r="AH125" s="249"/>
      <c r="AI125" s="249"/>
      <c r="AJ125" s="252">
        <v>1.02</v>
      </c>
      <c r="AK125" s="253"/>
      <c r="AL125" s="253"/>
      <c r="AM125" s="254"/>
      <c r="AN125" s="246">
        <v>220</v>
      </c>
      <c r="AO125" s="247"/>
      <c r="AP125" s="248"/>
      <c r="AQ125" s="246" t="s">
        <v>159</v>
      </c>
      <c r="AR125" s="247"/>
      <c r="AS125" s="247"/>
      <c r="AT125" s="247"/>
      <c r="AU125" s="247"/>
      <c r="AV125" s="247"/>
      <c r="AW125" s="248"/>
      <c r="AX125" s="238" t="s">
        <v>257</v>
      </c>
      <c r="AY125" s="239"/>
      <c r="AZ125" s="239"/>
      <c r="BA125" s="239"/>
      <c r="BB125" s="239"/>
      <c r="BC125" s="239"/>
      <c r="BD125" s="240"/>
      <c r="BE125" s="171"/>
      <c r="BF125" s="171"/>
      <c r="BG125" s="171"/>
      <c r="BH125" s="171"/>
      <c r="BI125" s="172"/>
    </row>
    <row r="126" spans="1:61" ht="25.5" customHeight="1">
      <c r="G126" s="251"/>
      <c r="H126" s="251"/>
      <c r="I126" s="251"/>
      <c r="J126" s="251"/>
      <c r="K126" s="251"/>
      <c r="L126" s="251"/>
      <c r="M126" s="222" t="s">
        <v>370</v>
      </c>
      <c r="N126" s="255"/>
      <c r="O126" s="255"/>
      <c r="P126" s="255"/>
      <c r="Q126" s="255"/>
      <c r="R126" s="255"/>
      <c r="S126" s="255"/>
      <c r="T126" s="255"/>
      <c r="U126" s="255"/>
      <c r="V126" s="255"/>
      <c r="W126" s="255"/>
      <c r="X126" s="255"/>
      <c r="Y126" s="255"/>
      <c r="Z126" s="255"/>
      <c r="AA126" s="255"/>
      <c r="AB126" s="255"/>
      <c r="AC126" s="255"/>
      <c r="AD126" s="255"/>
      <c r="AE126" s="255"/>
      <c r="AF126" s="255"/>
      <c r="AG126" s="255"/>
      <c r="AH126" s="255"/>
      <c r="AI126" s="255"/>
      <c r="AJ126" s="255"/>
      <c r="AK126" s="255"/>
      <c r="AL126" s="255"/>
      <c r="AM126" s="255"/>
      <c r="AN126" s="255"/>
      <c r="AO126" s="255"/>
      <c r="AP126" s="255"/>
      <c r="AQ126" s="255"/>
      <c r="AR126" s="255"/>
      <c r="AS126" s="255"/>
      <c r="AT126" s="255"/>
      <c r="AU126" s="255"/>
      <c r="AV126" s="255"/>
      <c r="AW126" s="255"/>
      <c r="AX126" s="255"/>
      <c r="AY126" s="255"/>
      <c r="AZ126" s="255"/>
      <c r="BA126" s="255"/>
      <c r="BB126" s="255"/>
      <c r="BC126" s="255"/>
      <c r="BD126" s="255"/>
      <c r="BE126" s="255"/>
      <c r="BF126" s="255"/>
      <c r="BG126" s="255"/>
      <c r="BH126" s="255"/>
      <c r="BI126" s="256"/>
    </row>
    <row r="127" spans="1:61">
      <c r="G127" s="714" t="s">
        <v>38</v>
      </c>
      <c r="H127" s="714"/>
      <c r="I127" s="714"/>
      <c r="J127" s="714"/>
      <c r="K127" s="714"/>
      <c r="L127" s="714"/>
      <c r="M127" s="246">
        <v>380</v>
      </c>
      <c r="N127" s="247"/>
      <c r="O127" s="248"/>
      <c r="P127" s="246" t="s">
        <v>42</v>
      </c>
      <c r="Q127" s="247"/>
      <c r="R127" s="247"/>
      <c r="S127" s="247"/>
      <c r="T127" s="247"/>
      <c r="U127" s="247"/>
      <c r="V127" s="247"/>
      <c r="W127" s="248"/>
      <c r="X127" s="246" t="s">
        <v>238</v>
      </c>
      <c r="Y127" s="247"/>
      <c r="Z127" s="247"/>
      <c r="AA127" s="247"/>
      <c r="AB127" s="247"/>
      <c r="AC127" s="247"/>
      <c r="AD127" s="247"/>
      <c r="AE127" s="248"/>
      <c r="AF127" s="246" t="s">
        <v>244</v>
      </c>
      <c r="AG127" s="247"/>
      <c r="AH127" s="247"/>
      <c r="AI127" s="248"/>
      <c r="AJ127" s="720">
        <v>1.0900000000000001</v>
      </c>
      <c r="AK127" s="720"/>
      <c r="AL127" s="720"/>
      <c r="AM127" s="720"/>
      <c r="AN127" s="249">
        <v>220</v>
      </c>
      <c r="AO127" s="249"/>
      <c r="AP127" s="249"/>
      <c r="AQ127" s="249" t="s">
        <v>42</v>
      </c>
      <c r="AR127" s="249"/>
      <c r="AS127" s="249"/>
      <c r="AT127" s="249"/>
      <c r="AU127" s="249"/>
      <c r="AV127" s="249"/>
      <c r="AW127" s="249"/>
      <c r="AX127" s="249" t="s">
        <v>362</v>
      </c>
      <c r="AY127" s="249"/>
      <c r="AZ127" s="249"/>
      <c r="BA127" s="249"/>
      <c r="BB127" s="249"/>
      <c r="BC127" s="249"/>
      <c r="BD127" s="249"/>
      <c r="BE127" s="249"/>
      <c r="BF127" s="249"/>
      <c r="BG127" s="249"/>
      <c r="BH127" s="249"/>
      <c r="BI127" s="249"/>
    </row>
    <row r="128" spans="1:61" ht="27.75" customHeight="1">
      <c r="G128" s="714"/>
      <c r="H128" s="714"/>
      <c r="I128" s="714"/>
      <c r="J128" s="714"/>
      <c r="K128" s="714"/>
      <c r="L128" s="714"/>
      <c r="M128" s="715" t="s">
        <v>373</v>
      </c>
      <c r="N128" s="223"/>
      <c r="O128" s="223"/>
      <c r="P128" s="223"/>
      <c r="Q128" s="223"/>
      <c r="R128" s="223"/>
      <c r="S128" s="223"/>
      <c r="T128" s="223"/>
      <c r="U128" s="223"/>
      <c r="V128" s="223"/>
      <c r="W128" s="223"/>
      <c r="X128" s="223"/>
      <c r="Y128" s="223"/>
      <c r="Z128" s="223"/>
      <c r="AA128" s="223"/>
      <c r="AB128" s="223"/>
      <c r="AC128" s="223"/>
      <c r="AD128" s="223"/>
      <c r="AE128" s="223"/>
      <c r="AF128" s="223"/>
      <c r="AG128" s="223"/>
      <c r="AH128" s="223"/>
      <c r="AI128" s="223"/>
      <c r="AJ128" s="223"/>
      <c r="AK128" s="223"/>
      <c r="AL128" s="223"/>
      <c r="AM128" s="223"/>
      <c r="AN128" s="223"/>
      <c r="AO128" s="223"/>
      <c r="AP128" s="223"/>
      <c r="AQ128" s="223"/>
      <c r="AR128" s="223"/>
      <c r="AS128" s="223"/>
      <c r="AT128" s="223"/>
      <c r="AU128" s="223"/>
      <c r="AV128" s="223"/>
      <c r="AW128" s="223"/>
      <c r="AX128" s="223"/>
      <c r="AY128" s="223"/>
      <c r="AZ128" s="223"/>
      <c r="BA128" s="223"/>
      <c r="BB128" s="223"/>
      <c r="BC128" s="223"/>
      <c r="BD128" s="223"/>
      <c r="BE128" s="223"/>
      <c r="BF128" s="223"/>
      <c r="BG128" s="223"/>
      <c r="BH128" s="223"/>
      <c r="BI128" s="224"/>
    </row>
    <row r="129" spans="7:61">
      <c r="G129" s="750" t="s">
        <v>292</v>
      </c>
      <c r="H129" s="751"/>
      <c r="I129" s="751"/>
      <c r="J129" s="751"/>
      <c r="K129" s="751"/>
      <c r="L129" s="752"/>
      <c r="M129" s="246">
        <v>380</v>
      </c>
      <c r="N129" s="247"/>
      <c r="O129" s="248"/>
      <c r="P129" s="732" t="s">
        <v>280</v>
      </c>
      <c r="Q129" s="733"/>
      <c r="R129" s="733"/>
      <c r="S129" s="733"/>
      <c r="T129" s="733"/>
      <c r="U129" s="733"/>
      <c r="V129" s="733"/>
      <c r="W129" s="733"/>
      <c r="X129" s="733"/>
      <c r="Y129" s="733"/>
      <c r="Z129" s="733"/>
      <c r="AA129" s="733"/>
      <c r="AB129" s="733"/>
      <c r="AC129" s="733"/>
      <c r="AD129" s="733"/>
      <c r="AE129" s="734"/>
      <c r="AF129" s="246" t="s">
        <v>93</v>
      </c>
      <c r="AG129" s="247"/>
      <c r="AH129" s="247"/>
      <c r="AI129" s="248"/>
      <c r="AJ129" s="252">
        <v>1</v>
      </c>
      <c r="AK129" s="253"/>
      <c r="AL129" s="253"/>
      <c r="AM129" s="254"/>
      <c r="AN129" s="246">
        <v>220</v>
      </c>
      <c r="AO129" s="247"/>
      <c r="AP129" s="248"/>
      <c r="AQ129" s="246" t="s">
        <v>146</v>
      </c>
      <c r="AR129" s="247"/>
      <c r="AS129" s="247"/>
      <c r="AT129" s="247"/>
      <c r="AU129" s="247"/>
      <c r="AV129" s="247"/>
      <c r="AW129" s="248"/>
      <c r="AX129" s="246" t="s">
        <v>15</v>
      </c>
      <c r="AY129" s="247"/>
      <c r="AZ129" s="247"/>
      <c r="BA129" s="247"/>
      <c r="BB129" s="247"/>
      <c r="BC129" s="247"/>
      <c r="BD129" s="248"/>
      <c r="BE129" s="246"/>
      <c r="BF129" s="247"/>
      <c r="BG129" s="247"/>
      <c r="BH129" s="247"/>
      <c r="BI129" s="248"/>
    </row>
    <row r="130" spans="7:61">
      <c r="G130" s="756"/>
      <c r="H130" s="757"/>
      <c r="I130" s="757"/>
      <c r="J130" s="757"/>
      <c r="K130" s="757"/>
      <c r="L130" s="758"/>
      <c r="M130" s="715" t="s">
        <v>375</v>
      </c>
      <c r="N130" s="223"/>
      <c r="O130" s="223"/>
      <c r="P130" s="223"/>
      <c r="Q130" s="223"/>
      <c r="R130" s="223"/>
      <c r="S130" s="223"/>
      <c r="T130" s="223"/>
      <c r="U130" s="223"/>
      <c r="V130" s="223"/>
      <c r="W130" s="223"/>
      <c r="X130" s="223"/>
      <c r="Y130" s="223"/>
      <c r="Z130" s="223"/>
      <c r="AA130" s="223"/>
      <c r="AB130" s="223"/>
      <c r="AC130" s="223"/>
      <c r="AD130" s="223"/>
      <c r="AE130" s="223"/>
      <c r="AF130" s="223"/>
      <c r="AG130" s="223"/>
      <c r="AH130" s="223"/>
      <c r="AI130" s="223"/>
      <c r="AJ130" s="223"/>
      <c r="AK130" s="223"/>
      <c r="AL130" s="223"/>
      <c r="AM130" s="223"/>
      <c r="AN130" s="223"/>
      <c r="AO130" s="223"/>
      <c r="AP130" s="223"/>
      <c r="AQ130" s="223"/>
      <c r="AR130" s="223"/>
      <c r="AS130" s="223"/>
      <c r="AT130" s="223"/>
      <c r="AU130" s="223"/>
      <c r="AV130" s="223"/>
      <c r="AW130" s="223"/>
      <c r="AX130" s="223"/>
      <c r="AY130" s="223"/>
      <c r="AZ130" s="223"/>
      <c r="BA130" s="223"/>
      <c r="BB130" s="223"/>
      <c r="BC130" s="223"/>
      <c r="BD130" s="223"/>
      <c r="BE130" s="223"/>
      <c r="BF130" s="223"/>
      <c r="BG130" s="223"/>
      <c r="BH130" s="223"/>
      <c r="BI130" s="224"/>
    </row>
    <row r="131" spans="7:61">
      <c r="G131" s="750" t="s">
        <v>292</v>
      </c>
      <c r="H131" s="751"/>
      <c r="I131" s="751"/>
      <c r="J131" s="751"/>
      <c r="K131" s="751"/>
      <c r="L131" s="752"/>
      <c r="M131" s="246">
        <v>380</v>
      </c>
      <c r="N131" s="247"/>
      <c r="O131" s="248"/>
      <c r="P131" s="732" t="s">
        <v>280</v>
      </c>
      <c r="Q131" s="733"/>
      <c r="R131" s="733"/>
      <c r="S131" s="733"/>
      <c r="T131" s="733"/>
      <c r="U131" s="733"/>
      <c r="V131" s="733"/>
      <c r="W131" s="733"/>
      <c r="X131" s="733"/>
      <c r="Y131" s="733"/>
      <c r="Z131" s="733"/>
      <c r="AA131" s="733"/>
      <c r="AB131" s="733"/>
      <c r="AC131" s="733"/>
      <c r="AD131" s="733"/>
      <c r="AE131" s="734"/>
      <c r="AF131" s="246" t="s">
        <v>93</v>
      </c>
      <c r="AG131" s="247"/>
      <c r="AH131" s="247"/>
      <c r="AI131" s="248"/>
      <c r="AJ131" s="252">
        <v>0.96</v>
      </c>
      <c r="AK131" s="253"/>
      <c r="AL131" s="253"/>
      <c r="AM131" s="254"/>
      <c r="AN131" s="246">
        <v>220</v>
      </c>
      <c r="AO131" s="247"/>
      <c r="AP131" s="248"/>
      <c r="AQ131" s="246" t="s">
        <v>146</v>
      </c>
      <c r="AR131" s="247"/>
      <c r="AS131" s="247"/>
      <c r="AT131" s="247"/>
      <c r="AU131" s="247"/>
      <c r="AV131" s="247"/>
      <c r="AW131" s="248"/>
      <c r="AX131" s="246" t="s">
        <v>15</v>
      </c>
      <c r="AY131" s="247"/>
      <c r="AZ131" s="247"/>
      <c r="BA131" s="247"/>
      <c r="BB131" s="247"/>
      <c r="BC131" s="247"/>
      <c r="BD131" s="248"/>
      <c r="BE131" s="246"/>
      <c r="BF131" s="247"/>
      <c r="BG131" s="247"/>
      <c r="BH131" s="247"/>
      <c r="BI131" s="248"/>
    </row>
    <row r="132" spans="7:61">
      <c r="G132" s="756"/>
      <c r="H132" s="757"/>
      <c r="I132" s="757"/>
      <c r="J132" s="757"/>
      <c r="K132" s="757"/>
      <c r="L132" s="758"/>
      <c r="M132" s="222" t="s">
        <v>374</v>
      </c>
      <c r="N132" s="699"/>
      <c r="O132" s="699"/>
      <c r="P132" s="699"/>
      <c r="Q132" s="699"/>
      <c r="R132" s="699"/>
      <c r="S132" s="699"/>
      <c r="T132" s="699"/>
      <c r="U132" s="699"/>
      <c r="V132" s="699"/>
      <c r="W132" s="699"/>
      <c r="X132" s="699"/>
      <c r="Y132" s="699"/>
      <c r="Z132" s="699"/>
      <c r="AA132" s="699"/>
      <c r="AB132" s="699"/>
      <c r="AC132" s="699"/>
      <c r="AD132" s="699"/>
      <c r="AE132" s="699"/>
      <c r="AF132" s="699"/>
      <c r="AG132" s="699"/>
      <c r="AH132" s="699"/>
      <c r="AI132" s="699"/>
      <c r="AJ132" s="699"/>
      <c r="AK132" s="699"/>
      <c r="AL132" s="699"/>
      <c r="AM132" s="699"/>
      <c r="AN132" s="699"/>
      <c r="AO132" s="699"/>
      <c r="AP132" s="699"/>
      <c r="AQ132" s="699"/>
      <c r="AR132" s="699"/>
      <c r="AS132" s="699"/>
      <c r="AT132" s="699"/>
      <c r="AU132" s="699"/>
      <c r="AV132" s="699"/>
      <c r="AW132" s="699"/>
      <c r="AX132" s="699"/>
      <c r="AY132" s="699"/>
      <c r="AZ132" s="699"/>
      <c r="BA132" s="699"/>
      <c r="BB132" s="699"/>
      <c r="BC132" s="699"/>
      <c r="BD132" s="699"/>
      <c r="BE132" s="699"/>
      <c r="BF132" s="699"/>
      <c r="BG132" s="699"/>
      <c r="BH132" s="699"/>
      <c r="BI132" s="700"/>
    </row>
    <row r="133" spans="7:61">
      <c r="G133" s="750" t="s">
        <v>21</v>
      </c>
      <c r="H133" s="751"/>
      <c r="I133" s="751"/>
      <c r="J133" s="751"/>
      <c r="K133" s="751"/>
      <c r="L133" s="752"/>
      <c r="M133" s="246">
        <v>380</v>
      </c>
      <c r="N133" s="247"/>
      <c r="O133" s="248"/>
      <c r="P133" s="794" t="s">
        <v>142</v>
      </c>
      <c r="Q133" s="794"/>
      <c r="R133" s="794"/>
      <c r="S133" s="794"/>
      <c r="T133" s="794"/>
      <c r="U133" s="794"/>
      <c r="V133" s="794"/>
      <c r="W133" s="794"/>
      <c r="X133" s="794" t="s">
        <v>92</v>
      </c>
      <c r="Y133" s="794"/>
      <c r="Z133" s="794"/>
      <c r="AA133" s="794"/>
      <c r="AB133" s="794"/>
      <c r="AC133" s="794"/>
      <c r="AD133" s="794"/>
      <c r="AE133" s="794"/>
      <c r="AF133" s="246" t="s">
        <v>223</v>
      </c>
      <c r="AG133" s="247"/>
      <c r="AH133" s="247"/>
      <c r="AI133" s="248"/>
      <c r="AJ133" s="252">
        <v>1.01</v>
      </c>
      <c r="AK133" s="253"/>
      <c r="AL133" s="253"/>
      <c r="AM133" s="254"/>
      <c r="AN133" s="246">
        <v>380</v>
      </c>
      <c r="AO133" s="247"/>
      <c r="AP133" s="248"/>
      <c r="AQ133" s="246" t="s">
        <v>380</v>
      </c>
      <c r="AR133" s="247"/>
      <c r="AS133" s="247"/>
      <c r="AT133" s="247"/>
      <c r="AU133" s="247"/>
      <c r="AV133" s="247"/>
      <c r="AW133" s="248"/>
      <c r="AX133" s="246" t="s">
        <v>225</v>
      </c>
      <c r="AY133" s="247"/>
      <c r="AZ133" s="247"/>
      <c r="BA133" s="247"/>
      <c r="BB133" s="247"/>
      <c r="BC133" s="247"/>
      <c r="BD133" s="248"/>
      <c r="BE133" s="246"/>
      <c r="BF133" s="247"/>
      <c r="BG133" s="247"/>
      <c r="BH133" s="247"/>
      <c r="BI133" s="248"/>
    </row>
    <row r="134" spans="7:61">
      <c r="G134" s="756"/>
      <c r="H134" s="757"/>
      <c r="I134" s="757"/>
      <c r="J134" s="757"/>
      <c r="K134" s="757"/>
      <c r="L134" s="758"/>
      <c r="M134" s="715" t="s">
        <v>381</v>
      </c>
      <c r="N134" s="223"/>
      <c r="O134" s="223"/>
      <c r="P134" s="223"/>
      <c r="Q134" s="223"/>
      <c r="R134" s="223"/>
      <c r="S134" s="223"/>
      <c r="T134" s="223"/>
      <c r="U134" s="223"/>
      <c r="V134" s="223"/>
      <c r="W134" s="223"/>
      <c r="X134" s="223"/>
      <c r="Y134" s="223"/>
      <c r="Z134" s="223"/>
      <c r="AA134" s="223"/>
      <c r="AB134" s="223"/>
      <c r="AC134" s="223"/>
      <c r="AD134" s="223"/>
      <c r="AE134" s="223"/>
      <c r="AF134" s="223"/>
      <c r="AG134" s="223"/>
      <c r="AH134" s="223"/>
      <c r="AI134" s="223"/>
      <c r="AJ134" s="223"/>
      <c r="AK134" s="223"/>
      <c r="AL134" s="223"/>
      <c r="AM134" s="223"/>
      <c r="AN134" s="223"/>
      <c r="AO134" s="223"/>
      <c r="AP134" s="223"/>
      <c r="AQ134" s="223"/>
      <c r="AR134" s="223"/>
      <c r="AS134" s="223"/>
      <c r="AT134" s="223"/>
      <c r="AU134" s="223"/>
      <c r="AV134" s="223"/>
      <c r="AW134" s="223"/>
      <c r="AX134" s="223"/>
      <c r="AY134" s="223"/>
      <c r="AZ134" s="223"/>
      <c r="BA134" s="223"/>
      <c r="BB134" s="223"/>
      <c r="BC134" s="223"/>
      <c r="BD134" s="223"/>
      <c r="BE134" s="223"/>
      <c r="BF134" s="223"/>
      <c r="BG134" s="223"/>
      <c r="BH134" s="223"/>
      <c r="BI134" s="224"/>
    </row>
    <row r="135" spans="7:61">
      <c r="G135" s="722" t="s">
        <v>384</v>
      </c>
      <c r="H135" s="723"/>
      <c r="I135" s="723"/>
      <c r="J135" s="723"/>
      <c r="K135" s="723"/>
      <c r="L135" s="724"/>
      <c r="M135" s="246">
        <v>400</v>
      </c>
      <c r="N135" s="247"/>
      <c r="O135" s="248"/>
      <c r="P135" s="246" t="s">
        <v>385</v>
      </c>
      <c r="Q135" s="247"/>
      <c r="R135" s="247"/>
      <c r="S135" s="247"/>
      <c r="T135" s="247"/>
      <c r="U135" s="247"/>
      <c r="V135" s="247"/>
      <c r="W135" s="248"/>
      <c r="X135" s="246" t="s">
        <v>212</v>
      </c>
      <c r="Y135" s="247"/>
      <c r="Z135" s="247"/>
      <c r="AA135" s="247"/>
      <c r="AB135" s="247"/>
      <c r="AC135" s="247"/>
      <c r="AD135" s="247"/>
      <c r="AE135" s="248"/>
      <c r="AF135" s="246" t="s">
        <v>386</v>
      </c>
      <c r="AG135" s="247"/>
      <c r="AH135" s="247"/>
      <c r="AI135" s="248"/>
      <c r="AJ135" s="265">
        <v>1.07</v>
      </c>
      <c r="AK135" s="244"/>
      <c r="AL135" s="244"/>
      <c r="AM135" s="245"/>
      <c r="AN135" s="238">
        <v>220</v>
      </c>
      <c r="AO135" s="239"/>
      <c r="AP135" s="240"/>
      <c r="AQ135" s="238" t="s">
        <v>146</v>
      </c>
      <c r="AR135" s="239"/>
      <c r="AS135" s="239"/>
      <c r="AT135" s="239"/>
      <c r="AU135" s="239"/>
      <c r="AV135" s="239"/>
      <c r="AW135" s="240"/>
      <c r="AX135" s="238" t="s">
        <v>158</v>
      </c>
      <c r="AY135" s="239"/>
      <c r="AZ135" s="239"/>
      <c r="BA135" s="239"/>
      <c r="BB135" s="239"/>
      <c r="BC135" s="239"/>
      <c r="BD135" s="240"/>
      <c r="BE135" s="246"/>
      <c r="BF135" s="247"/>
      <c r="BG135" s="247"/>
      <c r="BH135" s="247"/>
      <c r="BI135" s="248"/>
    </row>
    <row r="136" spans="7:61">
      <c r="G136" s="725"/>
      <c r="H136" s="726"/>
      <c r="I136" s="726"/>
      <c r="J136" s="726"/>
      <c r="K136" s="726"/>
      <c r="L136" s="727"/>
      <c r="M136" s="222" t="s">
        <v>387</v>
      </c>
      <c r="N136" s="223"/>
      <c r="O136" s="223"/>
      <c r="P136" s="223"/>
      <c r="Q136" s="223"/>
      <c r="R136" s="223"/>
      <c r="S136" s="223"/>
      <c r="T136" s="223"/>
      <c r="U136" s="223"/>
      <c r="V136" s="223"/>
      <c r="W136" s="223"/>
      <c r="X136" s="223"/>
      <c r="Y136" s="223"/>
      <c r="Z136" s="223"/>
      <c r="AA136" s="223"/>
      <c r="AB136" s="223"/>
      <c r="AC136" s="223"/>
      <c r="AD136" s="223"/>
      <c r="AE136" s="223"/>
      <c r="AF136" s="223"/>
      <c r="AG136" s="223"/>
      <c r="AH136" s="223"/>
      <c r="AI136" s="223"/>
      <c r="AJ136" s="223"/>
      <c r="AK136" s="223"/>
      <c r="AL136" s="223"/>
      <c r="AM136" s="223"/>
      <c r="AN136" s="223"/>
      <c r="AO136" s="223"/>
      <c r="AP136" s="223"/>
      <c r="AQ136" s="223"/>
      <c r="AR136" s="223"/>
      <c r="AS136" s="223"/>
      <c r="AT136" s="223"/>
      <c r="AU136" s="223"/>
      <c r="AV136" s="223"/>
      <c r="AW136" s="223"/>
      <c r="AX136" s="223"/>
      <c r="AY136" s="223"/>
      <c r="AZ136" s="223"/>
      <c r="BA136" s="223"/>
      <c r="BB136" s="223"/>
      <c r="BC136" s="223"/>
      <c r="BD136" s="223"/>
      <c r="BE136" s="223"/>
      <c r="BF136" s="223"/>
      <c r="BG136" s="223"/>
      <c r="BH136" s="223"/>
      <c r="BI136" s="224"/>
    </row>
    <row r="137" spans="7:61">
      <c r="G137" s="722" t="s">
        <v>384</v>
      </c>
      <c r="H137" s="723"/>
      <c r="I137" s="723"/>
      <c r="J137" s="723"/>
      <c r="K137" s="723"/>
      <c r="L137" s="724"/>
      <c r="M137" s="246">
        <v>400</v>
      </c>
      <c r="N137" s="247"/>
      <c r="O137" s="248"/>
      <c r="P137" s="246" t="s">
        <v>385</v>
      </c>
      <c r="Q137" s="247"/>
      <c r="R137" s="247"/>
      <c r="S137" s="247"/>
      <c r="T137" s="247"/>
      <c r="U137" s="247"/>
      <c r="V137" s="247"/>
      <c r="W137" s="248"/>
      <c r="X137" s="246" t="s">
        <v>212</v>
      </c>
      <c r="Y137" s="247"/>
      <c r="Z137" s="247"/>
      <c r="AA137" s="247"/>
      <c r="AB137" s="247"/>
      <c r="AC137" s="247"/>
      <c r="AD137" s="247"/>
      <c r="AE137" s="248"/>
      <c r="AF137" s="246" t="s">
        <v>386</v>
      </c>
      <c r="AG137" s="247"/>
      <c r="AH137" s="247"/>
      <c r="AI137" s="248"/>
      <c r="AJ137" s="265">
        <v>1.06</v>
      </c>
      <c r="AK137" s="244"/>
      <c r="AL137" s="244"/>
      <c r="AM137" s="245"/>
      <c r="AN137" s="238">
        <v>220</v>
      </c>
      <c r="AO137" s="239"/>
      <c r="AP137" s="240"/>
      <c r="AQ137" s="238" t="s">
        <v>146</v>
      </c>
      <c r="AR137" s="239"/>
      <c r="AS137" s="239"/>
      <c r="AT137" s="239"/>
      <c r="AU137" s="239"/>
      <c r="AV137" s="239"/>
      <c r="AW137" s="240"/>
      <c r="AX137" s="238" t="s">
        <v>158</v>
      </c>
      <c r="AY137" s="239"/>
      <c r="AZ137" s="239"/>
      <c r="BA137" s="239"/>
      <c r="BB137" s="239"/>
      <c r="BC137" s="239"/>
      <c r="BD137" s="240"/>
      <c r="BE137" s="246"/>
      <c r="BF137" s="247"/>
      <c r="BG137" s="247"/>
      <c r="BH137" s="247"/>
      <c r="BI137" s="248"/>
    </row>
    <row r="138" spans="7:61">
      <c r="G138" s="725"/>
      <c r="H138" s="726"/>
      <c r="I138" s="726"/>
      <c r="J138" s="726"/>
      <c r="K138" s="726"/>
      <c r="L138" s="727"/>
      <c r="M138" s="222" t="s">
        <v>392</v>
      </c>
      <c r="N138" s="223"/>
      <c r="O138" s="223"/>
      <c r="P138" s="223"/>
      <c r="Q138" s="223"/>
      <c r="R138" s="223"/>
      <c r="S138" s="223"/>
      <c r="T138" s="223"/>
      <c r="U138" s="223"/>
      <c r="V138" s="223"/>
      <c r="W138" s="223"/>
      <c r="X138" s="223"/>
      <c r="Y138" s="223"/>
      <c r="Z138" s="223"/>
      <c r="AA138" s="223"/>
      <c r="AB138" s="223"/>
      <c r="AC138" s="223"/>
      <c r="AD138" s="223"/>
      <c r="AE138" s="223"/>
      <c r="AF138" s="223"/>
      <c r="AG138" s="223"/>
      <c r="AH138" s="223"/>
      <c r="AI138" s="223"/>
      <c r="AJ138" s="223"/>
      <c r="AK138" s="223"/>
      <c r="AL138" s="223"/>
      <c r="AM138" s="223"/>
      <c r="AN138" s="223"/>
      <c r="AO138" s="223"/>
      <c r="AP138" s="223"/>
      <c r="AQ138" s="223"/>
      <c r="AR138" s="223"/>
      <c r="AS138" s="223"/>
      <c r="AT138" s="223"/>
      <c r="AU138" s="223"/>
      <c r="AV138" s="223"/>
      <c r="AW138" s="223"/>
      <c r="AX138" s="223"/>
      <c r="AY138" s="223"/>
      <c r="AZ138" s="223"/>
      <c r="BA138" s="223"/>
      <c r="BB138" s="223"/>
      <c r="BC138" s="223"/>
      <c r="BD138" s="223"/>
      <c r="BE138" s="223"/>
      <c r="BF138" s="223"/>
      <c r="BG138" s="223"/>
      <c r="BH138" s="223"/>
      <c r="BI138" s="224"/>
    </row>
    <row r="139" spans="7:61">
      <c r="G139" s="795" t="s">
        <v>240</v>
      </c>
      <c r="H139" s="795"/>
      <c r="I139" s="795"/>
      <c r="J139" s="795"/>
      <c r="K139" s="795"/>
      <c r="L139" s="795"/>
      <c r="M139" s="246">
        <v>400</v>
      </c>
      <c r="N139" s="247"/>
      <c r="O139" s="248"/>
      <c r="P139" s="246" t="s">
        <v>42</v>
      </c>
      <c r="Q139" s="247"/>
      <c r="R139" s="247"/>
      <c r="S139" s="247"/>
      <c r="T139" s="247"/>
      <c r="U139" s="247"/>
      <c r="V139" s="247"/>
      <c r="W139" s="248"/>
      <c r="X139" s="246" t="s">
        <v>390</v>
      </c>
      <c r="Y139" s="247"/>
      <c r="Z139" s="247"/>
      <c r="AA139" s="247"/>
      <c r="AB139" s="247"/>
      <c r="AC139" s="247"/>
      <c r="AD139" s="247"/>
      <c r="AE139" s="248"/>
      <c r="AF139" s="246" t="s">
        <v>223</v>
      </c>
      <c r="AG139" s="247"/>
      <c r="AH139" s="247"/>
      <c r="AI139" s="248"/>
      <c r="AJ139" s="720">
        <v>1.1100000000000001</v>
      </c>
      <c r="AK139" s="720"/>
      <c r="AL139" s="720"/>
      <c r="AM139" s="720"/>
      <c r="AN139" s="796" t="s">
        <v>388</v>
      </c>
      <c r="AO139" s="796"/>
      <c r="AP139" s="796"/>
      <c r="AQ139" s="249" t="s">
        <v>238</v>
      </c>
      <c r="AR139" s="249"/>
      <c r="AS139" s="249"/>
      <c r="AT139" s="249"/>
      <c r="AU139" s="249"/>
      <c r="AV139" s="249"/>
      <c r="AW139" s="249"/>
      <c r="AX139" s="249" t="s">
        <v>389</v>
      </c>
      <c r="AY139" s="249"/>
      <c r="AZ139" s="249"/>
      <c r="BA139" s="249"/>
      <c r="BB139" s="249"/>
      <c r="BC139" s="249"/>
      <c r="BD139" s="249"/>
      <c r="BE139" s="249"/>
      <c r="BF139" s="249"/>
      <c r="BG139" s="249"/>
      <c r="BH139" s="249"/>
      <c r="BI139" s="249"/>
    </row>
    <row r="140" spans="7:61">
      <c r="G140" s="795"/>
      <c r="H140" s="795"/>
      <c r="I140" s="795"/>
      <c r="J140" s="795"/>
      <c r="K140" s="795"/>
      <c r="L140" s="795"/>
      <c r="M140" s="222" t="s">
        <v>391</v>
      </c>
      <c r="N140" s="223"/>
      <c r="O140" s="223"/>
      <c r="P140" s="223"/>
      <c r="Q140" s="223"/>
      <c r="R140" s="223"/>
      <c r="S140" s="223"/>
      <c r="T140" s="223"/>
      <c r="U140" s="223"/>
      <c r="V140" s="223"/>
      <c r="W140" s="223"/>
      <c r="X140" s="223"/>
      <c r="Y140" s="223"/>
      <c r="Z140" s="223"/>
      <c r="AA140" s="223"/>
      <c r="AB140" s="223"/>
      <c r="AC140" s="223"/>
      <c r="AD140" s="223"/>
      <c r="AE140" s="223"/>
      <c r="AF140" s="223"/>
      <c r="AG140" s="223"/>
      <c r="AH140" s="223"/>
      <c r="AI140" s="223"/>
      <c r="AJ140" s="223"/>
      <c r="AK140" s="223"/>
      <c r="AL140" s="223"/>
      <c r="AM140" s="223"/>
      <c r="AN140" s="223"/>
      <c r="AO140" s="223"/>
      <c r="AP140" s="223"/>
      <c r="AQ140" s="223"/>
      <c r="AR140" s="223"/>
      <c r="AS140" s="223"/>
      <c r="AT140" s="223"/>
      <c r="AU140" s="223"/>
      <c r="AV140" s="223"/>
      <c r="AW140" s="223"/>
      <c r="AX140" s="223"/>
      <c r="AY140" s="223"/>
      <c r="AZ140" s="223"/>
      <c r="BA140" s="223"/>
      <c r="BB140" s="223"/>
      <c r="BC140" s="223"/>
      <c r="BD140" s="223"/>
      <c r="BE140" s="223"/>
      <c r="BF140" s="223"/>
      <c r="BG140" s="223"/>
      <c r="BH140" s="223"/>
      <c r="BI140" s="224"/>
    </row>
    <row r="141" spans="7:61">
      <c r="G141" s="716" t="s">
        <v>39</v>
      </c>
      <c r="H141" s="716"/>
      <c r="I141" s="716"/>
      <c r="J141" s="716"/>
      <c r="K141" s="716"/>
      <c r="L141" s="716"/>
      <c r="M141" s="249">
        <v>400</v>
      </c>
      <c r="N141" s="249"/>
      <c r="O141" s="249"/>
      <c r="P141" s="249" t="s">
        <v>272</v>
      </c>
      <c r="Q141" s="249"/>
      <c r="R141" s="249"/>
      <c r="S141" s="249"/>
      <c r="T141" s="249"/>
      <c r="U141" s="249"/>
      <c r="V141" s="249"/>
      <c r="W141" s="249"/>
      <c r="X141" s="249" t="s">
        <v>273</v>
      </c>
      <c r="Y141" s="249"/>
      <c r="Z141" s="249"/>
      <c r="AA141" s="249"/>
      <c r="AB141" s="249"/>
      <c r="AC141" s="249"/>
      <c r="AD141" s="249"/>
      <c r="AE141" s="249"/>
      <c r="AF141" s="249" t="s">
        <v>93</v>
      </c>
      <c r="AG141" s="249"/>
      <c r="AH141" s="249"/>
      <c r="AI141" s="249"/>
      <c r="AJ141" s="720">
        <v>1.06</v>
      </c>
      <c r="AK141" s="720"/>
      <c r="AL141" s="720"/>
      <c r="AM141" s="720"/>
      <c r="AN141" s="249">
        <v>400</v>
      </c>
      <c r="AO141" s="249"/>
      <c r="AP141" s="249"/>
      <c r="AQ141" s="249" t="s">
        <v>275</v>
      </c>
      <c r="AR141" s="249"/>
      <c r="AS141" s="249"/>
      <c r="AT141" s="249"/>
      <c r="AU141" s="249"/>
      <c r="AV141" s="249"/>
      <c r="AW141" s="249"/>
      <c r="AX141" s="249" t="s">
        <v>276</v>
      </c>
      <c r="AY141" s="249"/>
      <c r="AZ141" s="249"/>
      <c r="BA141" s="249"/>
      <c r="BB141" s="249"/>
      <c r="BC141" s="249"/>
      <c r="BD141" s="249"/>
      <c r="BE141" s="249"/>
      <c r="BF141" s="249"/>
      <c r="BG141" s="249"/>
      <c r="BH141" s="249"/>
      <c r="BI141" s="249"/>
    </row>
    <row r="142" spans="7:61">
      <c r="G142" s="716"/>
      <c r="H142" s="716"/>
      <c r="I142" s="716"/>
      <c r="J142" s="716"/>
      <c r="K142" s="716"/>
      <c r="L142" s="716"/>
      <c r="M142" s="713" t="s">
        <v>393</v>
      </c>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5"/>
      <c r="BG142" s="255"/>
      <c r="BH142" s="255"/>
      <c r="BI142" s="256"/>
    </row>
    <row r="143" spans="7:61">
      <c r="G143" s="797" t="s">
        <v>394</v>
      </c>
      <c r="H143" s="798"/>
      <c r="I143" s="798"/>
      <c r="J143" s="798"/>
      <c r="K143" s="798"/>
      <c r="L143" s="799"/>
      <c r="M143" s="238">
        <v>400</v>
      </c>
      <c r="N143" s="239"/>
      <c r="O143" s="240"/>
      <c r="P143" s="238" t="s">
        <v>395</v>
      </c>
      <c r="Q143" s="239"/>
      <c r="R143" s="239"/>
      <c r="S143" s="239"/>
      <c r="T143" s="239"/>
      <c r="U143" s="239"/>
      <c r="V143" s="239"/>
      <c r="W143" s="240"/>
      <c r="X143" s="238" t="s">
        <v>396</v>
      </c>
      <c r="Y143" s="239"/>
      <c r="Z143" s="239"/>
      <c r="AA143" s="239"/>
      <c r="AB143" s="239"/>
      <c r="AC143" s="239"/>
      <c r="AD143" s="239"/>
      <c r="AE143" s="240"/>
      <c r="AF143" s="238"/>
      <c r="AG143" s="239"/>
      <c r="AH143" s="239"/>
      <c r="AI143" s="240"/>
      <c r="AJ143" s="265">
        <v>1.04</v>
      </c>
      <c r="AK143" s="244"/>
      <c r="AL143" s="244"/>
      <c r="AM143" s="245"/>
      <c r="AN143" s="238">
        <v>400</v>
      </c>
      <c r="AO143" s="239"/>
      <c r="AP143" s="240"/>
      <c r="AQ143" s="238" t="s">
        <v>395</v>
      </c>
      <c r="AR143" s="239"/>
      <c r="AS143" s="239"/>
      <c r="AT143" s="239"/>
      <c r="AU143" s="239"/>
      <c r="AV143" s="239"/>
      <c r="AW143" s="240"/>
      <c r="AX143" s="238" t="s">
        <v>397</v>
      </c>
      <c r="AY143" s="239"/>
      <c r="AZ143" s="239"/>
      <c r="BA143" s="239"/>
      <c r="BB143" s="239"/>
      <c r="BC143" s="239"/>
      <c r="BD143" s="240"/>
      <c r="BE143" s="238"/>
      <c r="BF143" s="239"/>
      <c r="BG143" s="239"/>
      <c r="BH143" s="239"/>
      <c r="BI143" s="240"/>
    </row>
    <row r="144" spans="7:61">
      <c r="G144" s="800"/>
      <c r="H144" s="801"/>
      <c r="I144" s="801"/>
      <c r="J144" s="801"/>
      <c r="K144" s="801"/>
      <c r="L144" s="802"/>
      <c r="M144" s="713" t="s">
        <v>398</v>
      </c>
      <c r="N144" s="255"/>
      <c r="O144" s="255"/>
      <c r="P144" s="255"/>
      <c r="Q144" s="255"/>
      <c r="R144" s="255"/>
      <c r="S144" s="255"/>
      <c r="T144" s="255"/>
      <c r="U144" s="255"/>
      <c r="V144" s="255"/>
      <c r="W144" s="255"/>
      <c r="X144" s="255"/>
      <c r="Y144" s="255"/>
      <c r="Z144" s="255"/>
      <c r="AA144" s="255"/>
      <c r="AB144" s="255"/>
      <c r="AC144" s="255"/>
      <c r="AD144" s="255"/>
      <c r="AE144" s="255"/>
      <c r="AF144" s="255"/>
      <c r="AG144" s="255"/>
      <c r="AH144" s="255"/>
      <c r="AI144" s="255"/>
      <c r="AJ144" s="255"/>
      <c r="AK144" s="255"/>
      <c r="AL144" s="255"/>
      <c r="AM144" s="255"/>
      <c r="AN144" s="255"/>
      <c r="AO144" s="255"/>
      <c r="AP144" s="255"/>
      <c r="AQ144" s="255"/>
      <c r="AR144" s="255"/>
      <c r="AS144" s="255"/>
      <c r="AT144" s="255"/>
      <c r="AU144" s="255"/>
      <c r="AV144" s="255"/>
      <c r="AW144" s="255"/>
      <c r="AX144" s="255"/>
      <c r="AY144" s="255"/>
      <c r="AZ144" s="255"/>
      <c r="BA144" s="255"/>
      <c r="BB144" s="255"/>
      <c r="BC144" s="255"/>
      <c r="BD144" s="255"/>
      <c r="BE144" s="255"/>
      <c r="BF144" s="255"/>
      <c r="BG144" s="255"/>
      <c r="BH144" s="255"/>
      <c r="BI144" s="256"/>
    </row>
    <row r="145" spans="7:61">
      <c r="G145" s="716" t="s">
        <v>38</v>
      </c>
      <c r="H145" s="716"/>
      <c r="I145" s="716"/>
      <c r="J145" s="716"/>
      <c r="K145" s="716"/>
      <c r="L145" s="721"/>
      <c r="M145" s="249">
        <v>400</v>
      </c>
      <c r="N145" s="249"/>
      <c r="O145" s="249"/>
      <c r="P145" s="249" t="s">
        <v>42</v>
      </c>
      <c r="Q145" s="249"/>
      <c r="R145" s="249"/>
      <c r="S145" s="249"/>
      <c r="T145" s="249"/>
      <c r="U145" s="249"/>
      <c r="V145" s="249"/>
      <c r="W145" s="249"/>
      <c r="X145" s="249" t="s">
        <v>214</v>
      </c>
      <c r="Y145" s="249"/>
      <c r="Z145" s="249"/>
      <c r="AA145" s="249"/>
      <c r="AB145" s="249"/>
      <c r="AC145" s="249"/>
      <c r="AD145" s="249"/>
      <c r="AE145" s="249"/>
      <c r="AF145" s="249" t="s">
        <v>93</v>
      </c>
      <c r="AG145" s="249"/>
      <c r="AH145" s="249"/>
      <c r="AI145" s="249"/>
      <c r="AJ145" s="253" t="s">
        <v>399</v>
      </c>
      <c r="AK145" s="253"/>
      <c r="AL145" s="253"/>
      <c r="AM145" s="254"/>
      <c r="AN145" s="246">
        <v>220</v>
      </c>
      <c r="AO145" s="247"/>
      <c r="AP145" s="248"/>
      <c r="AQ145" s="246" t="s">
        <v>41</v>
      </c>
      <c r="AR145" s="247"/>
      <c r="AS145" s="247"/>
      <c r="AT145" s="247"/>
      <c r="AU145" s="247"/>
      <c r="AV145" s="247"/>
      <c r="AW145" s="248"/>
      <c r="AX145" s="238" t="s">
        <v>360</v>
      </c>
      <c r="AY145" s="239"/>
      <c r="AZ145" s="239"/>
      <c r="BA145" s="239"/>
      <c r="BB145" s="239"/>
      <c r="BC145" s="239"/>
      <c r="BD145" s="240"/>
      <c r="BE145" s="246"/>
      <c r="BF145" s="247"/>
      <c r="BG145" s="247"/>
      <c r="BH145" s="247"/>
      <c r="BI145" s="248"/>
    </row>
    <row r="146" spans="7:61">
      <c r="G146" s="716"/>
      <c r="H146" s="716"/>
      <c r="I146" s="716"/>
      <c r="J146" s="716"/>
      <c r="K146" s="716"/>
      <c r="L146" s="721"/>
      <c r="M146" s="249"/>
      <c r="N146" s="249"/>
      <c r="O146" s="249"/>
      <c r="P146" s="249"/>
      <c r="Q146" s="249"/>
      <c r="R146" s="249"/>
      <c r="S146" s="249"/>
      <c r="T146" s="249"/>
      <c r="U146" s="249"/>
      <c r="V146" s="249"/>
      <c r="W146" s="249"/>
      <c r="X146" s="249"/>
      <c r="Y146" s="249"/>
      <c r="Z146" s="249"/>
      <c r="AA146" s="249"/>
      <c r="AB146" s="249"/>
      <c r="AC146" s="249"/>
      <c r="AD146" s="249"/>
      <c r="AE146" s="249"/>
      <c r="AF146" s="249"/>
      <c r="AG146" s="249"/>
      <c r="AH146" s="249"/>
      <c r="AI146" s="249"/>
      <c r="AJ146" s="253">
        <v>1.0900000000000001</v>
      </c>
      <c r="AK146" s="253"/>
      <c r="AL146" s="253"/>
      <c r="AM146" s="254"/>
      <c r="AN146" s="246">
        <v>220</v>
      </c>
      <c r="AO146" s="247"/>
      <c r="AP146" s="248"/>
      <c r="AQ146" s="246" t="s">
        <v>401</v>
      </c>
      <c r="AR146" s="247"/>
      <c r="AS146" s="247"/>
      <c r="AT146" s="247"/>
      <c r="AU146" s="247"/>
      <c r="AV146" s="247"/>
      <c r="AW146" s="248"/>
      <c r="AX146" s="238" t="s">
        <v>358</v>
      </c>
      <c r="AY146" s="239"/>
      <c r="AZ146" s="239"/>
      <c r="BA146" s="239"/>
      <c r="BB146" s="239"/>
      <c r="BC146" s="239"/>
      <c r="BD146" s="240"/>
      <c r="BE146" s="175"/>
      <c r="BF146" s="175"/>
      <c r="BG146" s="175"/>
      <c r="BH146" s="175"/>
      <c r="BI146" s="176"/>
    </row>
    <row r="147" spans="7:61">
      <c r="G147" s="716"/>
      <c r="H147" s="716"/>
      <c r="I147" s="716"/>
      <c r="J147" s="716"/>
      <c r="K147" s="716"/>
      <c r="L147" s="721"/>
      <c r="M147" s="249"/>
      <c r="N147" s="249"/>
      <c r="O147" s="249"/>
      <c r="P147" s="249"/>
      <c r="Q147" s="249"/>
      <c r="R147" s="249"/>
      <c r="S147" s="249"/>
      <c r="T147" s="249"/>
      <c r="U147" s="249"/>
      <c r="V147" s="249"/>
      <c r="W147" s="249"/>
      <c r="X147" s="249"/>
      <c r="Y147" s="249"/>
      <c r="Z147" s="249"/>
      <c r="AA147" s="249"/>
      <c r="AB147" s="249"/>
      <c r="AC147" s="249"/>
      <c r="AD147" s="249"/>
      <c r="AE147" s="249"/>
      <c r="AF147" s="249"/>
      <c r="AG147" s="249"/>
      <c r="AH147" s="249"/>
      <c r="AI147" s="249"/>
      <c r="AJ147" s="253">
        <v>1.04</v>
      </c>
      <c r="AK147" s="253"/>
      <c r="AL147" s="253"/>
      <c r="AM147" s="254"/>
      <c r="AN147" s="717" t="s">
        <v>400</v>
      </c>
      <c r="AO147" s="718"/>
      <c r="AP147" s="719"/>
      <c r="AQ147" s="246" t="s">
        <v>254</v>
      </c>
      <c r="AR147" s="247"/>
      <c r="AS147" s="247"/>
      <c r="AT147" s="247"/>
      <c r="AU147" s="247"/>
      <c r="AV147" s="247"/>
      <c r="AW147" s="248"/>
      <c r="AX147" s="238" t="s">
        <v>389</v>
      </c>
      <c r="AY147" s="239"/>
      <c r="AZ147" s="239"/>
      <c r="BA147" s="239"/>
      <c r="BB147" s="239"/>
      <c r="BC147" s="239"/>
      <c r="BD147" s="240"/>
      <c r="BE147" s="246">
        <v>1</v>
      </c>
      <c r="BF147" s="247"/>
      <c r="BG147" s="247"/>
      <c r="BH147" s="247"/>
      <c r="BI147" s="248"/>
    </row>
    <row r="148" spans="7:61">
      <c r="G148" s="716"/>
      <c r="H148" s="716"/>
      <c r="I148" s="716"/>
      <c r="J148" s="716"/>
      <c r="K148" s="716"/>
      <c r="L148" s="721"/>
      <c r="M148" s="249"/>
      <c r="N148" s="249"/>
      <c r="O148" s="249"/>
      <c r="P148" s="249"/>
      <c r="Q148" s="249"/>
      <c r="R148" s="249"/>
      <c r="S148" s="249"/>
      <c r="T148" s="249"/>
      <c r="U148" s="249"/>
      <c r="V148" s="249"/>
      <c r="W148" s="249"/>
      <c r="X148" s="249"/>
      <c r="Y148" s="249"/>
      <c r="Z148" s="249"/>
      <c r="AA148" s="249"/>
      <c r="AB148" s="249"/>
      <c r="AC148" s="249"/>
      <c r="AD148" s="249"/>
      <c r="AE148" s="249"/>
      <c r="AF148" s="249"/>
      <c r="AG148" s="249"/>
      <c r="AH148" s="249"/>
      <c r="AI148" s="249"/>
      <c r="AJ148" s="253">
        <v>1.03</v>
      </c>
      <c r="AK148" s="253"/>
      <c r="AL148" s="253"/>
      <c r="AM148" s="254"/>
      <c r="AN148" s="246">
        <v>220</v>
      </c>
      <c r="AO148" s="247"/>
      <c r="AP148" s="248"/>
      <c r="AQ148" s="246" t="s">
        <v>357</v>
      </c>
      <c r="AR148" s="247"/>
      <c r="AS148" s="247"/>
      <c r="AT148" s="247"/>
      <c r="AU148" s="247"/>
      <c r="AV148" s="247"/>
      <c r="AW148" s="248"/>
      <c r="AX148" s="238" t="s">
        <v>358</v>
      </c>
      <c r="AY148" s="239"/>
      <c r="AZ148" s="239"/>
      <c r="BA148" s="239"/>
      <c r="BB148" s="239"/>
      <c r="BC148" s="239"/>
      <c r="BD148" s="240"/>
      <c r="BE148" s="175"/>
      <c r="BF148" s="175"/>
      <c r="BG148" s="175"/>
      <c r="BH148" s="175"/>
      <c r="BI148" s="176"/>
    </row>
    <row r="149" spans="7:61" ht="23.25" customHeight="1">
      <c r="G149" s="716"/>
      <c r="H149" s="716"/>
      <c r="I149" s="716"/>
      <c r="J149" s="716"/>
      <c r="K149" s="716"/>
      <c r="L149" s="716"/>
      <c r="M149" s="222" t="s">
        <v>404</v>
      </c>
      <c r="N149" s="255"/>
      <c r="O149" s="255"/>
      <c r="P149" s="255"/>
      <c r="Q149" s="255"/>
      <c r="R149" s="255"/>
      <c r="S149" s="255"/>
      <c r="T149" s="255"/>
      <c r="U149" s="255"/>
      <c r="V149" s="255"/>
      <c r="W149" s="255"/>
      <c r="X149" s="255"/>
      <c r="Y149" s="255"/>
      <c r="Z149" s="255"/>
      <c r="AA149" s="255"/>
      <c r="AB149" s="255"/>
      <c r="AC149" s="255"/>
      <c r="AD149" s="255"/>
      <c r="AE149" s="255"/>
      <c r="AF149" s="255"/>
      <c r="AG149" s="255"/>
      <c r="AH149" s="255"/>
      <c r="AI149" s="255"/>
      <c r="AJ149" s="255"/>
      <c r="AK149" s="255"/>
      <c r="AL149" s="255"/>
      <c r="AM149" s="255"/>
      <c r="AN149" s="255"/>
      <c r="AO149" s="255"/>
      <c r="AP149" s="255"/>
      <c r="AQ149" s="255"/>
      <c r="AR149" s="255"/>
      <c r="AS149" s="255"/>
      <c r="AT149" s="255"/>
      <c r="AU149" s="255"/>
      <c r="AV149" s="255"/>
      <c r="AW149" s="255"/>
      <c r="AX149" s="255"/>
      <c r="AY149" s="255"/>
      <c r="AZ149" s="255"/>
      <c r="BA149" s="255"/>
      <c r="BB149" s="255"/>
      <c r="BC149" s="255"/>
      <c r="BD149" s="255"/>
      <c r="BE149" s="255"/>
      <c r="BF149" s="255"/>
      <c r="BG149" s="255"/>
      <c r="BH149" s="255"/>
      <c r="BI149" s="256"/>
    </row>
    <row r="150" spans="7:61">
      <c r="G150" s="716" t="s">
        <v>294</v>
      </c>
      <c r="H150" s="716"/>
      <c r="I150" s="716"/>
      <c r="J150" s="716"/>
      <c r="K150" s="716"/>
      <c r="L150" s="716"/>
      <c r="M150" s="246">
        <v>400</v>
      </c>
      <c r="N150" s="247"/>
      <c r="O150" s="247"/>
      <c r="P150" s="246" t="s">
        <v>252</v>
      </c>
      <c r="Q150" s="247"/>
      <c r="R150" s="247"/>
      <c r="S150" s="247"/>
      <c r="T150" s="247"/>
      <c r="U150" s="247"/>
      <c r="V150" s="247"/>
      <c r="W150" s="248"/>
      <c r="X150" s="246" t="s">
        <v>253</v>
      </c>
      <c r="Y150" s="247"/>
      <c r="Z150" s="247"/>
      <c r="AA150" s="247"/>
      <c r="AB150" s="247"/>
      <c r="AC150" s="247"/>
      <c r="AD150" s="247"/>
      <c r="AE150" s="248"/>
      <c r="AF150" s="247"/>
      <c r="AG150" s="247"/>
      <c r="AH150" s="247"/>
      <c r="AI150" s="248"/>
      <c r="AJ150" s="252">
        <v>1.07</v>
      </c>
      <c r="AK150" s="253"/>
      <c r="AL150" s="253"/>
      <c r="AM150" s="254"/>
      <c r="AN150" s="717" t="s">
        <v>400</v>
      </c>
      <c r="AO150" s="718"/>
      <c r="AP150" s="719"/>
      <c r="AQ150" s="246" t="s">
        <v>41</v>
      </c>
      <c r="AR150" s="247"/>
      <c r="AS150" s="247"/>
      <c r="AT150" s="247"/>
      <c r="AU150" s="247"/>
      <c r="AV150" s="247"/>
      <c r="AW150" s="248"/>
      <c r="AX150" s="238" t="s">
        <v>389</v>
      </c>
      <c r="AY150" s="239"/>
      <c r="AZ150" s="239"/>
      <c r="BA150" s="239"/>
      <c r="BB150" s="239"/>
      <c r="BC150" s="239"/>
      <c r="BD150" s="240"/>
      <c r="BE150" s="246">
        <v>1</v>
      </c>
      <c r="BF150" s="247"/>
      <c r="BG150" s="247"/>
      <c r="BH150" s="247"/>
      <c r="BI150" s="248"/>
    </row>
    <row r="151" spans="7:61">
      <c r="G151" s="716"/>
      <c r="H151" s="716"/>
      <c r="I151" s="716"/>
      <c r="J151" s="716"/>
      <c r="K151" s="716"/>
      <c r="L151" s="716"/>
      <c r="M151" s="713" t="s">
        <v>403</v>
      </c>
      <c r="N151" s="255"/>
      <c r="O151" s="255"/>
      <c r="P151" s="255"/>
      <c r="Q151" s="255"/>
      <c r="R151" s="255"/>
      <c r="S151" s="255"/>
      <c r="T151" s="255"/>
      <c r="U151" s="255"/>
      <c r="V151" s="255"/>
      <c r="W151" s="255"/>
      <c r="X151" s="255"/>
      <c r="Y151" s="255"/>
      <c r="Z151" s="255"/>
      <c r="AA151" s="255"/>
      <c r="AB151" s="255"/>
      <c r="AC151" s="255"/>
      <c r="AD151" s="255"/>
      <c r="AE151" s="255"/>
      <c r="AF151" s="255"/>
      <c r="AG151" s="255"/>
      <c r="AH151" s="255"/>
      <c r="AI151" s="255"/>
      <c r="AJ151" s="255"/>
      <c r="AK151" s="255"/>
      <c r="AL151" s="255"/>
      <c r="AM151" s="255"/>
      <c r="AN151" s="255"/>
      <c r="AO151" s="255"/>
      <c r="AP151" s="255"/>
      <c r="AQ151" s="255"/>
      <c r="AR151" s="255"/>
      <c r="AS151" s="255"/>
      <c r="AT151" s="255"/>
      <c r="AU151" s="255"/>
      <c r="AV151" s="255"/>
      <c r="AW151" s="255"/>
      <c r="AX151" s="255"/>
      <c r="AY151" s="255"/>
      <c r="AZ151" s="255"/>
      <c r="BA151" s="255"/>
      <c r="BB151" s="255"/>
      <c r="BC151" s="255"/>
      <c r="BD151" s="255"/>
      <c r="BE151" s="255"/>
      <c r="BF151" s="255"/>
      <c r="BG151" s="255"/>
      <c r="BH151" s="255"/>
      <c r="BI151" s="256"/>
    </row>
    <row r="152" spans="7:61">
      <c r="G152" s="716" t="s">
        <v>394</v>
      </c>
      <c r="H152" s="716"/>
      <c r="I152" s="716"/>
      <c r="J152" s="716"/>
      <c r="K152" s="716"/>
      <c r="L152" s="716"/>
      <c r="M152" s="249">
        <v>400</v>
      </c>
      <c r="N152" s="249"/>
      <c r="O152" s="249"/>
      <c r="P152" s="249" t="s">
        <v>395</v>
      </c>
      <c r="Q152" s="249"/>
      <c r="R152" s="249"/>
      <c r="S152" s="249"/>
      <c r="T152" s="249"/>
      <c r="U152" s="249"/>
      <c r="V152" s="249"/>
      <c r="W152" s="249"/>
      <c r="X152" s="249" t="s">
        <v>396</v>
      </c>
      <c r="Y152" s="249"/>
      <c r="Z152" s="249"/>
      <c r="AA152" s="249"/>
      <c r="AB152" s="249"/>
      <c r="AC152" s="249"/>
      <c r="AD152" s="249"/>
      <c r="AE152" s="249"/>
      <c r="AF152" s="249"/>
      <c r="AG152" s="249"/>
      <c r="AH152" s="249"/>
      <c r="AI152" s="249"/>
      <c r="AJ152" s="720">
        <v>1.03</v>
      </c>
      <c r="AK152" s="720"/>
      <c r="AL152" s="720"/>
      <c r="AM152" s="720"/>
      <c r="AN152" s="249">
        <v>400</v>
      </c>
      <c r="AO152" s="249"/>
      <c r="AP152" s="249"/>
      <c r="AQ152" s="249" t="s">
        <v>395</v>
      </c>
      <c r="AR152" s="249"/>
      <c r="AS152" s="249"/>
      <c r="AT152" s="249"/>
      <c r="AU152" s="249"/>
      <c r="AV152" s="249"/>
      <c r="AW152" s="249"/>
      <c r="AX152" s="249" t="s">
        <v>397</v>
      </c>
      <c r="AY152" s="249"/>
      <c r="AZ152" s="249"/>
      <c r="BA152" s="249"/>
      <c r="BB152" s="249"/>
      <c r="BC152" s="249"/>
      <c r="BD152" s="249"/>
      <c r="BE152" s="249"/>
      <c r="BF152" s="249"/>
      <c r="BG152" s="249"/>
      <c r="BH152" s="249"/>
      <c r="BI152" s="249"/>
    </row>
    <row r="153" spans="7:61">
      <c r="G153" s="716"/>
      <c r="H153" s="716"/>
      <c r="I153" s="716"/>
      <c r="J153" s="716"/>
      <c r="K153" s="716"/>
      <c r="L153" s="716"/>
      <c r="M153" s="803" t="s">
        <v>402</v>
      </c>
      <c r="N153" s="803"/>
      <c r="O153" s="803"/>
      <c r="P153" s="803"/>
      <c r="Q153" s="803"/>
      <c r="R153" s="803"/>
      <c r="S153" s="803"/>
      <c r="T153" s="803"/>
      <c r="U153" s="803"/>
      <c r="V153" s="803"/>
      <c r="W153" s="803"/>
      <c r="X153" s="803"/>
      <c r="Y153" s="803"/>
      <c r="Z153" s="803"/>
      <c r="AA153" s="803"/>
      <c r="AB153" s="803"/>
      <c r="AC153" s="803"/>
      <c r="AD153" s="803"/>
      <c r="AE153" s="803"/>
      <c r="AF153" s="803"/>
      <c r="AG153" s="803"/>
      <c r="AH153" s="803"/>
      <c r="AI153" s="803"/>
      <c r="AJ153" s="803"/>
      <c r="AK153" s="803"/>
      <c r="AL153" s="803"/>
      <c r="AM153" s="803"/>
      <c r="AN153" s="803"/>
      <c r="AO153" s="803"/>
      <c r="AP153" s="803"/>
      <c r="AQ153" s="803"/>
      <c r="AR153" s="803"/>
      <c r="AS153" s="803"/>
      <c r="AT153" s="803"/>
      <c r="AU153" s="803"/>
      <c r="AV153" s="803"/>
      <c r="AW153" s="803"/>
      <c r="AX153" s="803"/>
      <c r="AY153" s="803"/>
      <c r="AZ153" s="803"/>
      <c r="BA153" s="803"/>
      <c r="BB153" s="803"/>
      <c r="BC153" s="803"/>
      <c r="BD153" s="803"/>
      <c r="BE153" s="803"/>
      <c r="BF153" s="803"/>
      <c r="BG153" s="803"/>
      <c r="BH153" s="803"/>
      <c r="BI153" s="803"/>
    </row>
    <row r="154" spans="7:61">
      <c r="G154" s="701" t="s">
        <v>406</v>
      </c>
      <c r="H154" s="702"/>
      <c r="I154" s="702"/>
      <c r="J154" s="702"/>
      <c r="K154" s="702"/>
      <c r="L154" s="708"/>
      <c r="M154" s="246">
        <v>380</v>
      </c>
      <c r="N154" s="247"/>
      <c r="O154" s="248"/>
      <c r="P154" s="246" t="s">
        <v>254</v>
      </c>
      <c r="Q154" s="247"/>
      <c r="R154" s="247"/>
      <c r="S154" s="247"/>
      <c r="T154" s="247"/>
      <c r="U154" s="247"/>
      <c r="V154" s="247"/>
      <c r="W154" s="248"/>
      <c r="X154" s="246" t="s">
        <v>405</v>
      </c>
      <c r="Y154" s="247"/>
      <c r="Z154" s="247"/>
      <c r="AA154" s="247"/>
      <c r="AB154" s="247"/>
      <c r="AC154" s="247"/>
      <c r="AD154" s="247"/>
      <c r="AE154" s="248"/>
      <c r="AF154" s="246">
        <v>1</v>
      </c>
      <c r="AG154" s="247"/>
      <c r="AH154" s="247"/>
      <c r="AI154" s="248"/>
      <c r="AJ154" s="252">
        <v>1.06</v>
      </c>
      <c r="AK154" s="253"/>
      <c r="AL154" s="253"/>
      <c r="AM154" s="254"/>
      <c r="AN154" s="709">
        <v>220</v>
      </c>
      <c r="AO154" s="710"/>
      <c r="AP154" s="711"/>
      <c r="AQ154" s="246" t="s">
        <v>254</v>
      </c>
      <c r="AR154" s="247"/>
      <c r="AS154" s="247"/>
      <c r="AT154" s="247"/>
      <c r="AU154" s="247"/>
      <c r="AV154" s="247"/>
      <c r="AW154" s="248"/>
      <c r="AX154" s="238" t="s">
        <v>253</v>
      </c>
      <c r="AY154" s="239"/>
      <c r="AZ154" s="239"/>
      <c r="BA154" s="239"/>
      <c r="BB154" s="239"/>
      <c r="BC154" s="239"/>
      <c r="BD154" s="240"/>
      <c r="BE154" s="246" t="s">
        <v>409</v>
      </c>
      <c r="BF154" s="247"/>
      <c r="BG154" s="247"/>
      <c r="BH154" s="247"/>
      <c r="BI154" s="248"/>
    </row>
    <row r="155" spans="7:61">
      <c r="G155" s="705"/>
      <c r="H155" s="706"/>
      <c r="I155" s="706"/>
      <c r="J155" s="706"/>
      <c r="K155" s="706"/>
      <c r="L155" s="707"/>
      <c r="M155" s="715" t="s">
        <v>410</v>
      </c>
      <c r="N155" s="255"/>
      <c r="O155" s="255"/>
      <c r="P155" s="255"/>
      <c r="Q155" s="255"/>
      <c r="R155" s="255"/>
      <c r="S155" s="255"/>
      <c r="T155" s="255"/>
      <c r="U155" s="255"/>
      <c r="V155" s="255"/>
      <c r="W155" s="255"/>
      <c r="X155" s="255"/>
      <c r="Y155" s="255"/>
      <c r="Z155" s="255"/>
      <c r="AA155" s="255"/>
      <c r="AB155" s="255"/>
      <c r="AC155" s="255"/>
      <c r="AD155" s="255"/>
      <c r="AE155" s="255"/>
      <c r="AF155" s="255"/>
      <c r="AG155" s="255"/>
      <c r="AH155" s="255"/>
      <c r="AI155" s="255"/>
      <c r="AJ155" s="255"/>
      <c r="AK155" s="255"/>
      <c r="AL155" s="255"/>
      <c r="AM155" s="255"/>
      <c r="AN155" s="255"/>
      <c r="AO155" s="255"/>
      <c r="AP155" s="255"/>
      <c r="AQ155" s="255"/>
      <c r="AR155" s="255"/>
      <c r="AS155" s="255"/>
      <c r="AT155" s="255"/>
      <c r="AU155" s="255"/>
      <c r="AV155" s="255"/>
      <c r="AW155" s="255"/>
      <c r="AX155" s="255"/>
      <c r="AY155" s="255"/>
      <c r="AZ155" s="255"/>
      <c r="BA155" s="255"/>
      <c r="BB155" s="255"/>
      <c r="BC155" s="255"/>
      <c r="BD155" s="255"/>
      <c r="BE155" s="255"/>
      <c r="BF155" s="255"/>
      <c r="BG155" s="255"/>
      <c r="BH155" s="255"/>
      <c r="BI155" s="256"/>
    </row>
    <row r="156" spans="7:61">
      <c r="G156" s="712" t="s">
        <v>295</v>
      </c>
      <c r="H156" s="712"/>
      <c r="I156" s="712"/>
      <c r="J156" s="712"/>
      <c r="K156" s="712"/>
      <c r="L156" s="712"/>
      <c r="M156" s="246">
        <v>380</v>
      </c>
      <c r="N156" s="247"/>
      <c r="O156" s="248"/>
      <c r="P156" s="246" t="s">
        <v>284</v>
      </c>
      <c r="Q156" s="247"/>
      <c r="R156" s="247"/>
      <c r="S156" s="247"/>
      <c r="T156" s="247"/>
      <c r="U156" s="247"/>
      <c r="V156" s="247"/>
      <c r="W156" s="247"/>
      <c r="X156" s="247"/>
      <c r="Y156" s="247"/>
      <c r="Z156" s="247"/>
      <c r="AA156" s="247"/>
      <c r="AB156" s="247"/>
      <c r="AC156" s="247"/>
      <c r="AD156" s="247"/>
      <c r="AE156" s="248"/>
      <c r="AF156" s="246" t="s">
        <v>93</v>
      </c>
      <c r="AG156" s="247"/>
      <c r="AH156" s="247"/>
      <c r="AI156" s="248"/>
      <c r="AJ156" s="252">
        <v>1.03</v>
      </c>
      <c r="AK156" s="253"/>
      <c r="AL156" s="253"/>
      <c r="AM156" s="254"/>
      <c r="AN156" s="246">
        <v>380</v>
      </c>
      <c r="AO156" s="247"/>
      <c r="AP156" s="248"/>
      <c r="AQ156" s="246" t="s">
        <v>146</v>
      </c>
      <c r="AR156" s="247"/>
      <c r="AS156" s="247"/>
      <c r="AT156" s="247"/>
      <c r="AU156" s="247"/>
      <c r="AV156" s="247"/>
      <c r="AW156" s="248"/>
      <c r="AX156" s="238" t="s">
        <v>158</v>
      </c>
      <c r="AY156" s="239"/>
      <c r="AZ156" s="239"/>
      <c r="BA156" s="239"/>
      <c r="BB156" s="239"/>
      <c r="BC156" s="239"/>
      <c r="BD156" s="240"/>
      <c r="BE156" s="246"/>
      <c r="BF156" s="247"/>
      <c r="BG156" s="247"/>
      <c r="BH156" s="247"/>
      <c r="BI156" s="248"/>
    </row>
    <row r="157" spans="7:61">
      <c r="G157" s="712"/>
      <c r="H157" s="712"/>
      <c r="I157" s="712"/>
      <c r="J157" s="712"/>
      <c r="K157" s="712"/>
      <c r="L157" s="712"/>
      <c r="M157" s="219"/>
      <c r="N157" s="220"/>
      <c r="O157" s="221"/>
      <c r="P157" s="219"/>
      <c r="Q157" s="220"/>
      <c r="R157" s="220"/>
      <c r="S157" s="220"/>
      <c r="T157" s="220"/>
      <c r="U157" s="220"/>
      <c r="V157" s="220"/>
      <c r="W157" s="220"/>
      <c r="X157" s="220"/>
      <c r="Y157" s="220"/>
      <c r="Z157" s="220"/>
      <c r="AA157" s="220"/>
      <c r="AB157" s="220"/>
      <c r="AC157" s="220"/>
      <c r="AD157" s="220"/>
      <c r="AE157" s="221"/>
      <c r="AF157" s="219"/>
      <c r="AG157" s="220"/>
      <c r="AH157" s="220"/>
      <c r="AI157" s="221"/>
      <c r="AJ157" s="252">
        <v>0.95</v>
      </c>
      <c r="AK157" s="253"/>
      <c r="AL157" s="253"/>
      <c r="AM157" s="254"/>
      <c r="AN157" s="246">
        <v>380</v>
      </c>
      <c r="AO157" s="247"/>
      <c r="AP157" s="248"/>
      <c r="AQ157" s="246" t="s">
        <v>165</v>
      </c>
      <c r="AR157" s="247"/>
      <c r="AS157" s="247"/>
      <c r="AT157" s="247"/>
      <c r="AU157" s="247"/>
      <c r="AV157" s="247"/>
      <c r="AW157" s="248"/>
      <c r="AX157" s="238" t="s">
        <v>164</v>
      </c>
      <c r="AY157" s="239"/>
      <c r="AZ157" s="239"/>
      <c r="BA157" s="239"/>
      <c r="BB157" s="239"/>
      <c r="BC157" s="239"/>
      <c r="BD157" s="240"/>
      <c r="BE157" s="246"/>
      <c r="BF157" s="247"/>
      <c r="BG157" s="247"/>
      <c r="BH157" s="247"/>
      <c r="BI157" s="248"/>
    </row>
    <row r="158" spans="7:61">
      <c r="G158" s="712"/>
      <c r="H158" s="712"/>
      <c r="I158" s="712"/>
      <c r="J158" s="712"/>
      <c r="K158" s="712"/>
      <c r="L158" s="712"/>
      <c r="M158" s="715" t="s">
        <v>411</v>
      </c>
      <c r="N158" s="223"/>
      <c r="O158" s="223"/>
      <c r="P158" s="223"/>
      <c r="Q158" s="223"/>
      <c r="R158" s="223"/>
      <c r="S158" s="223"/>
      <c r="T158" s="223"/>
      <c r="U158" s="223"/>
      <c r="V158" s="223"/>
      <c r="W158" s="223"/>
      <c r="X158" s="223"/>
      <c r="Y158" s="223"/>
      <c r="Z158" s="223"/>
      <c r="AA158" s="223"/>
      <c r="AB158" s="223"/>
      <c r="AC158" s="223"/>
      <c r="AD158" s="223"/>
      <c r="AE158" s="223"/>
      <c r="AF158" s="223"/>
      <c r="AG158" s="223"/>
      <c r="AH158" s="223"/>
      <c r="AI158" s="223"/>
      <c r="AJ158" s="223"/>
      <c r="AK158" s="223"/>
      <c r="AL158" s="223"/>
      <c r="AM158" s="223"/>
      <c r="AN158" s="223"/>
      <c r="AO158" s="223"/>
      <c r="AP158" s="223"/>
      <c r="AQ158" s="223"/>
      <c r="AR158" s="223"/>
      <c r="AS158" s="223"/>
      <c r="AT158" s="223"/>
      <c r="AU158" s="223"/>
      <c r="AV158" s="223"/>
      <c r="AW158" s="223"/>
      <c r="AX158" s="223"/>
      <c r="AY158" s="223"/>
      <c r="AZ158" s="223"/>
      <c r="BA158" s="223"/>
      <c r="BB158" s="223"/>
      <c r="BC158" s="223"/>
      <c r="BD158" s="223"/>
      <c r="BE158" s="223"/>
      <c r="BF158" s="223"/>
      <c r="BG158" s="223"/>
      <c r="BH158" s="223"/>
      <c r="BI158" s="224"/>
    </row>
    <row r="159" spans="7:61">
      <c r="G159" s="714" t="s">
        <v>21</v>
      </c>
      <c r="H159" s="714"/>
      <c r="I159" s="714"/>
      <c r="J159" s="714"/>
      <c r="K159" s="714"/>
      <c r="L159" s="714"/>
      <c r="M159" s="249">
        <v>380</v>
      </c>
      <c r="N159" s="249"/>
      <c r="O159" s="249"/>
      <c r="P159" s="249" t="s">
        <v>92</v>
      </c>
      <c r="Q159" s="249"/>
      <c r="R159" s="249"/>
      <c r="S159" s="249"/>
      <c r="T159" s="249"/>
      <c r="U159" s="249"/>
      <c r="V159" s="249"/>
      <c r="W159" s="249"/>
      <c r="X159" s="249" t="s">
        <v>142</v>
      </c>
      <c r="Y159" s="249"/>
      <c r="Z159" s="249"/>
      <c r="AA159" s="249"/>
      <c r="AB159" s="249"/>
      <c r="AC159" s="249"/>
      <c r="AD159" s="249"/>
      <c r="AE159" s="249"/>
      <c r="AF159" s="249" t="s">
        <v>223</v>
      </c>
      <c r="AG159" s="249"/>
      <c r="AH159" s="249"/>
      <c r="AI159" s="249"/>
      <c r="AJ159" s="253">
        <v>1.03</v>
      </c>
      <c r="AK159" s="253"/>
      <c r="AL159" s="253"/>
      <c r="AM159" s="254"/>
      <c r="AN159" s="246">
        <v>380</v>
      </c>
      <c r="AO159" s="247"/>
      <c r="AP159" s="248"/>
      <c r="AQ159" s="246" t="s">
        <v>407</v>
      </c>
      <c r="AR159" s="247"/>
      <c r="AS159" s="247"/>
      <c r="AT159" s="247"/>
      <c r="AU159" s="247"/>
      <c r="AV159" s="247"/>
      <c r="AW159" s="248"/>
      <c r="AX159" s="238" t="s">
        <v>408</v>
      </c>
      <c r="AY159" s="239"/>
      <c r="AZ159" s="239"/>
      <c r="BA159" s="239"/>
      <c r="BB159" s="239"/>
      <c r="BC159" s="239"/>
      <c r="BD159" s="240"/>
      <c r="BE159" s="246"/>
      <c r="BF159" s="247"/>
      <c r="BG159" s="247"/>
      <c r="BH159" s="247"/>
      <c r="BI159" s="248"/>
    </row>
    <row r="160" spans="7:61">
      <c r="G160" s="714"/>
      <c r="H160" s="714"/>
      <c r="I160" s="714"/>
      <c r="J160" s="714"/>
      <c r="K160" s="714"/>
      <c r="L160" s="714"/>
      <c r="M160" s="713" t="s">
        <v>412</v>
      </c>
      <c r="N160" s="255"/>
      <c r="O160" s="255"/>
      <c r="P160" s="255"/>
      <c r="Q160" s="255"/>
      <c r="R160" s="255"/>
      <c r="S160" s="255"/>
      <c r="T160" s="255"/>
      <c r="U160" s="255"/>
      <c r="V160" s="255"/>
      <c r="W160" s="255"/>
      <c r="X160" s="255"/>
      <c r="Y160" s="255"/>
      <c r="Z160" s="255"/>
      <c r="AA160" s="255"/>
      <c r="AB160" s="255"/>
      <c r="AC160" s="255"/>
      <c r="AD160" s="255"/>
      <c r="AE160" s="255"/>
      <c r="AF160" s="255"/>
      <c r="AG160" s="255"/>
      <c r="AH160" s="255"/>
      <c r="AI160" s="255"/>
      <c r="AJ160" s="255"/>
      <c r="AK160" s="255"/>
      <c r="AL160" s="255"/>
      <c r="AM160" s="255"/>
      <c r="AN160" s="255"/>
      <c r="AO160" s="255"/>
      <c r="AP160" s="255"/>
      <c r="AQ160" s="255"/>
      <c r="AR160" s="255"/>
      <c r="AS160" s="255"/>
      <c r="AT160" s="255"/>
      <c r="AU160" s="255"/>
      <c r="AV160" s="255"/>
      <c r="AW160" s="255"/>
      <c r="AX160" s="255"/>
      <c r="AY160" s="255"/>
      <c r="AZ160" s="255"/>
      <c r="BA160" s="255"/>
      <c r="BB160" s="255"/>
      <c r="BC160" s="255"/>
      <c r="BD160" s="255"/>
      <c r="BE160" s="255"/>
      <c r="BF160" s="255"/>
      <c r="BG160" s="255"/>
      <c r="BH160" s="255"/>
      <c r="BI160" s="256"/>
    </row>
    <row r="161" spans="7:61">
      <c r="G161" s="712" t="s">
        <v>295</v>
      </c>
      <c r="H161" s="712"/>
      <c r="I161" s="712"/>
      <c r="J161" s="712"/>
      <c r="K161" s="712"/>
      <c r="L161" s="712"/>
      <c r="M161" s="246">
        <v>380</v>
      </c>
      <c r="N161" s="247"/>
      <c r="O161" s="248"/>
      <c r="P161" s="246" t="s">
        <v>284</v>
      </c>
      <c r="Q161" s="247"/>
      <c r="R161" s="247"/>
      <c r="S161" s="247"/>
      <c r="T161" s="247"/>
      <c r="U161" s="247"/>
      <c r="V161" s="247"/>
      <c r="W161" s="247"/>
      <c r="X161" s="247"/>
      <c r="Y161" s="247"/>
      <c r="Z161" s="247"/>
      <c r="AA161" s="247"/>
      <c r="AB161" s="247"/>
      <c r="AC161" s="247"/>
      <c r="AD161" s="247"/>
      <c r="AE161" s="248"/>
      <c r="AF161" s="246" t="s">
        <v>93</v>
      </c>
      <c r="AG161" s="247"/>
      <c r="AH161" s="247"/>
      <c r="AI161" s="248"/>
      <c r="AJ161" s="252">
        <v>1.06</v>
      </c>
      <c r="AK161" s="253"/>
      <c r="AL161" s="253"/>
      <c r="AM161" s="254"/>
      <c r="AN161" s="246">
        <v>380</v>
      </c>
      <c r="AO161" s="247"/>
      <c r="AP161" s="248"/>
      <c r="AQ161" s="246" t="s">
        <v>146</v>
      </c>
      <c r="AR161" s="247"/>
      <c r="AS161" s="247"/>
      <c r="AT161" s="247"/>
      <c r="AU161" s="247"/>
      <c r="AV161" s="247"/>
      <c r="AW161" s="248"/>
      <c r="AX161" s="238" t="s">
        <v>158</v>
      </c>
      <c r="AY161" s="239"/>
      <c r="AZ161" s="239"/>
      <c r="BA161" s="239"/>
      <c r="BB161" s="239"/>
      <c r="BC161" s="239"/>
      <c r="BD161" s="240"/>
      <c r="BE161" s="246"/>
      <c r="BF161" s="247"/>
      <c r="BG161" s="247"/>
      <c r="BH161" s="247"/>
      <c r="BI161" s="248"/>
    </row>
    <row r="162" spans="7:61">
      <c r="G162" s="712"/>
      <c r="H162" s="712"/>
      <c r="I162" s="712"/>
      <c r="J162" s="712"/>
      <c r="K162" s="712"/>
      <c r="L162" s="712"/>
      <c r="M162" s="219"/>
      <c r="N162" s="220"/>
      <c r="O162" s="221"/>
      <c r="P162" s="219"/>
      <c r="Q162" s="220"/>
      <c r="R162" s="220"/>
      <c r="S162" s="220"/>
      <c r="T162" s="220"/>
      <c r="U162" s="220"/>
      <c r="V162" s="220"/>
      <c r="W162" s="220"/>
      <c r="X162" s="220"/>
      <c r="Y162" s="220"/>
      <c r="Z162" s="220"/>
      <c r="AA162" s="220"/>
      <c r="AB162" s="220"/>
      <c r="AC162" s="220"/>
      <c r="AD162" s="220"/>
      <c r="AE162" s="221"/>
      <c r="AF162" s="219"/>
      <c r="AG162" s="220"/>
      <c r="AH162" s="220"/>
      <c r="AI162" s="221"/>
      <c r="AJ162" s="252">
        <v>0.97</v>
      </c>
      <c r="AK162" s="253"/>
      <c r="AL162" s="253"/>
      <c r="AM162" s="254"/>
      <c r="AN162" s="246">
        <v>380</v>
      </c>
      <c r="AO162" s="247"/>
      <c r="AP162" s="248"/>
      <c r="AQ162" s="246" t="s">
        <v>165</v>
      </c>
      <c r="AR162" s="247"/>
      <c r="AS162" s="247"/>
      <c r="AT162" s="247"/>
      <c r="AU162" s="247"/>
      <c r="AV162" s="247"/>
      <c r="AW162" s="248"/>
      <c r="AX162" s="238" t="s">
        <v>164</v>
      </c>
      <c r="AY162" s="239"/>
      <c r="AZ162" s="239"/>
      <c r="BA162" s="239"/>
      <c r="BB162" s="239"/>
      <c r="BC162" s="239"/>
      <c r="BD162" s="240"/>
      <c r="BE162" s="246"/>
      <c r="BF162" s="247"/>
      <c r="BG162" s="247"/>
      <c r="BH162" s="247"/>
      <c r="BI162" s="248"/>
    </row>
    <row r="163" spans="7:61" ht="23.25" customHeight="1">
      <c r="G163" s="712"/>
      <c r="H163" s="712"/>
      <c r="I163" s="712"/>
      <c r="J163" s="712"/>
      <c r="K163" s="712"/>
      <c r="L163" s="712"/>
      <c r="M163" s="715" t="s">
        <v>413</v>
      </c>
      <c r="N163" s="223"/>
      <c r="O163" s="223"/>
      <c r="P163" s="223"/>
      <c r="Q163" s="223"/>
      <c r="R163" s="223"/>
      <c r="S163" s="223"/>
      <c r="T163" s="223"/>
      <c r="U163" s="223"/>
      <c r="V163" s="223"/>
      <c r="W163" s="223"/>
      <c r="X163" s="223"/>
      <c r="Y163" s="223"/>
      <c r="Z163" s="223"/>
      <c r="AA163" s="223"/>
      <c r="AB163" s="223"/>
      <c r="AC163" s="223"/>
      <c r="AD163" s="223"/>
      <c r="AE163" s="223"/>
      <c r="AF163" s="223"/>
      <c r="AG163" s="223"/>
      <c r="AH163" s="223"/>
      <c r="AI163" s="223"/>
      <c r="AJ163" s="223"/>
      <c r="AK163" s="223"/>
      <c r="AL163" s="223"/>
      <c r="AM163" s="223"/>
      <c r="AN163" s="223"/>
      <c r="AO163" s="223"/>
      <c r="AP163" s="223"/>
      <c r="AQ163" s="223"/>
      <c r="AR163" s="223"/>
      <c r="AS163" s="223"/>
      <c r="AT163" s="223"/>
      <c r="AU163" s="223"/>
      <c r="AV163" s="223"/>
      <c r="AW163" s="223"/>
      <c r="AX163" s="223"/>
      <c r="AY163" s="223"/>
      <c r="AZ163" s="223"/>
      <c r="BA163" s="223"/>
      <c r="BB163" s="223"/>
      <c r="BC163" s="223"/>
      <c r="BD163" s="223"/>
      <c r="BE163" s="223"/>
      <c r="BF163" s="223"/>
      <c r="BG163" s="223"/>
      <c r="BH163" s="223"/>
      <c r="BI163" s="224"/>
    </row>
    <row r="164" spans="7:61">
      <c r="G164" s="701" t="s">
        <v>11</v>
      </c>
      <c r="H164" s="702"/>
      <c r="I164" s="702"/>
      <c r="J164" s="702"/>
      <c r="K164" s="702"/>
      <c r="L164" s="702"/>
      <c r="M164" s="249">
        <v>400</v>
      </c>
      <c r="N164" s="249"/>
      <c r="O164" s="249"/>
      <c r="P164" s="249" t="s">
        <v>42</v>
      </c>
      <c r="Q164" s="249"/>
      <c r="R164" s="249"/>
      <c r="S164" s="249"/>
      <c r="T164" s="249"/>
      <c r="U164" s="249"/>
      <c r="V164" s="249"/>
      <c r="W164" s="249"/>
      <c r="X164" s="250" t="s">
        <v>216</v>
      </c>
      <c r="Y164" s="250"/>
      <c r="Z164" s="250"/>
      <c r="AA164" s="250"/>
      <c r="AB164" s="250"/>
      <c r="AC164" s="250"/>
      <c r="AD164" s="250"/>
      <c r="AE164" s="250"/>
      <c r="AF164" s="249" t="s">
        <v>355</v>
      </c>
      <c r="AG164" s="249"/>
      <c r="AH164" s="249"/>
      <c r="AI164" s="249"/>
      <c r="AJ164" s="253" t="s">
        <v>472</v>
      </c>
      <c r="AK164" s="253"/>
      <c r="AL164" s="253"/>
      <c r="AM164" s="254"/>
      <c r="AN164" s="246">
        <v>220</v>
      </c>
      <c r="AO164" s="247"/>
      <c r="AP164" s="248"/>
      <c r="AQ164" s="246" t="s">
        <v>42</v>
      </c>
      <c r="AR164" s="247"/>
      <c r="AS164" s="247"/>
      <c r="AT164" s="247"/>
      <c r="AU164" s="247"/>
      <c r="AV164" s="247"/>
      <c r="AW164" s="248"/>
      <c r="AX164" s="246" t="s">
        <v>362</v>
      </c>
      <c r="AY164" s="247"/>
      <c r="AZ164" s="247"/>
      <c r="BA164" s="247"/>
      <c r="BB164" s="247"/>
      <c r="BC164" s="247"/>
      <c r="BD164" s="248"/>
      <c r="BE164" s="246">
        <v>2</v>
      </c>
      <c r="BF164" s="247"/>
      <c r="BG164" s="247"/>
      <c r="BH164" s="247"/>
      <c r="BI164" s="248"/>
    </row>
    <row r="165" spans="7:61">
      <c r="G165" s="703"/>
      <c r="H165" s="704"/>
      <c r="I165" s="704"/>
      <c r="J165" s="704"/>
      <c r="K165" s="704"/>
      <c r="L165" s="704"/>
      <c r="M165" s="249"/>
      <c r="N165" s="249"/>
      <c r="O165" s="249"/>
      <c r="P165" s="249"/>
      <c r="Q165" s="249"/>
      <c r="R165" s="249"/>
      <c r="S165" s="249"/>
      <c r="T165" s="249"/>
      <c r="U165" s="249"/>
      <c r="V165" s="249"/>
      <c r="W165" s="249"/>
      <c r="X165" s="250"/>
      <c r="Y165" s="250"/>
      <c r="Z165" s="250"/>
      <c r="AA165" s="250"/>
      <c r="AB165" s="250"/>
      <c r="AC165" s="250"/>
      <c r="AD165" s="250"/>
      <c r="AE165" s="250"/>
      <c r="AF165" s="249"/>
      <c r="AG165" s="249"/>
      <c r="AH165" s="249"/>
      <c r="AI165" s="249"/>
      <c r="AJ165" s="253" t="s">
        <v>237</v>
      </c>
      <c r="AK165" s="253"/>
      <c r="AL165" s="253"/>
      <c r="AM165" s="254"/>
      <c r="AN165" s="246">
        <v>220</v>
      </c>
      <c r="AO165" s="247"/>
      <c r="AP165" s="248"/>
      <c r="AQ165" s="246" t="s">
        <v>473</v>
      </c>
      <c r="AR165" s="247"/>
      <c r="AS165" s="247"/>
      <c r="AT165" s="247"/>
      <c r="AU165" s="247"/>
      <c r="AV165" s="247"/>
      <c r="AW165" s="248"/>
      <c r="AX165" s="246" t="s">
        <v>474</v>
      </c>
      <c r="AY165" s="247"/>
      <c r="AZ165" s="247"/>
      <c r="BA165" s="247"/>
      <c r="BB165" s="247"/>
      <c r="BC165" s="247"/>
      <c r="BD165" s="248"/>
      <c r="BE165" s="246"/>
      <c r="BF165" s="247"/>
      <c r="BG165" s="247"/>
      <c r="BH165" s="247"/>
      <c r="BI165" s="248"/>
    </row>
    <row r="166" spans="7:61" ht="36" customHeight="1">
      <c r="G166" s="705"/>
      <c r="H166" s="706"/>
      <c r="I166" s="706"/>
      <c r="J166" s="706"/>
      <c r="K166" s="706"/>
      <c r="L166" s="707"/>
      <c r="M166" s="222" t="s">
        <v>476</v>
      </c>
      <c r="N166" s="699"/>
      <c r="O166" s="699"/>
      <c r="P166" s="699"/>
      <c r="Q166" s="699"/>
      <c r="R166" s="699"/>
      <c r="S166" s="699"/>
      <c r="T166" s="699"/>
      <c r="U166" s="699"/>
      <c r="V166" s="699"/>
      <c r="W166" s="699"/>
      <c r="X166" s="699"/>
      <c r="Y166" s="699"/>
      <c r="Z166" s="699"/>
      <c r="AA166" s="699"/>
      <c r="AB166" s="699"/>
      <c r="AC166" s="699"/>
      <c r="AD166" s="699"/>
      <c r="AE166" s="699"/>
      <c r="AF166" s="699"/>
      <c r="AG166" s="699"/>
      <c r="AH166" s="699"/>
      <c r="AI166" s="699"/>
      <c r="AJ166" s="699"/>
      <c r="AK166" s="699"/>
      <c r="AL166" s="699"/>
      <c r="AM166" s="699"/>
      <c r="AN166" s="699"/>
      <c r="AO166" s="699"/>
      <c r="AP166" s="699"/>
      <c r="AQ166" s="699"/>
      <c r="AR166" s="699"/>
      <c r="AS166" s="699"/>
      <c r="AT166" s="699"/>
      <c r="AU166" s="699"/>
      <c r="AV166" s="699"/>
      <c r="AW166" s="699"/>
      <c r="AX166" s="699"/>
      <c r="AY166" s="699"/>
      <c r="AZ166" s="699"/>
      <c r="BA166" s="699"/>
      <c r="BB166" s="699"/>
      <c r="BC166" s="699"/>
      <c r="BD166" s="699"/>
      <c r="BE166" s="699"/>
      <c r="BF166" s="699"/>
      <c r="BG166" s="699"/>
      <c r="BH166" s="699"/>
      <c r="BI166" s="700"/>
    </row>
    <row r="167" spans="7:61">
      <c r="G167" s="701" t="s">
        <v>11</v>
      </c>
      <c r="H167" s="702"/>
      <c r="I167" s="702"/>
      <c r="J167" s="702"/>
      <c r="K167" s="702"/>
      <c r="L167" s="702"/>
      <c r="M167" s="249">
        <v>400</v>
      </c>
      <c r="N167" s="249"/>
      <c r="O167" s="249"/>
      <c r="P167" s="249" t="s">
        <v>42</v>
      </c>
      <c r="Q167" s="249"/>
      <c r="R167" s="249"/>
      <c r="S167" s="249"/>
      <c r="T167" s="249"/>
      <c r="U167" s="249"/>
      <c r="V167" s="249"/>
      <c r="W167" s="249"/>
      <c r="X167" s="250" t="s">
        <v>214</v>
      </c>
      <c r="Y167" s="250"/>
      <c r="Z167" s="250"/>
      <c r="AA167" s="250"/>
      <c r="AB167" s="250"/>
      <c r="AC167" s="250"/>
      <c r="AD167" s="250"/>
      <c r="AE167" s="250"/>
      <c r="AF167" s="249" t="s">
        <v>93</v>
      </c>
      <c r="AG167" s="249"/>
      <c r="AH167" s="249"/>
      <c r="AI167" s="249"/>
      <c r="AJ167" s="253" t="s">
        <v>475</v>
      </c>
      <c r="AK167" s="253"/>
      <c r="AL167" s="253"/>
      <c r="AM167" s="254"/>
      <c r="AN167" s="246">
        <v>400</v>
      </c>
      <c r="AO167" s="247"/>
      <c r="AP167" s="248"/>
      <c r="AQ167" s="246" t="s">
        <v>42</v>
      </c>
      <c r="AR167" s="247"/>
      <c r="AS167" s="247"/>
      <c r="AT167" s="247"/>
      <c r="AU167" s="247"/>
      <c r="AV167" s="247"/>
      <c r="AW167" s="248"/>
      <c r="AX167" s="246" t="s">
        <v>214</v>
      </c>
      <c r="AY167" s="247"/>
      <c r="AZ167" s="247"/>
      <c r="BA167" s="247"/>
      <c r="BB167" s="247"/>
      <c r="BC167" s="247"/>
      <c r="BD167" s="248"/>
      <c r="BE167" s="246">
        <v>3</v>
      </c>
      <c r="BF167" s="247"/>
      <c r="BG167" s="247"/>
      <c r="BH167" s="247"/>
      <c r="BI167" s="248"/>
    </row>
    <row r="168" spans="7:61" ht="36" customHeight="1">
      <c r="G168" s="705"/>
      <c r="H168" s="706"/>
      <c r="I168" s="706"/>
      <c r="J168" s="706"/>
      <c r="K168" s="706"/>
      <c r="L168" s="707"/>
      <c r="M168" s="222" t="s">
        <v>477</v>
      </c>
      <c r="N168" s="699"/>
      <c r="O168" s="699"/>
      <c r="P168" s="699"/>
      <c r="Q168" s="699"/>
      <c r="R168" s="699"/>
      <c r="S168" s="699"/>
      <c r="T168" s="699"/>
      <c r="U168" s="699"/>
      <c r="V168" s="699"/>
      <c r="W168" s="699"/>
      <c r="X168" s="699"/>
      <c r="Y168" s="699"/>
      <c r="Z168" s="699"/>
      <c r="AA168" s="699"/>
      <c r="AB168" s="699"/>
      <c r="AC168" s="699"/>
      <c r="AD168" s="699"/>
      <c r="AE168" s="699"/>
      <c r="AF168" s="699"/>
      <c r="AG168" s="699"/>
      <c r="AH168" s="699"/>
      <c r="AI168" s="699"/>
      <c r="AJ168" s="699"/>
      <c r="AK168" s="699"/>
      <c r="AL168" s="699"/>
      <c r="AM168" s="699"/>
      <c r="AN168" s="699"/>
      <c r="AO168" s="699"/>
      <c r="AP168" s="699"/>
      <c r="AQ168" s="699"/>
      <c r="AR168" s="699"/>
      <c r="AS168" s="699"/>
      <c r="AT168" s="699"/>
      <c r="AU168" s="699"/>
      <c r="AV168" s="699"/>
      <c r="AW168" s="699"/>
      <c r="AX168" s="699"/>
      <c r="AY168" s="699"/>
      <c r="AZ168" s="699"/>
      <c r="BA168" s="699"/>
      <c r="BB168" s="699"/>
      <c r="BC168" s="699"/>
      <c r="BD168" s="699"/>
      <c r="BE168" s="699"/>
      <c r="BF168" s="699"/>
      <c r="BG168" s="699"/>
      <c r="BH168" s="699"/>
      <c r="BI168" s="700"/>
    </row>
    <row r="169" spans="7:61">
      <c r="G169" s="701" t="s">
        <v>479</v>
      </c>
      <c r="H169" s="702"/>
      <c r="I169" s="702"/>
      <c r="J169" s="702"/>
      <c r="K169" s="702"/>
      <c r="L169" s="708"/>
      <c r="M169" s="246">
        <v>400</v>
      </c>
      <c r="N169" s="247"/>
      <c r="O169" s="248"/>
      <c r="P169" s="246" t="s">
        <v>272</v>
      </c>
      <c r="Q169" s="247"/>
      <c r="R169" s="247"/>
      <c r="S169" s="247"/>
      <c r="T169" s="247"/>
      <c r="U169" s="247"/>
      <c r="V169" s="247"/>
      <c r="W169" s="248"/>
      <c r="X169" s="746" t="s">
        <v>40</v>
      </c>
      <c r="Y169" s="744"/>
      <c r="Z169" s="744"/>
      <c r="AA169" s="744"/>
      <c r="AB169" s="744"/>
      <c r="AC169" s="744"/>
      <c r="AD169" s="744"/>
      <c r="AE169" s="747"/>
      <c r="AF169" s="246" t="s">
        <v>93</v>
      </c>
      <c r="AG169" s="247"/>
      <c r="AH169" s="247"/>
      <c r="AI169" s="248"/>
      <c r="AJ169" s="252">
        <v>1.02</v>
      </c>
      <c r="AK169" s="253"/>
      <c r="AL169" s="253"/>
      <c r="AM169" s="254"/>
      <c r="AN169" s="246">
        <v>400</v>
      </c>
      <c r="AO169" s="247"/>
      <c r="AP169" s="248"/>
      <c r="AQ169" s="246" t="s">
        <v>286</v>
      </c>
      <c r="AR169" s="247"/>
      <c r="AS169" s="247"/>
      <c r="AT169" s="247"/>
      <c r="AU169" s="247"/>
      <c r="AV169" s="247"/>
      <c r="AW169" s="248"/>
      <c r="AX169" s="246" t="s">
        <v>276</v>
      </c>
      <c r="AY169" s="247"/>
      <c r="AZ169" s="247"/>
      <c r="BA169" s="247"/>
      <c r="BB169" s="247"/>
      <c r="BC169" s="247"/>
      <c r="BD169" s="248"/>
      <c r="BE169" s="246"/>
      <c r="BF169" s="247"/>
      <c r="BG169" s="247"/>
      <c r="BH169" s="247"/>
      <c r="BI169" s="248"/>
    </row>
    <row r="170" spans="7:61">
      <c r="G170" s="705"/>
      <c r="H170" s="706"/>
      <c r="I170" s="706"/>
      <c r="J170" s="706"/>
      <c r="K170" s="706"/>
      <c r="L170" s="707"/>
      <c r="M170" s="222" t="s">
        <v>478</v>
      </c>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223"/>
      <c r="AJ170" s="223"/>
      <c r="AK170" s="223"/>
      <c r="AL170" s="223"/>
      <c r="AM170" s="223"/>
      <c r="AN170" s="223"/>
      <c r="AO170" s="223"/>
      <c r="AP170" s="223"/>
      <c r="AQ170" s="223"/>
      <c r="AR170" s="223"/>
      <c r="AS170" s="223"/>
      <c r="AT170" s="223"/>
      <c r="AU170" s="223"/>
      <c r="AV170" s="223"/>
      <c r="AW170" s="223"/>
      <c r="AX170" s="223"/>
      <c r="AY170" s="223"/>
      <c r="AZ170" s="223"/>
      <c r="BA170" s="223"/>
      <c r="BB170" s="223"/>
      <c r="BC170" s="223"/>
      <c r="BD170" s="223"/>
      <c r="BE170" s="223"/>
      <c r="BF170" s="223"/>
      <c r="BG170" s="223"/>
      <c r="BH170" s="223"/>
      <c r="BI170" s="224"/>
    </row>
    <row r="171" spans="7:61">
      <c r="G171" s="262" t="s">
        <v>384</v>
      </c>
      <c r="H171" s="263"/>
      <c r="I171" s="263"/>
      <c r="J171" s="263"/>
      <c r="K171" s="263"/>
      <c r="L171" s="264"/>
      <c r="M171" s="246">
        <v>400</v>
      </c>
      <c r="N171" s="247"/>
      <c r="O171" s="248"/>
      <c r="P171" s="246" t="s">
        <v>385</v>
      </c>
      <c r="Q171" s="247"/>
      <c r="R171" s="247"/>
      <c r="S171" s="247"/>
      <c r="T171" s="247"/>
      <c r="U171" s="247"/>
      <c r="V171" s="247"/>
      <c r="W171" s="248"/>
      <c r="X171" s="246" t="s">
        <v>480</v>
      </c>
      <c r="Y171" s="247"/>
      <c r="Z171" s="247"/>
      <c r="AA171" s="247"/>
      <c r="AB171" s="247"/>
      <c r="AC171" s="247"/>
      <c r="AD171" s="247"/>
      <c r="AE171" s="248"/>
      <c r="AF171" s="246" t="s">
        <v>386</v>
      </c>
      <c r="AG171" s="247"/>
      <c r="AH171" s="247"/>
      <c r="AI171" s="248"/>
      <c r="AJ171" s="265">
        <v>1.08</v>
      </c>
      <c r="AK171" s="244"/>
      <c r="AL171" s="244"/>
      <c r="AM171" s="245"/>
      <c r="AN171" s="238">
        <v>220</v>
      </c>
      <c r="AO171" s="239"/>
      <c r="AP171" s="240"/>
      <c r="AQ171" s="238" t="s">
        <v>146</v>
      </c>
      <c r="AR171" s="239"/>
      <c r="AS171" s="239"/>
      <c r="AT171" s="239"/>
      <c r="AU171" s="239"/>
      <c r="AV171" s="239"/>
      <c r="AW171" s="240"/>
      <c r="AX171" s="238" t="s">
        <v>158</v>
      </c>
      <c r="AY171" s="239"/>
      <c r="AZ171" s="239"/>
      <c r="BA171" s="239"/>
      <c r="BB171" s="239"/>
      <c r="BC171" s="239"/>
      <c r="BD171" s="240"/>
      <c r="BE171" s="246"/>
      <c r="BF171" s="247"/>
      <c r="BG171" s="247"/>
      <c r="BH171" s="247"/>
      <c r="BI171" s="248"/>
    </row>
    <row r="172" spans="7:61">
      <c r="G172" s="228"/>
      <c r="H172" s="229"/>
      <c r="I172" s="229"/>
      <c r="J172" s="229"/>
      <c r="K172" s="229"/>
      <c r="L172" s="230"/>
      <c r="M172" s="222" t="s">
        <v>481</v>
      </c>
      <c r="N172" s="223"/>
      <c r="O172" s="223"/>
      <c r="P172" s="223"/>
      <c r="Q172" s="223"/>
      <c r="R172" s="223"/>
      <c r="S172" s="223"/>
      <c r="T172" s="223"/>
      <c r="U172" s="223"/>
      <c r="V172" s="223"/>
      <c r="W172" s="223"/>
      <c r="X172" s="223"/>
      <c r="Y172" s="223"/>
      <c r="Z172" s="223"/>
      <c r="AA172" s="223"/>
      <c r="AB172" s="223"/>
      <c r="AC172" s="223"/>
      <c r="AD172" s="223"/>
      <c r="AE172" s="223"/>
      <c r="AF172" s="223"/>
      <c r="AG172" s="223"/>
      <c r="AH172" s="223"/>
      <c r="AI172" s="223"/>
      <c r="AJ172" s="223"/>
      <c r="AK172" s="223"/>
      <c r="AL172" s="223"/>
      <c r="AM172" s="223"/>
      <c r="AN172" s="223"/>
      <c r="AO172" s="223"/>
      <c r="AP172" s="223"/>
      <c r="AQ172" s="223"/>
      <c r="AR172" s="223"/>
      <c r="AS172" s="223"/>
      <c r="AT172" s="223"/>
      <c r="AU172" s="223"/>
      <c r="AV172" s="223"/>
      <c r="AW172" s="223"/>
      <c r="AX172" s="223"/>
      <c r="AY172" s="223"/>
      <c r="AZ172" s="223"/>
      <c r="BA172" s="223"/>
      <c r="BB172" s="223"/>
      <c r="BC172" s="223"/>
      <c r="BD172" s="223"/>
      <c r="BE172" s="223"/>
      <c r="BF172" s="223"/>
      <c r="BG172" s="223"/>
      <c r="BH172" s="223"/>
      <c r="BI172" s="224"/>
    </row>
    <row r="173" spans="7:61">
      <c r="G173" s="701" t="s">
        <v>11</v>
      </c>
      <c r="H173" s="702"/>
      <c r="I173" s="702"/>
      <c r="J173" s="702"/>
      <c r="K173" s="702"/>
      <c r="L173" s="702"/>
      <c r="M173" s="249">
        <v>400</v>
      </c>
      <c r="N173" s="249"/>
      <c r="O173" s="249"/>
      <c r="P173" s="249" t="s">
        <v>42</v>
      </c>
      <c r="Q173" s="249"/>
      <c r="R173" s="249"/>
      <c r="S173" s="249"/>
      <c r="T173" s="249"/>
      <c r="U173" s="249"/>
      <c r="V173" s="249"/>
      <c r="W173" s="249"/>
      <c r="X173" s="250" t="s">
        <v>214</v>
      </c>
      <c r="Y173" s="250"/>
      <c r="Z173" s="250"/>
      <c r="AA173" s="250"/>
      <c r="AB173" s="250"/>
      <c r="AC173" s="250"/>
      <c r="AD173" s="250"/>
      <c r="AE173" s="250"/>
      <c r="AF173" s="249" t="s">
        <v>93</v>
      </c>
      <c r="AG173" s="249"/>
      <c r="AH173" s="249"/>
      <c r="AI173" s="249"/>
      <c r="AJ173" s="253" t="s">
        <v>482</v>
      </c>
      <c r="AK173" s="253"/>
      <c r="AL173" s="253"/>
      <c r="AM173" s="254"/>
      <c r="AN173" s="246">
        <v>400</v>
      </c>
      <c r="AO173" s="247"/>
      <c r="AP173" s="248"/>
      <c r="AQ173" s="246" t="s">
        <v>42</v>
      </c>
      <c r="AR173" s="247"/>
      <c r="AS173" s="247"/>
      <c r="AT173" s="247"/>
      <c r="AU173" s="247"/>
      <c r="AV173" s="247"/>
      <c r="AW173" s="248"/>
      <c r="AX173" s="246" t="s">
        <v>214</v>
      </c>
      <c r="AY173" s="247"/>
      <c r="AZ173" s="247"/>
      <c r="BA173" s="247"/>
      <c r="BB173" s="247"/>
      <c r="BC173" s="247"/>
      <c r="BD173" s="248"/>
      <c r="BE173" s="246">
        <v>3</v>
      </c>
      <c r="BF173" s="247"/>
      <c r="BG173" s="247"/>
      <c r="BH173" s="247"/>
      <c r="BI173" s="248"/>
    </row>
    <row r="174" spans="7:61" ht="49.5" customHeight="1">
      <c r="G174" s="705"/>
      <c r="H174" s="706"/>
      <c r="I174" s="706"/>
      <c r="J174" s="706"/>
      <c r="K174" s="706"/>
      <c r="L174" s="707"/>
      <c r="M174" s="222" t="s">
        <v>485</v>
      </c>
      <c r="N174" s="699"/>
      <c r="O174" s="699"/>
      <c r="P174" s="699"/>
      <c r="Q174" s="699"/>
      <c r="R174" s="699"/>
      <c r="S174" s="699"/>
      <c r="T174" s="699"/>
      <c r="U174" s="699"/>
      <c r="V174" s="699"/>
      <c r="W174" s="699"/>
      <c r="X174" s="699"/>
      <c r="Y174" s="699"/>
      <c r="Z174" s="699"/>
      <c r="AA174" s="699"/>
      <c r="AB174" s="699"/>
      <c r="AC174" s="699"/>
      <c r="AD174" s="699"/>
      <c r="AE174" s="699"/>
      <c r="AF174" s="699"/>
      <c r="AG174" s="699"/>
      <c r="AH174" s="699"/>
      <c r="AI174" s="699"/>
      <c r="AJ174" s="699"/>
      <c r="AK174" s="699"/>
      <c r="AL174" s="699"/>
      <c r="AM174" s="699"/>
      <c r="AN174" s="699"/>
      <c r="AO174" s="699"/>
      <c r="AP174" s="699"/>
      <c r="AQ174" s="699"/>
      <c r="AR174" s="699"/>
      <c r="AS174" s="699"/>
      <c r="AT174" s="699"/>
      <c r="AU174" s="699"/>
      <c r="AV174" s="699"/>
      <c r="AW174" s="699"/>
      <c r="AX174" s="699"/>
      <c r="AY174" s="699"/>
      <c r="AZ174" s="699"/>
      <c r="BA174" s="699"/>
      <c r="BB174" s="699"/>
      <c r="BC174" s="699"/>
      <c r="BD174" s="699"/>
      <c r="BE174" s="699"/>
      <c r="BF174" s="699"/>
      <c r="BG174" s="699"/>
      <c r="BH174" s="699"/>
      <c r="BI174" s="700"/>
    </row>
    <row r="175" spans="7:61">
      <c r="G175" s="701" t="s">
        <v>11</v>
      </c>
      <c r="H175" s="702"/>
      <c r="I175" s="702"/>
      <c r="J175" s="702"/>
      <c r="K175" s="702"/>
      <c r="L175" s="702"/>
      <c r="M175" s="249">
        <v>400</v>
      </c>
      <c r="N175" s="249"/>
      <c r="O175" s="249"/>
      <c r="P175" s="249" t="s">
        <v>42</v>
      </c>
      <c r="Q175" s="249"/>
      <c r="R175" s="249"/>
      <c r="S175" s="249"/>
      <c r="T175" s="249"/>
      <c r="U175" s="249"/>
      <c r="V175" s="249"/>
      <c r="W175" s="249"/>
      <c r="X175" s="250" t="s">
        <v>216</v>
      </c>
      <c r="Y175" s="250"/>
      <c r="Z175" s="250"/>
      <c r="AA175" s="250"/>
      <c r="AB175" s="250"/>
      <c r="AC175" s="250"/>
      <c r="AD175" s="250"/>
      <c r="AE175" s="250"/>
      <c r="AF175" s="249" t="s">
        <v>355</v>
      </c>
      <c r="AG175" s="249"/>
      <c r="AH175" s="249"/>
      <c r="AI175" s="249"/>
      <c r="AJ175" s="253" t="s">
        <v>472</v>
      </c>
      <c r="AK175" s="253"/>
      <c r="AL175" s="253"/>
      <c r="AM175" s="254"/>
      <c r="AN175" s="246">
        <v>220</v>
      </c>
      <c r="AO175" s="247"/>
      <c r="AP175" s="248"/>
      <c r="AQ175" s="246" t="s">
        <v>42</v>
      </c>
      <c r="AR175" s="247"/>
      <c r="AS175" s="247"/>
      <c r="AT175" s="247"/>
      <c r="AU175" s="247"/>
      <c r="AV175" s="247"/>
      <c r="AW175" s="248"/>
      <c r="AX175" s="246" t="s">
        <v>362</v>
      </c>
      <c r="AY175" s="247"/>
      <c r="AZ175" s="247"/>
      <c r="BA175" s="247"/>
      <c r="BB175" s="247"/>
      <c r="BC175" s="247"/>
      <c r="BD175" s="248"/>
      <c r="BE175" s="246">
        <v>2</v>
      </c>
      <c r="BF175" s="247"/>
      <c r="BG175" s="247"/>
      <c r="BH175" s="247"/>
      <c r="BI175" s="248"/>
    </row>
    <row r="176" spans="7:61">
      <c r="G176" s="703"/>
      <c r="H176" s="704"/>
      <c r="I176" s="704"/>
      <c r="J176" s="704"/>
      <c r="K176" s="704"/>
      <c r="L176" s="704"/>
      <c r="M176" s="249"/>
      <c r="N176" s="249"/>
      <c r="O176" s="249"/>
      <c r="P176" s="249"/>
      <c r="Q176" s="249"/>
      <c r="R176" s="249"/>
      <c r="S176" s="249"/>
      <c r="T176" s="249"/>
      <c r="U176" s="249"/>
      <c r="V176" s="249"/>
      <c r="W176" s="249"/>
      <c r="X176" s="250"/>
      <c r="Y176" s="250"/>
      <c r="Z176" s="250"/>
      <c r="AA176" s="250"/>
      <c r="AB176" s="250"/>
      <c r="AC176" s="250"/>
      <c r="AD176" s="250"/>
      <c r="AE176" s="250"/>
      <c r="AF176" s="249"/>
      <c r="AG176" s="249"/>
      <c r="AH176" s="249"/>
      <c r="AI176" s="249"/>
      <c r="AJ176" s="253" t="s">
        <v>483</v>
      </c>
      <c r="AK176" s="253"/>
      <c r="AL176" s="253"/>
      <c r="AM176" s="254"/>
      <c r="AN176" s="246">
        <v>220</v>
      </c>
      <c r="AO176" s="247"/>
      <c r="AP176" s="248"/>
      <c r="AQ176" s="246" t="s">
        <v>473</v>
      </c>
      <c r="AR176" s="247"/>
      <c r="AS176" s="247"/>
      <c r="AT176" s="247"/>
      <c r="AU176" s="247"/>
      <c r="AV176" s="247"/>
      <c r="AW176" s="248"/>
      <c r="AX176" s="246" t="s">
        <v>474</v>
      </c>
      <c r="AY176" s="247"/>
      <c r="AZ176" s="247"/>
      <c r="BA176" s="247"/>
      <c r="BB176" s="247"/>
      <c r="BC176" s="247"/>
      <c r="BD176" s="248"/>
      <c r="BE176" s="205"/>
      <c r="BF176" s="206"/>
      <c r="BG176" s="206"/>
      <c r="BH176" s="206"/>
      <c r="BI176" s="207"/>
    </row>
    <row r="177" spans="7:61">
      <c r="G177" s="703"/>
      <c r="H177" s="704"/>
      <c r="I177" s="704"/>
      <c r="J177" s="704"/>
      <c r="K177" s="704"/>
      <c r="L177" s="704"/>
      <c r="M177" s="249"/>
      <c r="N177" s="249"/>
      <c r="O177" s="249"/>
      <c r="P177" s="249"/>
      <c r="Q177" s="249"/>
      <c r="R177" s="249"/>
      <c r="S177" s="249"/>
      <c r="T177" s="249"/>
      <c r="U177" s="249"/>
      <c r="V177" s="249"/>
      <c r="W177" s="249"/>
      <c r="X177" s="250"/>
      <c r="Y177" s="250"/>
      <c r="Z177" s="250"/>
      <c r="AA177" s="250"/>
      <c r="AB177" s="250"/>
      <c r="AC177" s="250"/>
      <c r="AD177" s="250"/>
      <c r="AE177" s="250"/>
      <c r="AF177" s="249"/>
      <c r="AG177" s="249"/>
      <c r="AH177" s="249"/>
      <c r="AI177" s="249"/>
      <c r="AJ177" s="253" t="s">
        <v>484</v>
      </c>
      <c r="AK177" s="253"/>
      <c r="AL177" s="253"/>
      <c r="AM177" s="254"/>
      <c r="AN177" s="246">
        <v>220</v>
      </c>
      <c r="AO177" s="247"/>
      <c r="AP177" s="248"/>
      <c r="AQ177" s="246" t="s">
        <v>357</v>
      </c>
      <c r="AR177" s="247"/>
      <c r="AS177" s="247"/>
      <c r="AT177" s="247"/>
      <c r="AU177" s="247"/>
      <c r="AV177" s="247"/>
      <c r="AW177" s="248"/>
      <c r="AX177" s="246" t="s">
        <v>358</v>
      </c>
      <c r="AY177" s="247"/>
      <c r="AZ177" s="247"/>
      <c r="BA177" s="247"/>
      <c r="BB177" s="247"/>
      <c r="BC177" s="247"/>
      <c r="BD177" s="248"/>
      <c r="BE177" s="246"/>
      <c r="BF177" s="247"/>
      <c r="BG177" s="247"/>
      <c r="BH177" s="247"/>
      <c r="BI177" s="248"/>
    </row>
    <row r="178" spans="7:61" ht="39" customHeight="1">
      <c r="G178" s="705"/>
      <c r="H178" s="706"/>
      <c r="I178" s="706"/>
      <c r="J178" s="706"/>
      <c r="K178" s="706"/>
      <c r="L178" s="707"/>
      <c r="M178" s="222" t="s">
        <v>486</v>
      </c>
      <c r="N178" s="699"/>
      <c r="O178" s="699"/>
      <c r="P178" s="699"/>
      <c r="Q178" s="699"/>
      <c r="R178" s="699"/>
      <c r="S178" s="699"/>
      <c r="T178" s="699"/>
      <c r="U178" s="699"/>
      <c r="V178" s="699"/>
      <c r="W178" s="699"/>
      <c r="X178" s="699"/>
      <c r="Y178" s="699"/>
      <c r="Z178" s="699"/>
      <c r="AA178" s="699"/>
      <c r="AB178" s="699"/>
      <c r="AC178" s="699"/>
      <c r="AD178" s="699"/>
      <c r="AE178" s="699"/>
      <c r="AF178" s="699"/>
      <c r="AG178" s="699"/>
      <c r="AH178" s="699"/>
      <c r="AI178" s="699"/>
      <c r="AJ178" s="699"/>
      <c r="AK178" s="699"/>
      <c r="AL178" s="699"/>
      <c r="AM178" s="699"/>
      <c r="AN178" s="699"/>
      <c r="AO178" s="699"/>
      <c r="AP178" s="699"/>
      <c r="AQ178" s="699"/>
      <c r="AR178" s="699"/>
      <c r="AS178" s="699"/>
      <c r="AT178" s="699"/>
      <c r="AU178" s="699"/>
      <c r="AV178" s="699"/>
      <c r="AW178" s="699"/>
      <c r="AX178" s="699"/>
      <c r="AY178" s="699"/>
      <c r="AZ178" s="699"/>
      <c r="BA178" s="699"/>
      <c r="BB178" s="699"/>
      <c r="BC178" s="699"/>
      <c r="BD178" s="699"/>
      <c r="BE178" s="699"/>
      <c r="BF178" s="699"/>
      <c r="BG178" s="699"/>
      <c r="BH178" s="699"/>
      <c r="BI178" s="700"/>
    </row>
    <row r="179" spans="7:61">
      <c r="G179" s="701" t="s">
        <v>11</v>
      </c>
      <c r="H179" s="702"/>
      <c r="I179" s="702"/>
      <c r="J179" s="702"/>
      <c r="K179" s="702"/>
      <c r="L179" s="702"/>
      <c r="M179" s="249">
        <v>400</v>
      </c>
      <c r="N179" s="249"/>
      <c r="O179" s="249"/>
      <c r="P179" s="249" t="s">
        <v>42</v>
      </c>
      <c r="Q179" s="249"/>
      <c r="R179" s="249"/>
      <c r="S179" s="249"/>
      <c r="T179" s="249"/>
      <c r="U179" s="249"/>
      <c r="V179" s="249"/>
      <c r="W179" s="249"/>
      <c r="X179" s="250" t="s">
        <v>214</v>
      </c>
      <c r="Y179" s="250"/>
      <c r="Z179" s="250"/>
      <c r="AA179" s="250"/>
      <c r="AB179" s="250"/>
      <c r="AC179" s="250"/>
      <c r="AD179" s="250"/>
      <c r="AE179" s="250"/>
      <c r="AF179" s="249" t="s">
        <v>93</v>
      </c>
      <c r="AG179" s="249"/>
      <c r="AH179" s="249"/>
      <c r="AI179" s="249"/>
      <c r="AJ179" s="253" t="s">
        <v>487</v>
      </c>
      <c r="AK179" s="253"/>
      <c r="AL179" s="253"/>
      <c r="AM179" s="254"/>
      <c r="AN179" s="246">
        <v>400</v>
      </c>
      <c r="AO179" s="247"/>
      <c r="AP179" s="248"/>
      <c r="AQ179" s="246" t="s">
        <v>42</v>
      </c>
      <c r="AR179" s="247"/>
      <c r="AS179" s="247"/>
      <c r="AT179" s="247"/>
      <c r="AU179" s="247"/>
      <c r="AV179" s="247"/>
      <c r="AW179" s="248"/>
      <c r="AX179" s="246" t="s">
        <v>214</v>
      </c>
      <c r="AY179" s="247"/>
      <c r="AZ179" s="247"/>
      <c r="BA179" s="247"/>
      <c r="BB179" s="247"/>
      <c r="BC179" s="247"/>
      <c r="BD179" s="248"/>
      <c r="BE179" s="246">
        <v>3</v>
      </c>
      <c r="BF179" s="247"/>
      <c r="BG179" s="247"/>
      <c r="BH179" s="247"/>
      <c r="BI179" s="248"/>
    </row>
    <row r="180" spans="7:61" ht="24.75" customHeight="1">
      <c r="G180" s="705"/>
      <c r="H180" s="706"/>
      <c r="I180" s="706"/>
      <c r="J180" s="706"/>
      <c r="K180" s="706"/>
      <c r="L180" s="707"/>
      <c r="M180" s="222" t="s">
        <v>488</v>
      </c>
      <c r="N180" s="699"/>
      <c r="O180" s="699"/>
      <c r="P180" s="699"/>
      <c r="Q180" s="699"/>
      <c r="R180" s="699"/>
      <c r="S180" s="699"/>
      <c r="T180" s="699"/>
      <c r="U180" s="699"/>
      <c r="V180" s="699"/>
      <c r="W180" s="699"/>
      <c r="X180" s="699"/>
      <c r="Y180" s="699"/>
      <c r="Z180" s="699"/>
      <c r="AA180" s="699"/>
      <c r="AB180" s="699"/>
      <c r="AC180" s="699"/>
      <c r="AD180" s="699"/>
      <c r="AE180" s="699"/>
      <c r="AF180" s="699"/>
      <c r="AG180" s="699"/>
      <c r="AH180" s="699"/>
      <c r="AI180" s="699"/>
      <c r="AJ180" s="699"/>
      <c r="AK180" s="699"/>
      <c r="AL180" s="699"/>
      <c r="AM180" s="699"/>
      <c r="AN180" s="699"/>
      <c r="AO180" s="699"/>
      <c r="AP180" s="699"/>
      <c r="AQ180" s="699"/>
      <c r="AR180" s="699"/>
      <c r="AS180" s="699"/>
      <c r="AT180" s="699"/>
      <c r="AU180" s="699"/>
      <c r="AV180" s="699"/>
      <c r="AW180" s="699"/>
      <c r="AX180" s="699"/>
      <c r="AY180" s="699"/>
      <c r="AZ180" s="699"/>
      <c r="BA180" s="699"/>
      <c r="BB180" s="699"/>
      <c r="BC180" s="699"/>
      <c r="BD180" s="699"/>
      <c r="BE180" s="699"/>
      <c r="BF180" s="699"/>
      <c r="BG180" s="699"/>
      <c r="BH180" s="699"/>
      <c r="BI180" s="700"/>
    </row>
    <row r="181" spans="7:61">
      <c r="G181" s="701" t="s">
        <v>11</v>
      </c>
      <c r="H181" s="702"/>
      <c r="I181" s="702"/>
      <c r="J181" s="702"/>
      <c r="K181" s="702"/>
      <c r="L181" s="702"/>
      <c r="M181" s="249">
        <v>400</v>
      </c>
      <c r="N181" s="249"/>
      <c r="O181" s="249"/>
      <c r="P181" s="249" t="s">
        <v>42</v>
      </c>
      <c r="Q181" s="249"/>
      <c r="R181" s="249"/>
      <c r="S181" s="249"/>
      <c r="T181" s="249"/>
      <c r="U181" s="249"/>
      <c r="V181" s="249"/>
      <c r="W181" s="249"/>
      <c r="X181" s="250" t="s">
        <v>216</v>
      </c>
      <c r="Y181" s="250"/>
      <c r="Z181" s="250"/>
      <c r="AA181" s="250"/>
      <c r="AB181" s="250"/>
      <c r="AC181" s="250"/>
      <c r="AD181" s="250"/>
      <c r="AE181" s="250"/>
      <c r="AF181" s="249" t="s">
        <v>355</v>
      </c>
      <c r="AG181" s="249"/>
      <c r="AH181" s="249"/>
      <c r="AI181" s="249"/>
      <c r="AJ181" s="253" t="s">
        <v>484</v>
      </c>
      <c r="AK181" s="253"/>
      <c r="AL181" s="253"/>
      <c r="AM181" s="254"/>
      <c r="AN181" s="246">
        <v>220</v>
      </c>
      <c r="AO181" s="247"/>
      <c r="AP181" s="248"/>
      <c r="AQ181" s="246" t="s">
        <v>42</v>
      </c>
      <c r="AR181" s="247"/>
      <c r="AS181" s="247"/>
      <c r="AT181" s="247"/>
      <c r="AU181" s="247"/>
      <c r="AV181" s="247"/>
      <c r="AW181" s="248"/>
      <c r="AX181" s="246" t="s">
        <v>362</v>
      </c>
      <c r="AY181" s="247"/>
      <c r="AZ181" s="247"/>
      <c r="BA181" s="247"/>
      <c r="BB181" s="247"/>
      <c r="BC181" s="247"/>
      <c r="BD181" s="248"/>
      <c r="BE181" s="246">
        <v>2</v>
      </c>
      <c r="BF181" s="247"/>
      <c r="BG181" s="247"/>
      <c r="BH181" s="247"/>
      <c r="BI181" s="248"/>
    </row>
    <row r="182" spans="7:61" ht="23.25" customHeight="1">
      <c r="G182" s="705"/>
      <c r="H182" s="706"/>
      <c r="I182" s="706"/>
      <c r="J182" s="706"/>
      <c r="K182" s="706"/>
      <c r="L182" s="707"/>
      <c r="M182" s="222" t="s">
        <v>489</v>
      </c>
      <c r="N182" s="699"/>
      <c r="O182" s="699"/>
      <c r="P182" s="699"/>
      <c r="Q182" s="699"/>
      <c r="R182" s="699"/>
      <c r="S182" s="699"/>
      <c r="T182" s="699"/>
      <c r="U182" s="699"/>
      <c r="V182" s="699"/>
      <c r="W182" s="699"/>
      <c r="X182" s="699"/>
      <c r="Y182" s="699"/>
      <c r="Z182" s="699"/>
      <c r="AA182" s="699"/>
      <c r="AB182" s="699"/>
      <c r="AC182" s="699"/>
      <c r="AD182" s="699"/>
      <c r="AE182" s="699"/>
      <c r="AF182" s="699"/>
      <c r="AG182" s="699"/>
      <c r="AH182" s="699"/>
      <c r="AI182" s="699"/>
      <c r="AJ182" s="699"/>
      <c r="AK182" s="699"/>
      <c r="AL182" s="699"/>
      <c r="AM182" s="699"/>
      <c r="AN182" s="699"/>
      <c r="AO182" s="699"/>
      <c r="AP182" s="699"/>
      <c r="AQ182" s="699"/>
      <c r="AR182" s="699"/>
      <c r="AS182" s="699"/>
      <c r="AT182" s="699"/>
      <c r="AU182" s="699"/>
      <c r="AV182" s="699"/>
      <c r="AW182" s="699"/>
      <c r="AX182" s="699"/>
      <c r="AY182" s="699"/>
      <c r="AZ182" s="699"/>
      <c r="BA182" s="699"/>
      <c r="BB182" s="699"/>
      <c r="BC182" s="699"/>
      <c r="BD182" s="699"/>
      <c r="BE182" s="699"/>
      <c r="BF182" s="699"/>
      <c r="BG182" s="699"/>
      <c r="BH182" s="699"/>
      <c r="BI182" s="700"/>
    </row>
  </sheetData>
  <sheetProtection formatRows="0" insertRows="0" deleteRows="0"/>
  <autoFilter ref="A5:A111">
    <filterColumn colId="0"/>
  </autoFilter>
  <mergeCells count="916">
    <mergeCell ref="BE179:BI179"/>
    <mergeCell ref="M180:BI180"/>
    <mergeCell ref="G181:L182"/>
    <mergeCell ref="M181:O181"/>
    <mergeCell ref="P181:W181"/>
    <mergeCell ref="X181:AE181"/>
    <mergeCell ref="AF181:AI181"/>
    <mergeCell ref="AJ181:AM181"/>
    <mergeCell ref="AN181:AP181"/>
    <mergeCell ref="AQ181:AW181"/>
    <mergeCell ref="AX181:BD181"/>
    <mergeCell ref="BE181:BI181"/>
    <mergeCell ref="M182:BI182"/>
    <mergeCell ref="G179:L180"/>
    <mergeCell ref="M179:O179"/>
    <mergeCell ref="P179:W179"/>
    <mergeCell ref="X179:AE179"/>
    <mergeCell ref="AF179:AI179"/>
    <mergeCell ref="AJ179:AM179"/>
    <mergeCell ref="AN179:AP179"/>
    <mergeCell ref="AQ179:AW179"/>
    <mergeCell ref="AX179:BD179"/>
    <mergeCell ref="BE169:BI169"/>
    <mergeCell ref="M170:BI170"/>
    <mergeCell ref="G171:L172"/>
    <mergeCell ref="M171:O171"/>
    <mergeCell ref="P171:W171"/>
    <mergeCell ref="X171:AE171"/>
    <mergeCell ref="AF171:AI171"/>
    <mergeCell ref="AJ171:AM171"/>
    <mergeCell ref="AN171:AP171"/>
    <mergeCell ref="AQ171:AW171"/>
    <mergeCell ref="AX171:BD171"/>
    <mergeCell ref="BE171:BI171"/>
    <mergeCell ref="M172:BI172"/>
    <mergeCell ref="G169:L170"/>
    <mergeCell ref="M169:O169"/>
    <mergeCell ref="P169:W169"/>
    <mergeCell ref="X169:AE169"/>
    <mergeCell ref="AF169:AI169"/>
    <mergeCell ref="AJ169:AM169"/>
    <mergeCell ref="AN169:AP169"/>
    <mergeCell ref="AQ169:AW169"/>
    <mergeCell ref="AX169:BD169"/>
    <mergeCell ref="BE164:BI164"/>
    <mergeCell ref="AJ165:AM165"/>
    <mergeCell ref="AN165:AP165"/>
    <mergeCell ref="AQ165:AW165"/>
    <mergeCell ref="AX165:BD165"/>
    <mergeCell ref="BE165:BI165"/>
    <mergeCell ref="M166:BI166"/>
    <mergeCell ref="G167:L168"/>
    <mergeCell ref="M167:O167"/>
    <mergeCell ref="P167:W167"/>
    <mergeCell ref="X167:AE167"/>
    <mergeCell ref="AF167:AI167"/>
    <mergeCell ref="AJ167:AM167"/>
    <mergeCell ref="AN167:AP167"/>
    <mergeCell ref="AQ167:AW167"/>
    <mergeCell ref="AX167:BD167"/>
    <mergeCell ref="BE167:BI167"/>
    <mergeCell ref="M168:BI168"/>
    <mergeCell ref="G164:L166"/>
    <mergeCell ref="M164:O165"/>
    <mergeCell ref="P164:W165"/>
    <mergeCell ref="X164:AE165"/>
    <mergeCell ref="AF164:AI165"/>
    <mergeCell ref="AJ164:AM164"/>
    <mergeCell ref="AX164:BD164"/>
    <mergeCell ref="G161:L163"/>
    <mergeCell ref="M161:O162"/>
    <mergeCell ref="P161:AE162"/>
    <mergeCell ref="AF161:AI162"/>
    <mergeCell ref="AJ161:AM161"/>
    <mergeCell ref="AN161:AP161"/>
    <mergeCell ref="AQ161:AW161"/>
    <mergeCell ref="AX161:BD161"/>
    <mergeCell ref="BE161:BI161"/>
    <mergeCell ref="AJ162:AM162"/>
    <mergeCell ref="AN162:AP162"/>
    <mergeCell ref="AQ162:AW162"/>
    <mergeCell ref="AX162:BD162"/>
    <mergeCell ref="BE162:BI162"/>
    <mergeCell ref="M163:BI163"/>
    <mergeCell ref="BE141:BI141"/>
    <mergeCell ref="M142:BI142"/>
    <mergeCell ref="BE143:BI143"/>
    <mergeCell ref="AQ154:AW154"/>
    <mergeCell ref="AX154:BD154"/>
    <mergeCell ref="BE150:BI150"/>
    <mergeCell ref="M151:BI151"/>
    <mergeCell ref="BE152:BI152"/>
    <mergeCell ref="BE154:BI154"/>
    <mergeCell ref="M155:BI155"/>
    <mergeCell ref="AX147:BD147"/>
    <mergeCell ref="BE147:BI147"/>
    <mergeCell ref="AX152:BD152"/>
    <mergeCell ref="M153:BI153"/>
    <mergeCell ref="BE156:BI156"/>
    <mergeCell ref="AJ157:AM157"/>
    <mergeCell ref="AN157:AP157"/>
    <mergeCell ref="G143:L144"/>
    <mergeCell ref="M143:O143"/>
    <mergeCell ref="P143:W143"/>
    <mergeCell ref="X143:AE143"/>
    <mergeCell ref="AF143:AI143"/>
    <mergeCell ref="AJ143:AM143"/>
    <mergeCell ref="AN143:AP143"/>
    <mergeCell ref="AQ143:AW143"/>
    <mergeCell ref="AX143:BD143"/>
    <mergeCell ref="M144:BI144"/>
    <mergeCell ref="G141:L142"/>
    <mergeCell ref="M141:O141"/>
    <mergeCell ref="P141:W141"/>
    <mergeCell ref="X141:AE141"/>
    <mergeCell ref="AF141:AI141"/>
    <mergeCell ref="AJ141:AM141"/>
    <mergeCell ref="AN141:AP141"/>
    <mergeCell ref="AQ141:AW141"/>
    <mergeCell ref="AX141:BD141"/>
    <mergeCell ref="BE139:BI139"/>
    <mergeCell ref="M140:BI140"/>
    <mergeCell ref="G137:L138"/>
    <mergeCell ref="M137:O137"/>
    <mergeCell ref="P137:W137"/>
    <mergeCell ref="X137:AE137"/>
    <mergeCell ref="AF137:AI137"/>
    <mergeCell ref="AJ137:AM137"/>
    <mergeCell ref="AN137:AP137"/>
    <mergeCell ref="AQ137:AW137"/>
    <mergeCell ref="AX137:BD137"/>
    <mergeCell ref="BE137:BI137"/>
    <mergeCell ref="M138:BI138"/>
    <mergeCell ref="G139:L140"/>
    <mergeCell ref="M139:O139"/>
    <mergeCell ref="P139:W139"/>
    <mergeCell ref="X139:AE139"/>
    <mergeCell ref="AF139:AI139"/>
    <mergeCell ref="AJ139:AM139"/>
    <mergeCell ref="AN139:AP139"/>
    <mergeCell ref="AQ139:AW139"/>
    <mergeCell ref="AX139:BD139"/>
    <mergeCell ref="BE133:BI133"/>
    <mergeCell ref="M134:BI134"/>
    <mergeCell ref="G133:L134"/>
    <mergeCell ref="M133:O133"/>
    <mergeCell ref="P133:W133"/>
    <mergeCell ref="X133:AE133"/>
    <mergeCell ref="AF133:AI133"/>
    <mergeCell ref="AJ133:AM133"/>
    <mergeCell ref="AN133:AP133"/>
    <mergeCell ref="AQ133:AW133"/>
    <mergeCell ref="AX133:BD133"/>
    <mergeCell ref="G131:L132"/>
    <mergeCell ref="M131:O131"/>
    <mergeCell ref="P131:AE131"/>
    <mergeCell ref="AF131:AI131"/>
    <mergeCell ref="AJ131:AM131"/>
    <mergeCell ref="AN131:AP131"/>
    <mergeCell ref="AQ131:AW131"/>
    <mergeCell ref="AX131:BD131"/>
    <mergeCell ref="BE131:BI131"/>
    <mergeCell ref="M132:BI132"/>
    <mergeCell ref="BE127:BI127"/>
    <mergeCell ref="M128:BI128"/>
    <mergeCell ref="G129:L130"/>
    <mergeCell ref="M129:O129"/>
    <mergeCell ref="P129:AE129"/>
    <mergeCell ref="AF129:AI129"/>
    <mergeCell ref="AJ129:AM129"/>
    <mergeCell ref="AN129:AP129"/>
    <mergeCell ref="AQ129:AW129"/>
    <mergeCell ref="AX129:BD129"/>
    <mergeCell ref="BE129:BI129"/>
    <mergeCell ref="M130:BI130"/>
    <mergeCell ref="G127:L128"/>
    <mergeCell ref="M127:O127"/>
    <mergeCell ref="P127:W127"/>
    <mergeCell ref="X127:AE127"/>
    <mergeCell ref="AF127:AI127"/>
    <mergeCell ref="AJ127:AM127"/>
    <mergeCell ref="AN127:AP127"/>
    <mergeCell ref="AQ127:AW127"/>
    <mergeCell ref="AX127:BD127"/>
    <mergeCell ref="G122:L123"/>
    <mergeCell ref="M122:O122"/>
    <mergeCell ref="P122:AE122"/>
    <mergeCell ref="AF122:AI122"/>
    <mergeCell ref="AJ122:AM122"/>
    <mergeCell ref="AN122:AP122"/>
    <mergeCell ref="AQ122:AW122"/>
    <mergeCell ref="AX122:BD122"/>
    <mergeCell ref="BE122:BI122"/>
    <mergeCell ref="M123:BI123"/>
    <mergeCell ref="M29:O29"/>
    <mergeCell ref="P29:AE29"/>
    <mergeCell ref="AF29:AI29"/>
    <mergeCell ref="AN120:AP120"/>
    <mergeCell ref="AQ120:AW120"/>
    <mergeCell ref="AX120:BD120"/>
    <mergeCell ref="BE120:BI120"/>
    <mergeCell ref="M117:O118"/>
    <mergeCell ref="P117:W118"/>
    <mergeCell ref="X117:AE118"/>
    <mergeCell ref="AF117:AI118"/>
    <mergeCell ref="AJ117:AM117"/>
    <mergeCell ref="AN117:AP117"/>
    <mergeCell ref="AQ117:AW117"/>
    <mergeCell ref="AX117:BD117"/>
    <mergeCell ref="P70:W70"/>
    <mergeCell ref="X70:AE70"/>
    <mergeCell ref="AQ56:AW57"/>
    <mergeCell ref="M58:BI58"/>
    <mergeCell ref="AF48:AI49"/>
    <mergeCell ref="M55:BI55"/>
    <mergeCell ref="BE51:BI52"/>
    <mergeCell ref="X53:AE54"/>
    <mergeCell ref="AJ53:AM53"/>
    <mergeCell ref="A3:A4"/>
    <mergeCell ref="P8:AE9"/>
    <mergeCell ref="P25:AE25"/>
    <mergeCell ref="X16:AE17"/>
    <mergeCell ref="P14:W17"/>
    <mergeCell ref="M110:O110"/>
    <mergeCell ref="P110:W110"/>
    <mergeCell ref="X110:AE110"/>
    <mergeCell ref="M50:BI50"/>
    <mergeCell ref="G46:L50"/>
    <mergeCell ref="M46:O49"/>
    <mergeCell ref="P46:W46"/>
    <mergeCell ref="X46:AE46"/>
    <mergeCell ref="AF46:AI47"/>
    <mergeCell ref="AJ46:AM47"/>
    <mergeCell ref="G70:L71"/>
    <mergeCell ref="BE46:BI49"/>
    <mergeCell ref="P47:W47"/>
    <mergeCell ref="BE53:BI53"/>
    <mergeCell ref="AJ54:AM54"/>
    <mergeCell ref="BE29:BI29"/>
    <mergeCell ref="AF68:AI68"/>
    <mergeCell ref="AJ68:AM68"/>
    <mergeCell ref="AN68:AP68"/>
    <mergeCell ref="M121:BI121"/>
    <mergeCell ref="G117:L119"/>
    <mergeCell ref="G120:L121"/>
    <mergeCell ref="G51:L55"/>
    <mergeCell ref="M51:O54"/>
    <mergeCell ref="P51:W54"/>
    <mergeCell ref="BE110:BI110"/>
    <mergeCell ref="M59:O60"/>
    <mergeCell ref="BE117:BI117"/>
    <mergeCell ref="AJ118:AM118"/>
    <mergeCell ref="AN118:AP118"/>
    <mergeCell ref="AQ118:AW118"/>
    <mergeCell ref="AX118:BD118"/>
    <mergeCell ref="BE118:BI118"/>
    <mergeCell ref="M119:BI119"/>
    <mergeCell ref="M120:O120"/>
    <mergeCell ref="P120:W120"/>
    <mergeCell ref="X120:AE120"/>
    <mergeCell ref="AF120:AI120"/>
    <mergeCell ref="AJ120:AM120"/>
    <mergeCell ref="M70:O70"/>
    <mergeCell ref="AX54:BD54"/>
    <mergeCell ref="AX64:BD64"/>
    <mergeCell ref="X57:AE57"/>
    <mergeCell ref="AJ27:AM27"/>
    <mergeCell ref="AN27:AP27"/>
    <mergeCell ref="AQ27:AW27"/>
    <mergeCell ref="AX27:BD27"/>
    <mergeCell ref="BE27:BI27"/>
    <mergeCell ref="P28:AE28"/>
    <mergeCell ref="AJ28:AM28"/>
    <mergeCell ref="AN28:AP28"/>
    <mergeCell ref="AQ28:AW28"/>
    <mergeCell ref="AX28:BD28"/>
    <mergeCell ref="AX37:BD37"/>
    <mergeCell ref="BE37:BI37"/>
    <mergeCell ref="G66:L69"/>
    <mergeCell ref="AX56:BD57"/>
    <mergeCell ref="BE56:BI57"/>
    <mergeCell ref="P57:W57"/>
    <mergeCell ref="AN54:AP54"/>
    <mergeCell ref="AQ54:AW54"/>
    <mergeCell ref="AN53:AP53"/>
    <mergeCell ref="AQ53:AW53"/>
    <mergeCell ref="AX53:BD53"/>
    <mergeCell ref="BE54:BI54"/>
    <mergeCell ref="AX62:BD62"/>
    <mergeCell ref="AX66:BD66"/>
    <mergeCell ref="AJ56:AM57"/>
    <mergeCell ref="AN56:AP57"/>
    <mergeCell ref="G44:L45"/>
    <mergeCell ref="M44:O44"/>
    <mergeCell ref="P44:W44"/>
    <mergeCell ref="X44:AE44"/>
    <mergeCell ref="AF44:AI44"/>
    <mergeCell ref="AJ44:AM44"/>
    <mergeCell ref="AN44:AP44"/>
    <mergeCell ref="AQ44:AW44"/>
    <mergeCell ref="AX35:BD35"/>
    <mergeCell ref="G39:L40"/>
    <mergeCell ref="M39:O39"/>
    <mergeCell ref="P39:W39"/>
    <mergeCell ref="AQ39:AW39"/>
    <mergeCell ref="AX39:BD39"/>
    <mergeCell ref="G37:L38"/>
    <mergeCell ref="M37:O37"/>
    <mergeCell ref="P37:W37"/>
    <mergeCell ref="X39:AE39"/>
    <mergeCell ref="AF39:AI39"/>
    <mergeCell ref="AJ39:AM39"/>
    <mergeCell ref="AN39:AP39"/>
    <mergeCell ref="G35:L36"/>
    <mergeCell ref="M35:O35"/>
    <mergeCell ref="P35:W35"/>
    <mergeCell ref="X35:AE35"/>
    <mergeCell ref="AF35:AI35"/>
    <mergeCell ref="X37:AE37"/>
    <mergeCell ref="AF37:AI37"/>
    <mergeCell ref="M38:BI38"/>
    <mergeCell ref="AJ37:AM37"/>
    <mergeCell ref="AN37:AP37"/>
    <mergeCell ref="AQ37:AW37"/>
    <mergeCell ref="AX44:BD44"/>
    <mergeCell ref="M45:BI45"/>
    <mergeCell ref="G56:L58"/>
    <mergeCell ref="M56:O57"/>
    <mergeCell ref="P56:W56"/>
    <mergeCell ref="X56:AE56"/>
    <mergeCell ref="AF56:AI57"/>
    <mergeCell ref="X60:AE60"/>
    <mergeCell ref="M61:BI61"/>
    <mergeCell ref="BE19:BI20"/>
    <mergeCell ref="G19:L21"/>
    <mergeCell ref="M19:O20"/>
    <mergeCell ref="P19:W19"/>
    <mergeCell ref="X19:AE19"/>
    <mergeCell ref="AF19:AI20"/>
    <mergeCell ref="AJ19:AM20"/>
    <mergeCell ref="P22:AE23"/>
    <mergeCell ref="BE22:BI23"/>
    <mergeCell ref="AJ23:AM23"/>
    <mergeCell ref="AN23:AP23"/>
    <mergeCell ref="AQ23:AW23"/>
    <mergeCell ref="G22:L24"/>
    <mergeCell ref="M22:O23"/>
    <mergeCell ref="AF22:AI23"/>
    <mergeCell ref="AJ22:AM22"/>
    <mergeCell ref="AN22:AP22"/>
    <mergeCell ref="AQ22:AW22"/>
    <mergeCell ref="AX22:BD22"/>
    <mergeCell ref="AN19:AP20"/>
    <mergeCell ref="AQ19:AW20"/>
    <mergeCell ref="AX19:BD20"/>
    <mergeCell ref="AX23:BD23"/>
    <mergeCell ref="M24:BI24"/>
    <mergeCell ref="G4:L5"/>
    <mergeCell ref="M4:AI4"/>
    <mergeCell ref="AJ4:BI4"/>
    <mergeCell ref="M5:O5"/>
    <mergeCell ref="P5:W5"/>
    <mergeCell ref="X5:AE5"/>
    <mergeCell ref="AF5:AI5"/>
    <mergeCell ref="AJ5:AM5"/>
    <mergeCell ref="G6:L7"/>
    <mergeCell ref="M6:BI6"/>
    <mergeCell ref="M7:BI7"/>
    <mergeCell ref="AQ5:AW5"/>
    <mergeCell ref="AX5:BD5"/>
    <mergeCell ref="BE5:BI5"/>
    <mergeCell ref="AN5:AP5"/>
    <mergeCell ref="G8:L10"/>
    <mergeCell ref="M8:O9"/>
    <mergeCell ref="AF8:AI9"/>
    <mergeCell ref="AJ8:AM8"/>
    <mergeCell ref="AN8:AP8"/>
    <mergeCell ref="AQ8:AW8"/>
    <mergeCell ref="AX8:BD8"/>
    <mergeCell ref="G14:L18"/>
    <mergeCell ref="AX88:BD88"/>
    <mergeCell ref="AJ35:AM35"/>
    <mergeCell ref="M14:O17"/>
    <mergeCell ref="X14:AE15"/>
    <mergeCell ref="AF14:AI17"/>
    <mergeCell ref="AJ14:AM14"/>
    <mergeCell ref="AN14:AP14"/>
    <mergeCell ref="AQ14:AW14"/>
    <mergeCell ref="AX14:BD14"/>
    <mergeCell ref="M18:BI18"/>
    <mergeCell ref="M76:O78"/>
    <mergeCell ref="P76:W78"/>
    <mergeCell ref="X76:AE78"/>
    <mergeCell ref="AF76:AI78"/>
    <mergeCell ref="AJ76:AM76"/>
    <mergeCell ref="AN76:AP76"/>
    <mergeCell ref="G84:L85"/>
    <mergeCell ref="G82:L83"/>
    <mergeCell ref="AQ84:AW84"/>
    <mergeCell ref="AX84:BD84"/>
    <mergeCell ref="M84:O84"/>
    <mergeCell ref="P84:W84"/>
    <mergeCell ref="X84:AE84"/>
    <mergeCell ref="G109:L111"/>
    <mergeCell ref="M109:O109"/>
    <mergeCell ref="P109:W109"/>
    <mergeCell ref="X109:AE109"/>
    <mergeCell ref="AF109:AI109"/>
    <mergeCell ref="AJ109:AM109"/>
    <mergeCell ref="AN109:AP109"/>
    <mergeCell ref="AQ109:AW109"/>
    <mergeCell ref="AX109:BD109"/>
    <mergeCell ref="AF110:AI110"/>
    <mergeCell ref="AJ110:AM110"/>
    <mergeCell ref="AQ110:AW110"/>
    <mergeCell ref="AX110:BD110"/>
    <mergeCell ref="AN110:AP110"/>
    <mergeCell ref="AF84:AI84"/>
    <mergeCell ref="AJ84:AM84"/>
    <mergeCell ref="AN84:AP84"/>
    <mergeCell ref="BE109:BI109"/>
    <mergeCell ref="M111:BI111"/>
    <mergeCell ref="G25:L26"/>
    <mergeCell ref="M25:O25"/>
    <mergeCell ref="AF25:AI25"/>
    <mergeCell ref="AJ25:AM25"/>
    <mergeCell ref="AN25:AP25"/>
    <mergeCell ref="AQ25:AW25"/>
    <mergeCell ref="AX25:BD25"/>
    <mergeCell ref="BE88:BI88"/>
    <mergeCell ref="BE107:BI107"/>
    <mergeCell ref="M108:BI108"/>
    <mergeCell ref="G107:L108"/>
    <mergeCell ref="M107:O107"/>
    <mergeCell ref="P107:W107"/>
    <mergeCell ref="X107:AE107"/>
    <mergeCell ref="AF107:AI107"/>
    <mergeCell ref="AJ107:AM107"/>
    <mergeCell ref="AN107:AP107"/>
    <mergeCell ref="AQ107:AW107"/>
    <mergeCell ref="AX107:BD107"/>
    <mergeCell ref="AJ89:AM89"/>
    <mergeCell ref="BE25:BI25"/>
    <mergeCell ref="M26:BI26"/>
    <mergeCell ref="G76:L81"/>
    <mergeCell ref="AX76:BD76"/>
    <mergeCell ref="M79:BI79"/>
    <mergeCell ref="M80:O80"/>
    <mergeCell ref="P80:W80"/>
    <mergeCell ref="X80:AE80"/>
    <mergeCell ref="AF80:AI80"/>
    <mergeCell ref="AJ80:AM80"/>
    <mergeCell ref="AN80:AP80"/>
    <mergeCell ref="AQ80:AW80"/>
    <mergeCell ref="AJ78:AM78"/>
    <mergeCell ref="AN78:AP78"/>
    <mergeCell ref="AQ78:AW78"/>
    <mergeCell ref="BE8:BI8"/>
    <mergeCell ref="AJ9:AM9"/>
    <mergeCell ref="AN9:AP9"/>
    <mergeCell ref="AQ9:AW9"/>
    <mergeCell ref="AX9:BD9"/>
    <mergeCell ref="BE9:BI9"/>
    <mergeCell ref="M10:BI10"/>
    <mergeCell ref="BE91:BI91"/>
    <mergeCell ref="BE89:BI89"/>
    <mergeCell ref="AF86:AI86"/>
    <mergeCell ref="AJ86:AM86"/>
    <mergeCell ref="AN86:AP86"/>
    <mergeCell ref="AQ86:AW86"/>
    <mergeCell ref="AX86:BD86"/>
    <mergeCell ref="BE86:BI86"/>
    <mergeCell ref="M87:BI87"/>
    <mergeCell ref="BE44:BI44"/>
    <mergeCell ref="AX74:BD74"/>
    <mergeCell ref="BE35:BI35"/>
    <mergeCell ref="M36:BI36"/>
    <mergeCell ref="AN35:AP35"/>
    <mergeCell ref="AQ35:AW35"/>
    <mergeCell ref="P20:AE20"/>
    <mergeCell ref="M21:BI21"/>
    <mergeCell ref="BE14:BI17"/>
    <mergeCell ref="AJ15:AM15"/>
    <mergeCell ref="AN15:AP15"/>
    <mergeCell ref="AQ15:AW15"/>
    <mergeCell ref="AX15:BD15"/>
    <mergeCell ref="AJ16:AM16"/>
    <mergeCell ref="AN16:AP16"/>
    <mergeCell ref="AQ16:AW16"/>
    <mergeCell ref="AX16:BD16"/>
    <mergeCell ref="AJ17:AM17"/>
    <mergeCell ref="AN17:AP17"/>
    <mergeCell ref="AQ17:AW17"/>
    <mergeCell ref="AX17:BD17"/>
    <mergeCell ref="BE105:BI105"/>
    <mergeCell ref="M106:BI106"/>
    <mergeCell ref="M81:BI81"/>
    <mergeCell ref="M82:O82"/>
    <mergeCell ref="P82:W82"/>
    <mergeCell ref="X82:AE82"/>
    <mergeCell ref="AF82:AI82"/>
    <mergeCell ref="AJ82:AM82"/>
    <mergeCell ref="AN82:AP82"/>
    <mergeCell ref="AQ82:AW82"/>
    <mergeCell ref="BE103:BI103"/>
    <mergeCell ref="M104:BI104"/>
    <mergeCell ref="BE84:BI84"/>
    <mergeCell ref="BE95:BI95"/>
    <mergeCell ref="M96:BI96"/>
    <mergeCell ref="BE99:BI99"/>
    <mergeCell ref="M100:BI100"/>
    <mergeCell ref="AX99:BD99"/>
    <mergeCell ref="AQ91:AW91"/>
    <mergeCell ref="AX91:BD91"/>
    <mergeCell ref="M92:BI92"/>
    <mergeCell ref="X93:AE93"/>
    <mergeCell ref="BE82:BI82"/>
    <mergeCell ref="AF101:AI101"/>
    <mergeCell ref="G105:L106"/>
    <mergeCell ref="M105:O105"/>
    <mergeCell ref="P105:W105"/>
    <mergeCell ref="X105:AE105"/>
    <mergeCell ref="AF105:AI105"/>
    <mergeCell ref="AJ105:AM105"/>
    <mergeCell ref="AN105:AP105"/>
    <mergeCell ref="AQ105:AW105"/>
    <mergeCell ref="AX105:BD105"/>
    <mergeCell ref="G31:L34"/>
    <mergeCell ref="M31:O33"/>
    <mergeCell ref="AF31:AI33"/>
    <mergeCell ref="AJ31:AM31"/>
    <mergeCell ref="AN31:AP31"/>
    <mergeCell ref="AQ31:AW31"/>
    <mergeCell ref="AX31:BD31"/>
    <mergeCell ref="M34:BI34"/>
    <mergeCell ref="BE31:BI31"/>
    <mergeCell ref="AJ32:AM32"/>
    <mergeCell ref="AN32:AP32"/>
    <mergeCell ref="AQ32:AW32"/>
    <mergeCell ref="AX32:BD32"/>
    <mergeCell ref="BE32:BI32"/>
    <mergeCell ref="AJ33:AM33"/>
    <mergeCell ref="AN33:AP33"/>
    <mergeCell ref="AQ33:AW33"/>
    <mergeCell ref="AX33:BD33"/>
    <mergeCell ref="G103:L104"/>
    <mergeCell ref="M103:O103"/>
    <mergeCell ref="P103:W103"/>
    <mergeCell ref="X103:AE103"/>
    <mergeCell ref="AF103:AI103"/>
    <mergeCell ref="P95:W95"/>
    <mergeCell ref="X95:AE95"/>
    <mergeCell ref="AF95:AI95"/>
    <mergeCell ref="G97:L98"/>
    <mergeCell ref="M97:O97"/>
    <mergeCell ref="P97:W97"/>
    <mergeCell ref="X97:AE97"/>
    <mergeCell ref="AF97:AI97"/>
    <mergeCell ref="M102:BI102"/>
    <mergeCell ref="G101:L102"/>
    <mergeCell ref="AJ103:AM103"/>
    <mergeCell ref="AN103:AP103"/>
    <mergeCell ref="AQ103:AW103"/>
    <mergeCell ref="AX103:BD103"/>
    <mergeCell ref="G95:L96"/>
    <mergeCell ref="M95:O95"/>
    <mergeCell ref="AQ97:AW97"/>
    <mergeCell ref="AJ95:AM95"/>
    <mergeCell ref="AN95:AP95"/>
    <mergeCell ref="G72:L73"/>
    <mergeCell ref="M69:BI69"/>
    <mergeCell ref="BE66:BI66"/>
    <mergeCell ref="P67:W67"/>
    <mergeCell ref="AJ67:AM67"/>
    <mergeCell ref="BE67:BI67"/>
    <mergeCell ref="AQ74:AW74"/>
    <mergeCell ref="AN67:AP67"/>
    <mergeCell ref="AQ67:AW67"/>
    <mergeCell ref="AX67:BD67"/>
    <mergeCell ref="AX72:BD72"/>
    <mergeCell ref="AN74:AP74"/>
    <mergeCell ref="G74:L75"/>
    <mergeCell ref="M74:O74"/>
    <mergeCell ref="P74:W74"/>
    <mergeCell ref="X74:AE74"/>
    <mergeCell ref="AF74:AI74"/>
    <mergeCell ref="AJ74:AM74"/>
    <mergeCell ref="M66:O66"/>
    <mergeCell ref="P66:W66"/>
    <mergeCell ref="X66:AE66"/>
    <mergeCell ref="AF66:AI66"/>
    <mergeCell ref="BE74:BI74"/>
    <mergeCell ref="M75:BI75"/>
    <mergeCell ref="AX95:BD95"/>
    <mergeCell ref="M101:O101"/>
    <mergeCell ref="P101:W101"/>
    <mergeCell ref="X101:AE101"/>
    <mergeCell ref="AQ88:AW88"/>
    <mergeCell ref="AF88:AI89"/>
    <mergeCell ref="AJ88:AM88"/>
    <mergeCell ref="AN88:AP88"/>
    <mergeCell ref="AX89:BD89"/>
    <mergeCell ref="AJ101:AM101"/>
    <mergeCell ref="AN101:AP101"/>
    <mergeCell ref="AQ101:AW101"/>
    <mergeCell ref="AQ93:AW93"/>
    <mergeCell ref="AQ89:AW89"/>
    <mergeCell ref="AN66:AP66"/>
    <mergeCell ref="AQ66:AW66"/>
    <mergeCell ref="M72:O72"/>
    <mergeCell ref="P72:W72"/>
    <mergeCell ref="X72:AE72"/>
    <mergeCell ref="BE72:BI72"/>
    <mergeCell ref="AN70:AP70"/>
    <mergeCell ref="AQ70:AW70"/>
    <mergeCell ref="AX70:BD70"/>
    <mergeCell ref="BE70:BI70"/>
    <mergeCell ref="M71:BI71"/>
    <mergeCell ref="AJ70:AM70"/>
    <mergeCell ref="AQ68:AW68"/>
    <mergeCell ref="AX68:BD68"/>
    <mergeCell ref="BE68:BI68"/>
    <mergeCell ref="AF70:AI70"/>
    <mergeCell ref="M68:O68"/>
    <mergeCell ref="P68:W68"/>
    <mergeCell ref="X68:AE68"/>
    <mergeCell ref="AJ66:AM66"/>
    <mergeCell ref="AJ72:AM72"/>
    <mergeCell ref="AN72:AP72"/>
    <mergeCell ref="AQ72:AW72"/>
    <mergeCell ref="AF72:AI72"/>
    <mergeCell ref="G93:L94"/>
    <mergeCell ref="M93:O93"/>
    <mergeCell ref="P93:W93"/>
    <mergeCell ref="AF93:AI93"/>
    <mergeCell ref="AJ93:AM93"/>
    <mergeCell ref="AX93:BD93"/>
    <mergeCell ref="G86:L87"/>
    <mergeCell ref="P86:W86"/>
    <mergeCell ref="X86:AE86"/>
    <mergeCell ref="G91:L92"/>
    <mergeCell ref="M91:O91"/>
    <mergeCell ref="P91:W91"/>
    <mergeCell ref="G88:L90"/>
    <mergeCell ref="M88:O89"/>
    <mergeCell ref="P88:W89"/>
    <mergeCell ref="X88:AE89"/>
    <mergeCell ref="AN93:AP93"/>
    <mergeCell ref="X91:AE91"/>
    <mergeCell ref="AF91:AI91"/>
    <mergeCell ref="AJ91:AM91"/>
    <mergeCell ref="AN91:AP91"/>
    <mergeCell ref="AN89:AP89"/>
    <mergeCell ref="M90:BI90"/>
    <mergeCell ref="M86:O86"/>
    <mergeCell ref="M73:BI73"/>
    <mergeCell ref="AX82:BD82"/>
    <mergeCell ref="M83:BI83"/>
    <mergeCell ref="AX101:BD101"/>
    <mergeCell ref="BE101:BI101"/>
    <mergeCell ref="BE97:BI97"/>
    <mergeCell ref="M98:BI98"/>
    <mergeCell ref="BE93:BI93"/>
    <mergeCell ref="M94:BI94"/>
    <mergeCell ref="AX97:BD97"/>
    <mergeCell ref="AJ97:AM97"/>
    <mergeCell ref="AN97:AP97"/>
    <mergeCell ref="M85:BI85"/>
    <mergeCell ref="AX80:BD80"/>
    <mergeCell ref="BE80:BI80"/>
    <mergeCell ref="BE76:BI76"/>
    <mergeCell ref="AJ77:AM77"/>
    <mergeCell ref="AN77:AP77"/>
    <mergeCell ref="AQ77:AW77"/>
    <mergeCell ref="AX77:BD77"/>
    <mergeCell ref="AQ76:AW76"/>
    <mergeCell ref="AX78:BD78"/>
    <mergeCell ref="BE78:BI78"/>
    <mergeCell ref="AQ95:AW95"/>
    <mergeCell ref="A6:A7"/>
    <mergeCell ref="G99:L100"/>
    <mergeCell ref="M99:O99"/>
    <mergeCell ref="P99:W99"/>
    <mergeCell ref="X99:AE99"/>
    <mergeCell ref="AF99:AI99"/>
    <mergeCell ref="AJ99:AM99"/>
    <mergeCell ref="AN99:AP99"/>
    <mergeCell ref="AQ99:AW99"/>
    <mergeCell ref="M65:BI65"/>
    <mergeCell ref="G59:L61"/>
    <mergeCell ref="P59:W60"/>
    <mergeCell ref="X59:AE59"/>
    <mergeCell ref="AF59:AI60"/>
    <mergeCell ref="AJ59:AM60"/>
    <mergeCell ref="AN59:AP60"/>
    <mergeCell ref="AQ59:AW60"/>
    <mergeCell ref="AX59:BD60"/>
    <mergeCell ref="BE59:BI60"/>
    <mergeCell ref="G11:L13"/>
    <mergeCell ref="M11:O12"/>
    <mergeCell ref="P11:AE11"/>
    <mergeCell ref="AF11:AI12"/>
    <mergeCell ref="BE62:BI62"/>
    <mergeCell ref="AJ11:AM12"/>
    <mergeCell ref="AN11:AP12"/>
    <mergeCell ref="AQ11:AW12"/>
    <mergeCell ref="AX11:BD12"/>
    <mergeCell ref="BE11:BI12"/>
    <mergeCell ref="P12:AE12"/>
    <mergeCell ref="M13:BI13"/>
    <mergeCell ref="G41:L43"/>
    <mergeCell ref="M41:O42"/>
    <mergeCell ref="P41:AE41"/>
    <mergeCell ref="AF41:AI41"/>
    <mergeCell ref="AJ41:AM41"/>
    <mergeCell ref="AN41:AP42"/>
    <mergeCell ref="AQ41:AW42"/>
    <mergeCell ref="AX41:BD42"/>
    <mergeCell ref="BE41:BI42"/>
    <mergeCell ref="P42:AE42"/>
    <mergeCell ref="AF42:AI42"/>
    <mergeCell ref="AJ42:AM42"/>
    <mergeCell ref="M43:BI43"/>
    <mergeCell ref="G27:L30"/>
    <mergeCell ref="M27:O28"/>
    <mergeCell ref="P27:AE27"/>
    <mergeCell ref="AF27:AI28"/>
    <mergeCell ref="AJ29:AM29"/>
    <mergeCell ref="AN29:AP29"/>
    <mergeCell ref="AQ29:AW29"/>
    <mergeCell ref="AX29:BD29"/>
    <mergeCell ref="AJ51:AM52"/>
    <mergeCell ref="AN51:AP52"/>
    <mergeCell ref="AQ51:AW52"/>
    <mergeCell ref="AX51:BD52"/>
    <mergeCell ref="M30:BI30"/>
    <mergeCell ref="BE33:BI33"/>
    <mergeCell ref="P31:AE33"/>
    <mergeCell ref="BE39:BI39"/>
    <mergeCell ref="M40:BI40"/>
    <mergeCell ref="AN46:AP49"/>
    <mergeCell ref="AQ46:AW49"/>
    <mergeCell ref="AX46:BD49"/>
    <mergeCell ref="AJ48:AM49"/>
    <mergeCell ref="P49:W49"/>
    <mergeCell ref="X49:AE49"/>
    <mergeCell ref="X47:AE47"/>
    <mergeCell ref="P48:W48"/>
    <mergeCell ref="X48:AE48"/>
    <mergeCell ref="X51:AE52"/>
    <mergeCell ref="AF51:AI54"/>
    <mergeCell ref="P64:W64"/>
    <mergeCell ref="X64:AE64"/>
    <mergeCell ref="AF64:AI64"/>
    <mergeCell ref="BE64:BI64"/>
    <mergeCell ref="M63:BI63"/>
    <mergeCell ref="G62:L63"/>
    <mergeCell ref="M62:O62"/>
    <mergeCell ref="P62:W62"/>
    <mergeCell ref="X62:AE62"/>
    <mergeCell ref="AF62:AI62"/>
    <mergeCell ref="AJ62:AM62"/>
    <mergeCell ref="AN62:AP62"/>
    <mergeCell ref="AQ62:AW62"/>
    <mergeCell ref="AJ64:AM64"/>
    <mergeCell ref="AN64:AP64"/>
    <mergeCell ref="AQ64:AW64"/>
    <mergeCell ref="G64:L65"/>
    <mergeCell ref="M64:O64"/>
    <mergeCell ref="G112:L116"/>
    <mergeCell ref="M112:O115"/>
    <mergeCell ref="P112:W112"/>
    <mergeCell ref="X112:AE112"/>
    <mergeCell ref="AF112:AI113"/>
    <mergeCell ref="AJ112:AM113"/>
    <mergeCell ref="AN112:AP115"/>
    <mergeCell ref="AQ112:AW115"/>
    <mergeCell ref="AX112:BD115"/>
    <mergeCell ref="M116:BI116"/>
    <mergeCell ref="BE112:BI115"/>
    <mergeCell ref="P113:W113"/>
    <mergeCell ref="X113:AE113"/>
    <mergeCell ref="P114:W114"/>
    <mergeCell ref="X114:AE114"/>
    <mergeCell ref="AF114:AI115"/>
    <mergeCell ref="AJ114:AM115"/>
    <mergeCell ref="P115:W115"/>
    <mergeCell ref="X115:AE115"/>
    <mergeCell ref="BE124:BI124"/>
    <mergeCell ref="AJ125:AM125"/>
    <mergeCell ref="AN125:AP125"/>
    <mergeCell ref="AQ125:AW125"/>
    <mergeCell ref="AX125:BD125"/>
    <mergeCell ref="M126:BI126"/>
    <mergeCell ref="G124:L126"/>
    <mergeCell ref="M124:O125"/>
    <mergeCell ref="P124:W125"/>
    <mergeCell ref="X124:AE125"/>
    <mergeCell ref="AF124:AI125"/>
    <mergeCell ref="AJ124:AM124"/>
    <mergeCell ref="AN124:AP124"/>
    <mergeCell ref="AQ124:AW124"/>
    <mergeCell ref="AX124:BD124"/>
    <mergeCell ref="BE135:BI135"/>
    <mergeCell ref="M136:BI136"/>
    <mergeCell ref="G135:L136"/>
    <mergeCell ref="M135:O135"/>
    <mergeCell ref="P135:W135"/>
    <mergeCell ref="X135:AE135"/>
    <mergeCell ref="AF135:AI135"/>
    <mergeCell ref="AJ135:AM135"/>
    <mergeCell ref="AN135:AP135"/>
    <mergeCell ref="AQ135:AW135"/>
    <mergeCell ref="AX135:BD135"/>
    <mergeCell ref="G145:L149"/>
    <mergeCell ref="M145:O148"/>
    <mergeCell ref="P145:W148"/>
    <mergeCell ref="X145:AE148"/>
    <mergeCell ref="AF145:AI148"/>
    <mergeCell ref="AJ145:AM145"/>
    <mergeCell ref="AN145:AP145"/>
    <mergeCell ref="AQ145:AW145"/>
    <mergeCell ref="AX145:BD145"/>
    <mergeCell ref="AJ148:AM148"/>
    <mergeCell ref="AN148:AP148"/>
    <mergeCell ref="AQ148:AW148"/>
    <mergeCell ref="AX148:BD148"/>
    <mergeCell ref="M149:BI149"/>
    <mergeCell ref="BE145:BI145"/>
    <mergeCell ref="AJ146:AM146"/>
    <mergeCell ref="AN146:AP146"/>
    <mergeCell ref="AQ146:AW146"/>
    <mergeCell ref="AX146:BD146"/>
    <mergeCell ref="AJ147:AM147"/>
    <mergeCell ref="AN147:AP147"/>
    <mergeCell ref="AQ147:AW147"/>
    <mergeCell ref="AQ157:AW157"/>
    <mergeCell ref="AX157:BD157"/>
    <mergeCell ref="BE157:BI157"/>
    <mergeCell ref="M158:BI158"/>
    <mergeCell ref="G150:L151"/>
    <mergeCell ref="M150:O150"/>
    <mergeCell ref="P150:W150"/>
    <mergeCell ref="X150:AE150"/>
    <mergeCell ref="AF150:AI150"/>
    <mergeCell ref="AJ150:AM150"/>
    <mergeCell ref="AN150:AP150"/>
    <mergeCell ref="AQ150:AW150"/>
    <mergeCell ref="AX150:BD150"/>
    <mergeCell ref="G152:L153"/>
    <mergeCell ref="M152:O152"/>
    <mergeCell ref="P152:W152"/>
    <mergeCell ref="X152:AE152"/>
    <mergeCell ref="AF152:AI152"/>
    <mergeCell ref="AJ152:AM152"/>
    <mergeCell ref="AN152:AP152"/>
    <mergeCell ref="AQ152:AW152"/>
    <mergeCell ref="BE159:BI159"/>
    <mergeCell ref="M160:BI160"/>
    <mergeCell ref="G159:L160"/>
    <mergeCell ref="M159:O159"/>
    <mergeCell ref="P159:W159"/>
    <mergeCell ref="X159:AE159"/>
    <mergeCell ref="AF159:AI159"/>
    <mergeCell ref="AJ159:AM159"/>
    <mergeCell ref="AN159:AP159"/>
    <mergeCell ref="AQ159:AW159"/>
    <mergeCell ref="AX159:BD159"/>
    <mergeCell ref="P173:W173"/>
    <mergeCell ref="X173:AE173"/>
    <mergeCell ref="AF173:AI173"/>
    <mergeCell ref="AJ173:AM173"/>
    <mergeCell ref="AN173:AP173"/>
    <mergeCell ref="AQ173:AW173"/>
    <mergeCell ref="AX173:BD173"/>
    <mergeCell ref="G154:L155"/>
    <mergeCell ref="M154:O154"/>
    <mergeCell ref="P154:W154"/>
    <mergeCell ref="X154:AE154"/>
    <mergeCell ref="AF154:AI154"/>
    <mergeCell ref="AJ154:AM154"/>
    <mergeCell ref="AN154:AP154"/>
    <mergeCell ref="G156:L158"/>
    <mergeCell ref="M156:O157"/>
    <mergeCell ref="P156:AE157"/>
    <mergeCell ref="AF156:AI157"/>
    <mergeCell ref="AJ156:AM156"/>
    <mergeCell ref="AN156:AP156"/>
    <mergeCell ref="AQ156:AW156"/>
    <mergeCell ref="AX156:BD156"/>
    <mergeCell ref="AN164:AP164"/>
    <mergeCell ref="AQ164:AW164"/>
    <mergeCell ref="BE173:BI173"/>
    <mergeCell ref="M174:BI174"/>
    <mergeCell ref="G175:L178"/>
    <mergeCell ref="M175:O177"/>
    <mergeCell ref="P175:W177"/>
    <mergeCell ref="X175:AE177"/>
    <mergeCell ref="AF175:AI177"/>
    <mergeCell ref="AJ175:AM175"/>
    <mergeCell ref="AN175:AP175"/>
    <mergeCell ref="AQ175:AW175"/>
    <mergeCell ref="AX175:BD175"/>
    <mergeCell ref="BE175:BI175"/>
    <mergeCell ref="AJ176:AM176"/>
    <mergeCell ref="AN176:AP176"/>
    <mergeCell ref="AQ176:AW176"/>
    <mergeCell ref="AX176:BD176"/>
    <mergeCell ref="AJ177:AM177"/>
    <mergeCell ref="AN177:AP177"/>
    <mergeCell ref="AQ177:AW177"/>
    <mergeCell ref="AX177:BD177"/>
    <mergeCell ref="BE177:BI177"/>
    <mergeCell ref="M178:BI178"/>
    <mergeCell ref="G173:L174"/>
    <mergeCell ref="M173:O173"/>
  </mergeCells>
  <pageMargins left="0.21875" right="0.22916666666666666" top="1.1354166666666667" bottom="0.75" header="0.3" footer="0.3"/>
  <pageSetup orientation="portrait" r:id="rId1"/>
  <headerFooter>
    <oddHeader>&amp;L&amp;G</oddHeader>
    <oddFooter>&amp;R&amp;"-,Italic"&amp;P&amp;L&amp;"Calibri,Bold"&amp;11Day-ahead report 19/01/2018</oddFooter>
  </headerFooter>
  <drawing r:id="rId2"/>
  <legacyDrawingHF r:id="rId3"/>
</worksheet>
</file>

<file path=xl/worksheets/sheet7.xml><?xml version="1.0" encoding="utf-8"?>
<worksheet xmlns="http://schemas.openxmlformats.org/spreadsheetml/2006/main" xmlns:r="http://schemas.openxmlformats.org/officeDocument/2006/relationships">
  <sheetPr codeName="Sheet2"/>
  <dimension ref="A1:H19"/>
  <sheetViews>
    <sheetView workbookViewId="0">
      <selection activeCell="D16" sqref="D16"/>
    </sheetView>
  </sheetViews>
  <sheetFormatPr defaultColWidth="9.140625" defaultRowHeight="15"/>
  <cols>
    <col min="1" max="1" width="30.28515625" style="39" bestFit="1" customWidth="1"/>
    <col min="2" max="3" width="9.140625" style="39"/>
    <col min="4" max="4" width="23.28515625" style="39" bestFit="1" customWidth="1"/>
    <col min="5" max="7" width="9.140625" style="39"/>
    <col min="8" max="8" width="19.5703125" style="39" bestFit="1" customWidth="1"/>
    <col min="9" max="16384" width="9.140625" style="39"/>
  </cols>
  <sheetData>
    <row r="1" spans="1:8">
      <c r="A1" s="157" t="s">
        <v>322</v>
      </c>
      <c r="D1" s="157" t="s">
        <v>322</v>
      </c>
      <c r="H1" s="39" t="s">
        <v>323</v>
      </c>
    </row>
    <row r="2" spans="1:8">
      <c r="A2" s="159" t="s">
        <v>325</v>
      </c>
      <c r="D2" s="158"/>
    </row>
    <row r="4" spans="1:8">
      <c r="A4" s="103" t="s">
        <v>324</v>
      </c>
      <c r="D4" s="168" t="s">
        <v>329</v>
      </c>
      <c r="H4" s="39" t="str">
        <f t="shared" ref="H4:H19" si="0">MID(D4,10, 8) &amp; " " &amp; LEFT(D4, 8) &amp; " " &amp; RIGHT(D4,1)</f>
        <v>XAL_RO11 ******** *</v>
      </c>
    </row>
    <row r="5" spans="1:8">
      <c r="A5" s="103" t="s">
        <v>22</v>
      </c>
      <c r="D5" s="168" t="s">
        <v>330</v>
      </c>
      <c r="H5" s="39" t="str">
        <f t="shared" si="0"/>
        <v>XAL_RO12 ******** *</v>
      </c>
    </row>
    <row r="6" spans="1:8">
      <c r="A6" s="103" t="s">
        <v>23</v>
      </c>
      <c r="D6" s="168" t="s">
        <v>331</v>
      </c>
      <c r="H6" s="39" t="str">
        <f t="shared" si="0"/>
        <v>XSO_BU11 ******** *</v>
      </c>
    </row>
    <row r="7" spans="1:8">
      <c r="A7" s="103" t="s">
        <v>24</v>
      </c>
      <c r="D7" s="168" t="s">
        <v>332</v>
      </c>
      <c r="H7" s="39" t="str">
        <f t="shared" si="0"/>
        <v>XME_CA11 ******** *</v>
      </c>
    </row>
    <row r="8" spans="1:8">
      <c r="A8" s="103" t="s">
        <v>25</v>
      </c>
      <c r="D8" s="168" t="s">
        <v>333</v>
      </c>
      <c r="H8" s="39" t="str">
        <f t="shared" si="0"/>
        <v>XLA_MU11 ******** *</v>
      </c>
    </row>
    <row r="9" spans="1:8">
      <c r="A9" s="103" t="s">
        <v>212</v>
      </c>
      <c r="D9" s="168" t="s">
        <v>334</v>
      </c>
      <c r="H9" s="39" t="str">
        <f t="shared" si="0"/>
        <v>XRE_DI11 ******** *</v>
      </c>
    </row>
    <row r="10" spans="1:8">
      <c r="A10" s="103" t="s">
        <v>26</v>
      </c>
      <c r="D10" s="168" t="s">
        <v>335</v>
      </c>
      <c r="H10" s="39" t="str">
        <f t="shared" si="0"/>
        <v>XRO_SF11 ******** *</v>
      </c>
    </row>
    <row r="11" spans="1:8">
      <c r="A11" s="103" t="s">
        <v>27</v>
      </c>
      <c r="D11" s="168" t="s">
        <v>336</v>
      </c>
      <c r="H11" s="39" t="str">
        <f t="shared" si="0"/>
        <v>XRO_GO11 ******** *</v>
      </c>
    </row>
    <row r="12" spans="1:8">
      <c r="A12" s="103" t="s">
        <v>28</v>
      </c>
      <c r="D12" s="168" t="s">
        <v>337</v>
      </c>
      <c r="H12" s="39" t="str">
        <f t="shared" si="0"/>
        <v>XVL_VE11 ******** *</v>
      </c>
    </row>
    <row r="13" spans="1:8">
      <c r="A13" s="103" t="s">
        <v>29</v>
      </c>
      <c r="D13" s="168" t="s">
        <v>338</v>
      </c>
      <c r="H13" s="39" t="str">
        <f t="shared" si="0"/>
        <v>XAI_PO21 ******** *</v>
      </c>
    </row>
    <row r="14" spans="1:8">
      <c r="A14" s="103" t="s">
        <v>30</v>
      </c>
      <c r="D14" s="168" t="s">
        <v>339</v>
      </c>
      <c r="H14" s="39" t="str">
        <f t="shared" si="0"/>
        <v>XLI_SO21 ******** *</v>
      </c>
    </row>
    <row r="15" spans="1:8">
      <c r="A15" s="103" t="s">
        <v>31</v>
      </c>
      <c r="D15" s="168" t="s">
        <v>340</v>
      </c>
      <c r="H15" s="39" t="str">
        <f t="shared" si="0"/>
        <v>XB._CA21 ******** *</v>
      </c>
    </row>
    <row r="16" spans="1:8">
      <c r="A16" s="103" t="s">
        <v>213</v>
      </c>
      <c r="D16" s="168" t="s">
        <v>341</v>
      </c>
      <c r="H16" s="39" t="str">
        <f t="shared" si="0"/>
        <v>XPA_DI21 ******** *</v>
      </c>
    </row>
    <row r="17" spans="1:8">
      <c r="A17" s="103" t="s">
        <v>32</v>
      </c>
      <c r="D17" s="168" t="s">
        <v>342</v>
      </c>
      <c r="H17" s="39" t="str">
        <f t="shared" si="0"/>
        <v>XRI_AV21 ******** *</v>
      </c>
    </row>
    <row r="18" spans="1:8">
      <c r="A18" s="103" t="s">
        <v>33</v>
      </c>
      <c r="D18" s="168" t="s">
        <v>343</v>
      </c>
      <c r="H18" s="39" t="str">
        <f t="shared" si="0"/>
        <v>XRI_VA21 ******** *</v>
      </c>
    </row>
    <row r="19" spans="1:8">
      <c r="A19" s="103" t="s">
        <v>34</v>
      </c>
      <c r="D19" s="168" t="s">
        <v>344</v>
      </c>
      <c r="H19" s="39" t="str">
        <f t="shared" si="0"/>
        <v>XSE_PA21 ******** *</v>
      </c>
    </row>
  </sheetData>
  <pageMargins left="0.7" right="0.7" top="0.75" bottom="0.75" header="0.3" footer="0.3"/>
  <pageSetup orientation="portrait" horizontalDpi="300" verticalDpi="300" r:id="rId1"/>
  <headerFooter>
    <oddFooter>&amp;L&amp;"Calibri,Bold"&amp;11Day-ahead report 19/01/2018</oddFooter>
  </headerFooter>
</worksheet>
</file>

<file path=xl/worksheets/sheet8.xml><?xml version="1.0" encoding="utf-8"?>
<worksheet xmlns="http://schemas.openxmlformats.org/spreadsheetml/2006/main" xmlns:r="http://schemas.openxmlformats.org/officeDocument/2006/relationships">
  <sheetPr codeName="Sheet21">
    <tabColor theme="7"/>
  </sheetPr>
  <dimension ref="B2:O31"/>
  <sheetViews>
    <sheetView showGridLines="0" workbookViewId="0">
      <selection activeCell="C4" sqref="C4:C23"/>
    </sheetView>
  </sheetViews>
  <sheetFormatPr defaultColWidth="9.140625" defaultRowHeight="15"/>
  <cols>
    <col min="1" max="1" width="9.140625" style="39"/>
    <col min="2" max="2" width="24.7109375" style="39" customWidth="1"/>
    <col min="3" max="5" width="9.140625" style="7"/>
    <col min="6" max="6" width="9.140625" style="39"/>
    <col min="7" max="7" width="30.140625" style="39" bestFit="1" customWidth="1"/>
    <col min="8" max="8" width="18" style="7" customWidth="1"/>
    <col min="9" max="9" width="15.5703125" style="39" customWidth="1"/>
    <col min="10" max="14" width="9.140625" style="39"/>
    <col min="15" max="15" width="19" style="39" bestFit="1" customWidth="1"/>
    <col min="16" max="16384" width="9.140625" style="39"/>
  </cols>
  <sheetData>
    <row r="2" spans="2:15" ht="23.25">
      <c r="B2" s="19" t="s">
        <v>81</v>
      </c>
      <c r="G2" s="34" t="s">
        <v>72</v>
      </c>
      <c r="H2" s="20">
        <v>43118.762708333335</v>
      </c>
      <c r="O2" s="89" t="s">
        <v>160</v>
      </c>
    </row>
    <row r="3" spans="2:15">
      <c r="C3" s="21"/>
      <c r="E3" s="21"/>
      <c r="G3" s="36" t="s">
        <v>73</v>
      </c>
      <c r="H3" s="22">
        <v>43118.981944444444</v>
      </c>
      <c r="O3" s="91" t="s">
        <v>417</v>
      </c>
    </row>
    <row r="4" spans="2:15">
      <c r="B4" s="23"/>
      <c r="C4" s="186"/>
      <c r="E4"/>
      <c r="G4" s="24" t="s">
        <v>74</v>
      </c>
      <c r="H4" s="25">
        <f>H3-H2</f>
        <v>0.21923611110833008</v>
      </c>
      <c r="O4" s="90" t="s">
        <v>352</v>
      </c>
    </row>
    <row r="5" spans="2:15">
      <c r="B5" s="23"/>
      <c r="C5" s="186"/>
      <c r="E5"/>
      <c r="G5" s="26" t="s">
        <v>75</v>
      </c>
      <c r="H5" s="27">
        <f ca="1">NOW()</f>
        <v>43119.04751921296</v>
      </c>
      <c r="O5" s="90" t="s">
        <v>419</v>
      </c>
    </row>
    <row r="6" spans="2:15">
      <c r="B6" s="23"/>
      <c r="C6" s="186"/>
      <c r="E6"/>
      <c r="G6" s="24" t="s">
        <v>76</v>
      </c>
      <c r="H6" s="25">
        <f ca="1">H5-H2</f>
        <v>0.28481087962427409</v>
      </c>
      <c r="I6" s="28">
        <f ca="1">H6</f>
        <v>0.28481087962427409</v>
      </c>
      <c r="O6" s="90" t="s">
        <v>418</v>
      </c>
    </row>
    <row r="7" spans="2:15">
      <c r="B7" s="23"/>
      <c r="C7" s="186"/>
      <c r="E7"/>
      <c r="G7" s="29" t="s">
        <v>77</v>
      </c>
      <c r="H7" s="30" t="str">
        <f ca="1">IF(H6&gt;0.625,"TRUE","FALSE")</f>
        <v>FALSE</v>
      </c>
      <c r="I7" s="23" t="s">
        <v>78</v>
      </c>
      <c r="O7" s="90" t="s">
        <v>350</v>
      </c>
    </row>
    <row r="8" spans="2:15">
      <c r="B8" s="23"/>
      <c r="C8" s="186"/>
      <c r="E8"/>
      <c r="G8" s="29" t="s">
        <v>79</v>
      </c>
      <c r="H8" s="30" t="str">
        <f>IF(H4&lt;0.000462962962962963,"Yes","No")</f>
        <v>No</v>
      </c>
      <c r="I8" s="31" t="s">
        <v>80</v>
      </c>
      <c r="O8" s="90" t="s">
        <v>175</v>
      </c>
    </row>
    <row r="9" spans="2:15">
      <c r="B9" s="23"/>
      <c r="C9" s="186"/>
      <c r="E9"/>
      <c r="O9" s="90" t="s">
        <v>376</v>
      </c>
    </row>
    <row r="10" spans="2:15">
      <c r="B10" s="23"/>
      <c r="C10" s="186"/>
      <c r="E10"/>
      <c r="O10" s="90" t="s">
        <v>377</v>
      </c>
    </row>
    <row r="11" spans="2:15">
      <c r="B11" s="23"/>
      <c r="C11" s="186"/>
      <c r="E11"/>
      <c r="G11" s="36" t="s">
        <v>87</v>
      </c>
      <c r="H11" s="37">
        <v>41153.236909722225</v>
      </c>
      <c r="I11" s="32"/>
      <c r="O11" s="90" t="s">
        <v>176</v>
      </c>
    </row>
    <row r="12" spans="2:15">
      <c r="B12" s="23"/>
      <c r="C12" s="186"/>
      <c r="E12"/>
      <c r="G12" s="36" t="s">
        <v>88</v>
      </c>
      <c r="H12" s="38">
        <v>40944.991550925923</v>
      </c>
      <c r="O12" s="91" t="s">
        <v>177</v>
      </c>
    </row>
    <row r="13" spans="2:15">
      <c r="G13" s="36" t="s">
        <v>89</v>
      </c>
      <c r="H13" s="38">
        <v>40944.797453703701</v>
      </c>
      <c r="O13" s="90" t="s">
        <v>366</v>
      </c>
    </row>
    <row r="14" spans="2:15">
      <c r="O14" s="90" t="s">
        <v>420</v>
      </c>
    </row>
    <row r="15" spans="2:15">
      <c r="O15" s="90" t="s">
        <v>421</v>
      </c>
    </row>
    <row r="16" spans="2:15">
      <c r="G16" s="34" t="s">
        <v>86</v>
      </c>
      <c r="H16" s="35">
        <f>H2+1</f>
        <v>43119.762708333335</v>
      </c>
      <c r="O16" s="90" t="s">
        <v>422</v>
      </c>
    </row>
    <row r="17" spans="7:15">
      <c r="G17" s="97" t="s">
        <v>190</v>
      </c>
      <c r="H17" s="98" t="s">
        <v>204</v>
      </c>
      <c r="O17" s="90" t="s">
        <v>178</v>
      </c>
    </row>
    <row r="18" spans="7:15">
      <c r="O18" s="90" t="s">
        <v>179</v>
      </c>
    </row>
    <row r="19" spans="7:15">
      <c r="O19" s="90" t="s">
        <v>347</v>
      </c>
    </row>
    <row r="20" spans="7:15">
      <c r="O20" s="90" t="s">
        <v>349</v>
      </c>
    </row>
    <row r="21" spans="7:15">
      <c r="O21" s="90" t="s">
        <v>353</v>
      </c>
    </row>
    <row r="22" spans="7:15">
      <c r="O22" s="91" t="s">
        <v>200</v>
      </c>
    </row>
    <row r="23" spans="7:15">
      <c r="O23" s="91" t="s">
        <v>378</v>
      </c>
    </row>
    <row r="24" spans="7:15">
      <c r="O24" s="90" t="s">
        <v>423</v>
      </c>
    </row>
    <row r="25" spans="7:15">
      <c r="O25" s="91" t="s">
        <v>180</v>
      </c>
    </row>
    <row r="26" spans="7:15">
      <c r="O26" s="90" t="s">
        <v>348</v>
      </c>
    </row>
    <row r="27" spans="7:15">
      <c r="O27" s="91" t="s">
        <v>424</v>
      </c>
    </row>
    <row r="28" spans="7:15">
      <c r="O28" s="90" t="s">
        <v>425</v>
      </c>
    </row>
    <row r="29" spans="7:15">
      <c r="O29" s="169" t="s">
        <v>379</v>
      </c>
    </row>
    <row r="30" spans="7:15">
      <c r="O30" s="169" t="s">
        <v>351</v>
      </c>
    </row>
    <row r="31" spans="7:15">
      <c r="O31" s="169" t="s">
        <v>382</v>
      </c>
    </row>
  </sheetData>
  <pageMargins left="0.7" right="0.7" top="0.75" bottom="0.75" header="0.3" footer="0.3"/>
  <pageSetup orientation="portrait" horizontalDpi="300" verticalDpi="300" r:id="rId1"/>
  <headerFooter>
    <oddFooter>&amp;L&amp;"Calibri,Bold"&amp;11Day-ahead report 19/01/2018</oddFooter>
  </headerFooter>
  <legacyDrawing r:id="rId2"/>
</worksheet>
</file>

<file path=xl/worksheets/sheet9.xml><?xml version="1.0" encoding="utf-8"?>
<worksheet xmlns="http://schemas.openxmlformats.org/spreadsheetml/2006/main" xmlns:r="http://schemas.openxmlformats.org/officeDocument/2006/relationships">
  <sheetPr codeName="Sheet4"/>
  <dimension ref="A1"/>
  <sheetViews>
    <sheetView workbookViewId="0"/>
  </sheetViews>
  <sheetFormatPr defaultRowHeight="15"/>
  <sheetData/>
  <pageMargins left="0.7" right="0.7" top="0.75" bottom="0.75" header="0.3" footer="0.3"/>
  <pageSetup paperSize="9" orientation="portrait" r:id="rId1"/>
  <headerFooter>
    <oddFooter>&amp;L&amp;"Calibri,Bold"&amp;11Day-ahead report 19/01/2018</oddFooter>
  </headerFooter>
</worksheet>
</file>

<file path=customUI/_rels/customUI.xml.rels><?xml version="1.0" encoding="UTF-8" standalone="yes"?>
<Relationships xmlns="http://schemas.openxmlformats.org/package/2006/relationships"><Relationship Id="boulesloto" Type="http://schemas.openxmlformats.org/officeDocument/2006/relationships/image" Target="images/boulesloto.ico"/></Relationships>
</file>

<file path=customUI/customUI.xml><?xml version="1.0" encoding="utf-8"?>
<customUI xmlns="http://schemas.microsoft.com/office/2006/01/customui">
  <ribbon startFromScratch="false">
    <tabs>
      <tab id="Coreso" label="Coreso" insertAfterMso="TabAddIns">
        <group id="Tools" label="Tools">
          <button id="LoTo" label="LoTo" onAction="StartLoTo" size="large" image="boulesloto"/>
        </group>
        <group id="Clean" label="Clean">
          <button id="Erase" label="Erase Manual Data" onAction="StartErase" size="large" imageMso="Delete"/>
        </group>
        <group id="DayAheadReport" label="Day Ahead Report Update">
          <button id="Summary" label="Summary" onAction="UpdateSummary" size="large" imageMso="ViewOutlineView"/>
          <button id="Operators" label="Operators" onAction="UpdateOperators" size="large" imageMso="AddOrRemoveAttendees"/>
        </group>
        <group id="MergeReport" label="Merge D-1 Report">
          <button id="MergeButton" label="Merge Reports" onAction="MergeReports" size="large" imageMso="ReviewViewChangesInTheSourceDocument"/>
        </group>
        <group id="PDFreport" label="PDF report">
          <button id="CreatePDF" label="Create PDF" onAction="CreatePDF" size="large" imageMso="FontSizeDecreas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Start</vt:lpstr>
      <vt:lpstr>Summary</vt:lpstr>
      <vt:lpstr>N State Flows Data</vt:lpstr>
      <vt:lpstr>Terna Sensitivity Data</vt:lpstr>
      <vt:lpstr>N State Taps &amp; Flows</vt:lpstr>
      <vt:lpstr>Free Constraints Table</vt:lpstr>
      <vt:lpstr>Config Lines</vt:lpstr>
      <vt:lpstr>Checking</vt:lpstr>
      <vt:lpstr>Sheet1</vt:lpstr>
      <vt:lpstr>'Terna Sensitivity Data'!_Toc309534143</vt:lpstr>
      <vt:lpstr>ref_PSTs_Settings</vt:lpstr>
      <vt:lpstr>ref_sensitivity</vt:lpstr>
    </vt:vector>
  </TitlesOfParts>
  <Company>Coreso</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benonie-g</dc:creator>
  <cp:lastModifiedBy>South left</cp:lastModifiedBy>
  <cp:lastPrinted>2018-01-17T22:25:21Z</cp:lastPrinted>
  <dcterms:created xsi:type="dcterms:W3CDTF">2011-11-20T18:32:02Z</dcterms:created>
  <dcterms:modified xsi:type="dcterms:W3CDTF">2018-01-19T00:08:29Z</dcterms:modified>
</cp:coreProperties>
</file>