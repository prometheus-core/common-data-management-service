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/>
  </bookViews>
  <sheets>
    <sheet name="Start" sheetId="27" r:id="rId1"/>
    <sheet name="Summary" sheetId="5" state="hidden" r:id="rId2"/>
    <sheet name="N State Flows Data" sheetId="11" state="hidden" r:id="rId3"/>
    <sheet name="Terna Sensitivity Data" sheetId="17" state="hidden" r:id="rId4"/>
    <sheet name="N State Taps &amp; Flows" sheetId="32" state="hidden" r:id="rId5"/>
    <sheet name="Free Constraints Table" sheetId="29" state="hidden" r:id="rId6"/>
    <sheet name="Config Lines" sheetId="31" state="hidden" r:id="rId7"/>
    <sheet name="Checking" sheetId="26" state="hidden" r:id="rId8"/>
    <sheet name="Sheet1" sheetId="33" state="hidden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Summary!$D$179</definedName>
    <definedName name="ref_Redispatching" localSheetId="6">[1]Summary!#REF!</definedName>
    <definedName name="ref_Redispatching">Summary!#REF!</definedName>
    <definedName name="ref_sensitivity">Summary!$D$149</definedName>
  </definedNames>
  <calcPr calcId="125725"/>
</workbook>
</file>

<file path=xl/calcChain.xml><?xml version="1.0" encoding="utf-8"?>
<calcChain xmlns="http://schemas.openxmlformats.org/spreadsheetml/2006/main">
  <c r="G7" i="17"/>
  <c r="G8"/>
  <c r="G5"/>
  <c r="G6"/>
  <c r="E14" i="5"/>
  <c r="G13" i="17"/>
  <c r="X153" i="5" s="1"/>
  <c r="G12" i="17"/>
  <c r="AN156" i="5" s="1"/>
  <c r="T184"/>
  <c r="N184"/>
  <c r="AR185"/>
  <c r="AR184"/>
  <c r="AX184"/>
  <c r="AX185"/>
  <c r="T185"/>
  <c r="N185"/>
  <c r="AX189"/>
  <c r="AR189"/>
  <c r="T189"/>
  <c r="N189"/>
  <c r="E12"/>
  <c r="AR188"/>
  <c r="AX188"/>
  <c r="AR187"/>
  <c r="AX187"/>
  <c r="AR186"/>
  <c r="AX186"/>
  <c r="AX183"/>
  <c r="AR183"/>
  <c r="T188"/>
  <c r="N188"/>
  <c r="T187"/>
  <c r="N187"/>
  <c r="T186"/>
  <c r="N186"/>
  <c r="T183"/>
  <c r="N183"/>
  <c r="N128"/>
  <c r="N129"/>
  <c r="N130"/>
  <c r="N131"/>
  <c r="N132"/>
  <c r="N133"/>
  <c r="N134"/>
  <c r="N135"/>
  <c r="N136"/>
  <c r="N137"/>
  <c r="N138"/>
  <c r="N139"/>
  <c r="N140"/>
  <c r="N141"/>
  <c r="N142"/>
  <c r="N127"/>
  <c r="H19" i="31"/>
  <c r="AZ142" i="5"/>
  <c r="H18" i="31"/>
  <c r="AZ141" i="5"/>
  <c r="H17" i="31"/>
  <c r="AZ140" i="5"/>
  <c r="H16" i="31"/>
  <c r="AZ139" i="5"/>
  <c r="H15" i="31"/>
  <c r="AZ138" i="5"/>
  <c r="H14" i="31"/>
  <c r="AZ137" i="5"/>
  <c r="H13" i="31"/>
  <c r="AZ136" i="5"/>
  <c r="H12" i="31"/>
  <c r="AZ135" i="5"/>
  <c r="H11" i="31"/>
  <c r="AZ134" i="5"/>
  <c r="H10" i="31"/>
  <c r="AZ133" i="5"/>
  <c r="H9" i="31"/>
  <c r="AZ132" i="5"/>
  <c r="H8" i="31"/>
  <c r="AZ131" i="5"/>
  <c r="H7" i="31"/>
  <c r="AZ130" i="5"/>
  <c r="H6" i="31"/>
  <c r="AZ129" i="5"/>
  <c r="H5" i="31"/>
  <c r="AZ128" i="5"/>
  <c r="H4" i="31"/>
  <c r="AZ127" i="5"/>
  <c r="K37"/>
  <c r="E10"/>
  <c r="AE140"/>
  <c r="AE136"/>
  <c r="AE132"/>
  <c r="AE128"/>
  <c r="AL140"/>
  <c r="AL136"/>
  <c r="AL132"/>
  <c r="AL128"/>
  <c r="AS140"/>
  <c r="AS136"/>
  <c r="AS132"/>
  <c r="AS128"/>
  <c r="AE141"/>
  <c r="AE137"/>
  <c r="AE133"/>
  <c r="AE129"/>
  <c r="AL141"/>
  <c r="AL137"/>
  <c r="AL133"/>
  <c r="AL129"/>
  <c r="AS141"/>
  <c r="AS137"/>
  <c r="AS133"/>
  <c r="AS129"/>
  <c r="AE142"/>
  <c r="AE138"/>
  <c r="AE134"/>
  <c r="AE130"/>
  <c r="AL142"/>
  <c r="AL138"/>
  <c r="AL134"/>
  <c r="AL130"/>
  <c r="AS142"/>
  <c r="AS138"/>
  <c r="AS134"/>
  <c r="AS130"/>
  <c r="AE127"/>
  <c r="AE139"/>
  <c r="AE135"/>
  <c r="AE131"/>
  <c r="AL127"/>
  <c r="AL139"/>
  <c r="AL135"/>
  <c r="AL131"/>
  <c r="AS127"/>
  <c r="AS139"/>
  <c r="AS135"/>
  <c r="AS131"/>
  <c r="H16" i="26"/>
  <c r="H5"/>
  <c r="H6" s="1"/>
  <c r="H7" s="1"/>
  <c r="H4"/>
  <c r="H8" s="1"/>
  <c r="AV152" i="5"/>
  <c r="AN152"/>
  <c r="AF152"/>
  <c r="X152"/>
  <c r="AV155"/>
  <c r="AN155"/>
  <c r="AF155"/>
  <c r="X155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53" l="1"/>
  <c r="H5" i="17"/>
  <c r="AF157" i="5" s="1"/>
  <c r="H7" i="17"/>
  <c r="AF154" i="5" s="1"/>
  <c r="AN153"/>
  <c r="AV153"/>
  <c r="X156"/>
  <c r="AV156"/>
  <c r="AF156"/>
  <c r="C16" i="27"/>
  <c r="W6" i="5"/>
  <c r="I6" i="26"/>
  <c r="AV157" i="5" l="1"/>
  <c r="AN157"/>
  <c r="X157"/>
  <c r="AN154"/>
  <c r="X154"/>
  <c r="AV154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83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5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7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10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9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8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91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193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4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5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<sst xmlns="http://schemas.openxmlformats.org/spreadsheetml/2006/main" count="1117" uniqueCount="508">
  <si>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</si>
  <si>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</si>
  <si>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</si>
  <si>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</si>
  <si>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</si>
  <si>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</si>
  <si>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</si>
  <si>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</si>
  <si>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</si>
  <si>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</si>
  <si>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</si>
  <si>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</si>
  <si>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</si>
  <si>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</si>
  <si>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</si>
  <si>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</si>
  <si>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</si>
  <si>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</si>
  <si>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</si>
  <si>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</si>
  <si>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</si>
  <si>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</si>
  <si>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</si>
  <si>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</si>
  <si>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</si>
  <si>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</si>
  <si>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</si>
  <si>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</si>
  <si>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</si>
  <si>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</si>
  <si>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</si>
  <si>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</si>
  <si>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</si>
  <si>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</si>
  <si>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</si>
  <si>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</si>
  <si>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</si>
  <si>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</si>
  <si>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</si>
  <si>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</si>
  <si>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</si>
  <si>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</si>
  <si>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</si>
  <si>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</si>
  <si>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</si>
  <si>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</si>
  <si>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</si>
  <si>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</si>
  <si>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</si>
  <si>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</si>
  <si>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</si>
  <si>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</si>
  <si>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</si>
  <si>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</si>
  <si>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</si>
  <si>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</si>
  <si>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</si>
  <si>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</si>
  <si>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</si>
  <si>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</si>
  <si>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</si>
  <si>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</si>
  <si>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</si>
  <si>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</si>
  <si>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</si>
  <si>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</si>
  <si>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</si>
  <si>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</si>
  <si>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</si>
  <si>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</si>
  <si>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</si>
  <si>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</si>
  <si>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</si>
  <si>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</si>
  <si>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</si>
  <si>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</si>
  <si>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</si>
  <si>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</si>
  <si>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</si>
  <si>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</si>
  <si>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</si>
  <si>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</si>
  <si>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</si>
  <si>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</si>
  <si>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</si>
  <si>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</si>
  <si>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</si>
  <si>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</si>
  <si>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</si>
  <si>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</si>
  <si>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</si>
  <si>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</si>
  <si>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</si>
  <si>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</si>
  <si>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</si>
  <si>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</si>
  <si>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</si>
  <si>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</si>
  <si>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</si>
  <si>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</si>
  <si>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</si>
  <si>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</si>
  <si>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</si>
  <si>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</si>
  <si>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</si>
  <si>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</si>
  <si>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</si>
  <si>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</si>
  <si>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</si>
  <si>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</si>
  <si>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</si>
  <si>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</si>
  <si>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</si>
  <si>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</si>
  <si>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</si>
  <si>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</si>
  <si>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</si>
  <si>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</si>
  <si>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</si>
  <si>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</si>
  <si>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</si>
  <si>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</si>
  <si>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</si>
  <si>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</si>
  <si>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</si>
  <si>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</si>
  <si>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</si>
  <si>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</si>
  <si>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</si>
  <si>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</si>
  <si>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</si>
  <si>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</si>
  <si>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</si>
  <si>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</si>
  <si>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</si>
  <si>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</si>
  <si>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</si>
  <si>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</si>
  <si>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</si>
  <si>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</si>
  <si>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</si>
  <si>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</si>
  <si>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</si>
  <si>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</si>
  <si>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</si>
  <si>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</si>
  <si>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</si>
  <si>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</si>
  <si>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</si>
  <si>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</si>
  <si>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</si>
  <si>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</si>
  <si>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</si>
  <si>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</si>
  <si>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</si>
  <si>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</si>
  <si>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</si>
  <si>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</si>
  <si>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</si>
  <si>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</si>
  <si>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</si>
  <si>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</si>
  <si>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</si>
  <si>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</si>
  <si>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</si>
  <si>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</si>
  <si>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</si>
  <si>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</si>
  <si>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</si>
  <si>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</si>
  <si>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</si>
  <si>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</si>
  <si>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</si>
  <si>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</si>
  <si>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</si>
  <si>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</si>
  <si>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</si>
  <si>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</si>
  <si>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</si>
  <si>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</si>
  <si>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</si>
  <si>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</si>
  <si>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</si>
  <si>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</si>
  <si>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</si>
  <si>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</si>
  <si>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</si>
  <si>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</si>
  <si>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</si>
  <si>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</si>
  <si>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</si>
  <si>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</si>
  <si>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</si>
  <si>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</si>
  <si>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</si>
  <si>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</si>
  <si>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</si>
  <si>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</si>
  <si>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</si>
  <si>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</si>
  <si>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</si>
  <si>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</si>
  <si>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</si>
  <si>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</si>
  <si>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</si>
  <si>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</si>
  <si>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</si>
  <si>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</si>
  <si>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</si>
  <si>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</si>
  <si>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</si>
  <si>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</si>
  <si>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</si>
  <si>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</si>
  <si>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</si>
  <si>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</si>
  <si>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</si>
  <si>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</si>
  <si>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</si>
  <si>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</si>
  <si>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</si>
  <si>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</si>
  <si>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</si>
  <si>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</si>
  <si>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</si>
  <si>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</si>
  <si>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</si>
  <si>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</si>
  <si>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</si>
  <si>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</si>
  <si>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</si>
  <si>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</si>
  <si>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</si>
  <si>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</si>
  <si>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</si>
  <si>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</si>
  <si>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</si>
  <si>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</si>
  <si>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</si>
  <si>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</si>
  <si>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</si>
  <si>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</si>
  <si>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</si>
  <si>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</si>
  <si>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</si>
  <si>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</si>
  <si>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</si>
  <si>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</si>
  <si>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</si>
  <si>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</si>
  <si>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</si>
  <si>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</si>
  <si>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</si>
  <si>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</si>
  <si>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</si>
  <si>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</si>
  <si>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</si>
  <si>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</si>
  <si>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</si>
  <si>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</si>
  <si>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</si>
  <si>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</si>
  <si>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</si>
  <si>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</si>
  <si>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</si>
  <si>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</si>
  <si>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</si>
  <si>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</si>
  <si>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</si>
  <si>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</si>
  <si>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</si>
  <si>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</si>
  <si>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</si>
  <si>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</si>
  <si>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</si>
  <si>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</si>
  <si>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</si>
  <si>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</si>
  <si>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</si>
  <si>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</si>
  <si>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</si>
  <si>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</si>
  <si>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</si>
  <si>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</si>
  <si>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</si>
  <si>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</si>
  <si>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</si>
  <si>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</si>
  <si>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</si>
  <si>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</si>
  <si>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</si>
  <si>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</si>
  <si>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</si>
  <si>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</si>
  <si>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</si>
  <si>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</si>
  <si>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</si>
  <si>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</si>
  <si>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</si>
  <si>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</si>
  <si>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</si>
  <si>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</si>
  <si>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</si>
  <si>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</si>
  <si>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</si>
  <si>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</si>
  <si>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</si>
  <si>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</si>
  <si>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</si>
  <si>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</si>
  <si>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</si>
  <si>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</si>
  <si>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</si>
  <si>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</si>
  <si>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</si>
  <si>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</si>
  <si>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</si>
  <si>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</si>
  <si>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</si>
  <si>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</si>
  <si>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</si>
  <si>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</si>
  <si>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</si>
  <si>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</si>
  <si>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</si>
  <si>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</si>
  <si>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</si>
  <si>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</si>
  <si>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</si>
  <si>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</si>
  <si>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</si>
  <si>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</si>
  <si>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</si>
  <si>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</si>
  <si>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</si>
  <si>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</si>
  <si>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</si>
  <si>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</si>
  <si>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</si>
  <si>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</si>
  <si>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</si>
  <si>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</si>
  <si>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</si>
  <si>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</si>
  <si>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</si>
  <si>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</si>
  <si>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</si>
  <si>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</si>
  <si>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</si>
  <si>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</si>
  <si>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</si>
  <si>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</si>
  <si>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</si>
  <si>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</si>
  <si>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</si>
  <si>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</si>
  <si>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</si>
  <si>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</si>
  <si>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</si>
  <si>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</si>
  <si>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</si>
  <si>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</si>
  <si>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</si>
  <si>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</si>
  <si>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</si>
  <si>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</si>
  <si>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</si>
  <si>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</si>
  <si>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</si>
  <si>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</si>
  <si>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</si>
  <si>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</si>
  <si>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</si>
  <si>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</si>
  <si>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</si>
  <si>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</si>
  <si>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</si>
  <si>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</si>
  <si>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</si>
  <si>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</si>
  <si>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</si>
  <si>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</si>
  <si>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</si>
  <si>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</si>
  <si>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</si>
  <si>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</si>
  <si>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</si>
  <si>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</si>
  <si>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</si>
  <si>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</si>
  <si>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</si>
  <si>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</si>
  <si>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</si>
  <si>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</si>
  <si>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</si>
  <si>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</si>
  <si>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</si>
  <si>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</si>
  <si>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</si>
  <si>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</si>
  <si>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</si>
  <si>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</si>
  <si>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</si>
  <si>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</si>
  <si>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</si>
  <si>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</si>
  <si>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</si>
  <si>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</si>
  <si>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</si>
  <si>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</si>
  <si>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</si>
  <si>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</si>
  <si>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</si>
  <si>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</si>
  <si>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</si>
  <si>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</si>
  <si>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</si>
  <si>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</si>
  <si>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</si>
  <si>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</si>
  <si>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</si>
  <si>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</si>
  <si>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</si>
  <si>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</si>
  <si>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</si>
  <si>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</si>
  <si>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</si>
  <si>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</si>
  <si>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Z:\CORESO tree\06-Day ahead\DA reports\2018\01</t>
  </si>
  <si>
    <t>LDIVAC12 XRE_DI11 1</t>
  </si>
  <si>
    <t>LDIVAC22 XPA_DI21 1</t>
  </si>
  <si>
    <t>OLIENN22 XLI_SO21 1</t>
  </si>
  <si>
    <t>SLAVOR12 XLA_MU11 1</t>
  </si>
  <si>
    <t>SMENDR11 XME_CA11 1</t>
  </si>
  <si>
    <t>SRIDDE22 XRI_AV21 1</t>
  </si>
  <si>
    <t>SRIDDE22 XRI_VA21 1</t>
  </si>
  <si>
    <t>SROBBI12 XRO_SF11 1</t>
  </si>
  <si>
    <t>SROBBI14 XRO_GO11 1</t>
  </si>
  <si>
    <t>SSERRA21 XSE_PA21 1</t>
  </si>
  <si>
    <t>SSOAZZ11 XSO_BU11 1</t>
  </si>
  <si>
    <t>SY_ACQ21 XAI_PO21 1</t>
  </si>
  <si>
    <t>XAI_PO21 IPONTA21 1</t>
  </si>
  <si>
    <t>XAL_RO11 FALBER13 1</t>
  </si>
  <si>
    <t>XAL_RO11 IRONT112 1</t>
  </si>
  <si>
    <t>XAL_RO12 FALBER12 2</t>
  </si>
  <si>
    <t>XAL_RO12 IRONT113 2</t>
  </si>
  <si>
    <t>XB._CA21 FZMENT21 1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</si>
  <si>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</si>
  <si>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</si>
  <si>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</si>
  <si>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</si>
  <si>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</si>
  <si>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</si>
  <si>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</si>
  <si>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</si>
  <si>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</si>
  <si>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</si>
  <si>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</si>
  <si>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</si>
  <si>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FVLARO11 1</t>
  </si>
  <si>
    <t>XVL_VE11 IVNST111 1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</si>
  <si>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</si>
  <si>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</si>
  <si>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</si>
  <si>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</si>
  <si>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</si>
  <si>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</si>
  <si>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</si>
  <si>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</si>
  <si>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</si>
  <si>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</si>
  <si>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</si>
  <si>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</si>
  <si>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</si>
  <si>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</si>
  <si>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</si>
  <si>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</si>
  <si>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</si>
  <si>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</si>
  <si>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</si>
  <si>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</si>
  <si>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</si>
  <si>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</si>
  <si>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</si>
  <si>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</si>
  <si>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</si>
  <si>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</si>
  <si>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</si>
  <si>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</si>
  <si>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</si>
  <si>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Tap (N_K)</t>
  </si>
  <si>
    <t>Active flow (MW) (N_K)</t>
  </si>
  <si>
    <t>Filisur
Pradella-Sils</t>
  </si>
  <si>
    <t>34100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</si>
  <si>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>800 MW</t>
    </r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</si>
  <si>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</si>
  <si>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120 MW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</si>
  <si>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150 MW 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</si>
  <si>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197 MW </t>
    </r>
  </si>
  <si>
    <t>busbar</t>
  </si>
  <si>
    <t>107%(1')</t>
  </si>
  <si>
    <t>Longefan
Randens</t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</si>
  <si>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1-node operation at Albertville 220kV </t>
    </r>
    <r>
      <rPr>
        <b/>
        <sz val="8"/>
        <color theme="1"/>
        <rFont val="Calibri"/>
        <family val="2"/>
        <scheme val="minor"/>
      </rPr>
      <t>=&gt; no more constraint with night Imax</t>
    </r>
  </si>
  <si>
    <t>Terna / SWG</t>
  </si>
  <si>
    <r>
      <t>Preventive actions:</t>
    </r>
    <r>
      <rPr>
        <sz val="8"/>
        <color theme="1"/>
        <rFont val="Calibri"/>
        <family val="2"/>
        <scheme val="minor"/>
      </rPr>
      <t xml:space="preserve"> 2-node operation at Sils and increase 2 taps (7 to 9) on Lavorgo PST (agreed by SWG) </t>
    </r>
    <r>
      <rPr>
        <b/>
        <sz val="8"/>
        <color theme="1"/>
        <rFont val="Calibri"/>
        <family val="2"/>
        <scheme val="minor"/>
      </rPr>
      <t>=&gt; 99% remaining on Lavorgo Musignano and Sils-Soazza</t>
    </r>
  </si>
  <si>
    <t>CSE: Constraints detected on Lavorgo-Musignano and Sils-Soazza that are manageable with usual topological measures in Switzerland.</t>
  </si>
  <si>
    <t>42900</t>
  </si>
  <si>
    <t>No more constraint detected after preventive actions above.</t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</si>
</sst>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0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1"/>
      <color rgb="FF00B050"/>
      <name val="Calibri"/>
      <family val="2"/>
      <scheme val="minor"/>
    </font>
    <font>
      <sz val="12"/>
      <color rgb="FF00B05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10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3" fillId="0" borderId="0" xfId="0" applyFont="1" applyFill="1" applyBorder="1" applyAlignment="1" applyProtection="1">
      <alignment horizontal="left"/>
      <protection locked="0"/>
    </xf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0" fontId="18" fillId="0" borderId="0" xfId="0" applyFont="1" applyAlignment="1" applyProtection="1">
      <alignment horizontal="left" vertical="center"/>
    </xf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Alignment="1" applyProtection="1"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4" fillId="0" borderId="35" xfId="0" applyFont="1" applyBorder="1" applyAlignment="1" applyProtection="1">
      <alignment horizontal="center" wrapText="1"/>
      <protection locked="0"/>
    </xf>
    <xf numFmtId="0" fontId="14" fillId="0" borderId="36" xfId="0" applyFont="1" applyBorder="1" applyAlignment="1" applyProtection="1">
      <alignment horizontal="center" wrapText="1"/>
      <protection locked="0"/>
    </xf>
    <xf numFmtId="0" fontId="14" fillId="0" borderId="48" xfId="0" applyFont="1" applyBorder="1" applyAlignment="1" applyProtection="1">
      <alignment horizontal="center" wrapText="1"/>
      <protection locked="0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18" fillId="0" borderId="0" xfId="0" applyFont="1" applyAlignment="1" applyProtection="1">
      <alignment horizontal="left" vertical="center"/>
      <protection locked="0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wrapText="1"/>
      <protection locked="0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16" fillId="0" borderId="32" xfId="0" quotePrefix="1" applyNumberFormat="1" applyFont="1" applyFill="1" applyBorder="1" applyAlignment="1" applyProtection="1">
      <alignment vertical="center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0" borderId="29" xfId="0" quotePrefix="1" applyNumberFormat="1" applyFont="1" applyFill="1" applyBorder="1" applyAlignment="1" applyProtection="1">
      <alignment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1" fontId="2" fillId="10" borderId="30" xfId="0" quotePrefix="1" applyNumberFormat="1" applyFont="1" applyFill="1" applyBorder="1" applyAlignment="1" applyProtection="1">
      <alignment horizontal="center" vertical="center" shrinkToFit="1"/>
    </xf>
    <xf numFmtId="1" fontId="2" fillId="10" borderId="31" xfId="0" quotePrefix="1" applyNumberFormat="1" applyFont="1" applyFill="1" applyBorder="1" applyAlignment="1" applyProtection="1">
      <alignment horizontal="center" vertical="center" shrinkToFit="1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 shrinkToFit="1"/>
    </xf>
    <xf numFmtId="9" fontId="2" fillId="10" borderId="28" xfId="0" quotePrefix="1" applyNumberFormat="1" applyFont="1" applyFill="1" applyBorder="1" applyAlignment="1" applyProtection="1">
      <alignment horizontal="center" vertical="center" shrinkToFit="1"/>
    </xf>
    <xf numFmtId="9" fontId="2" fillId="21" borderId="27" xfId="0" quotePrefix="1" applyNumberFormat="1" applyFont="1" applyFill="1" applyBorder="1" applyAlignment="1" applyProtection="1">
      <alignment horizontal="center" vertical="center" shrinkToFit="1"/>
    </xf>
    <xf numFmtId="9" fontId="2" fillId="21" borderId="28" xfId="0" quotePrefix="1" applyNumberFormat="1" applyFont="1" applyFill="1" applyBorder="1" applyAlignment="1" applyProtection="1">
      <alignment horizontal="center" vertical="center" shrinkToFit="1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1" fontId="2" fillId="21" borderId="30" xfId="0" quotePrefix="1" applyNumberFormat="1" applyFont="1" applyFill="1" applyBorder="1" applyAlignment="1" applyProtection="1">
      <alignment horizontal="center" vertical="center" shrinkToFit="1"/>
    </xf>
    <xf numFmtId="1" fontId="2" fillId="21" borderId="31" xfId="0" quotePrefix="1" applyNumberFormat="1" applyFont="1" applyFill="1" applyBorder="1" applyAlignment="1" applyProtection="1">
      <alignment horizontal="center" vertical="center" shrinkToFit="1"/>
    </xf>
    <xf numFmtId="1" fontId="16" fillId="0" borderId="18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1" fontId="16" fillId="0" borderId="40" xfId="0" quotePrefix="1" applyNumberFormat="1" applyFont="1" applyFill="1" applyBorder="1" applyAlignment="1" applyProtection="1">
      <alignment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1" fontId="16" fillId="0" borderId="34" xfId="0" quotePrefix="1" applyNumberFormat="1" applyFont="1" applyFill="1" applyBorder="1" applyAlignment="1" applyProtection="1">
      <alignment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1" fontId="16" fillId="0" borderId="20" xfId="0" quotePrefix="1" applyNumberFormat="1" applyFont="1" applyFill="1" applyBorder="1" applyAlignment="1" applyProtection="1">
      <alignment vertical="center"/>
    </xf>
    <xf numFmtId="1" fontId="16" fillId="0" borderId="31" xfId="0" quotePrefix="1" applyNumberFormat="1" applyFont="1" applyFill="1" applyBorder="1" applyAlignment="1" applyProtection="1">
      <alignment vertical="center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0" borderId="28" xfId="0" quotePrefix="1" applyNumberFormat="1" applyFont="1" applyFill="1" applyBorder="1" applyAlignment="1" applyProtection="1">
      <alignment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left"/>
    </xf>
    <xf numFmtId="0" fontId="0" fillId="0" borderId="0" xfId="0" applyFill="1" applyBorder="1" applyAlignment="1" applyProtection="1">
      <alignment horizont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/>
      <protection locked="0"/>
    </xf>
    <xf numFmtId="0" fontId="0" fillId="2" borderId="36" xfId="0" applyFill="1" applyBorder="1" applyAlignment="1" applyProtection="1">
      <alignment horizontal="center"/>
      <protection locked="0"/>
    </xf>
    <xf numFmtId="0" fontId="0" fillId="2" borderId="48" xfId="0" applyFill="1" applyBorder="1" applyAlignment="1" applyProtection="1">
      <alignment horizont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169" fontId="0" fillId="2" borderId="29" xfId="0" applyNumberFormat="1" applyFill="1" applyBorder="1" applyAlignment="1" applyProtection="1">
      <alignment horizontal="center" vertical="center"/>
      <protection locked="0"/>
    </xf>
    <xf numFmtId="169" fontId="0" fillId="2" borderId="30" xfId="0" applyNumberFormat="1" applyFill="1" applyBorder="1" applyAlignment="1" applyProtection="1">
      <alignment horizontal="center" vertical="center"/>
      <protection locked="0"/>
    </xf>
    <xf numFmtId="169" fontId="0" fillId="2" borderId="31" xfId="0" applyNumberFormat="1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15" fillId="2" borderId="32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41" fillId="0" borderId="0" xfId="0" applyFont="1" applyAlignment="1" applyProtection="1">
      <alignment horizontal="left" vertical="center"/>
      <protection locked="0"/>
    </xf>
    <xf numFmtId="0" fontId="42" fillId="0" borderId="0" xfId="0" applyFont="1" applyAlignment="1" applyProtection="1">
      <alignment horizontal="left" vertical="center" wrapText="1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/>
    </xf>
    <xf numFmtId="0" fontId="89" fillId="0" borderId="5" xfId="0" applyFont="1" applyFill="1" applyBorder="1" applyAlignment="1" applyProtection="1">
      <alignment horizontal="justify" vertical="center" wrapText="1"/>
    </xf>
    <xf numFmtId="0" fontId="88" fillId="0" borderId="0" xfId="0" applyFont="1" applyFill="1" applyAlignment="1">
      <alignment horizontal="justify"/>
    </xf>
    <xf numFmtId="0" fontId="88" fillId="0" borderId="6" xfId="0" applyFont="1" applyFill="1" applyBorder="1" applyAlignment="1">
      <alignment horizontal="justify"/>
    </xf>
    <xf numFmtId="0" fontId="88" fillId="0" borderId="7" xfId="0" applyFont="1" applyFill="1" applyBorder="1" applyAlignment="1">
      <alignment horizontal="justify"/>
    </xf>
    <xf numFmtId="0" fontId="88" fillId="0" borderId="8" xfId="0" applyFont="1" applyFill="1" applyBorder="1" applyAlignment="1">
      <alignment horizontal="justify"/>
    </xf>
    <xf numFmtId="0" fontId="88" fillId="0" borderId="9" xfId="0" applyFont="1" applyFill="1" applyBorder="1" applyAlignment="1">
      <alignment horizontal="justify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33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9" fontId="2" fillId="21" borderId="32" xfId="0" quotePrefix="1" applyNumberFormat="1" applyFont="1" applyFill="1" applyBorder="1" applyAlignment="1" applyProtection="1">
      <alignment horizontal="center" vertical="center" shrinkToFit="1"/>
    </xf>
    <xf numFmtId="9" fontId="2" fillId="21" borderId="34" xfId="0" quotePrefix="1" applyNumberFormat="1" applyFont="1" applyFill="1" applyBorder="1" applyAlignment="1" applyProtection="1">
      <alignment horizontal="center" vertical="center" shrinkToFit="1"/>
    </xf>
    <xf numFmtId="0" fontId="18" fillId="0" borderId="0" xfId="0" applyFont="1" applyAlignment="1" applyProtection="1">
      <alignment horizontal="left" vertical="center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2" fillId="13" borderId="45" xfId="0" applyFont="1" applyFill="1" applyBorder="1" applyAlignment="1" applyProtection="1">
      <alignment horizontal="center" vertical="center"/>
      <protection locked="0"/>
    </xf>
    <xf numFmtId="0" fontId="12" fillId="13" borderId="0" xfId="0" applyFont="1" applyFill="1" applyBorder="1" applyAlignment="1" applyProtection="1">
      <alignment horizontal="center" vertical="center"/>
      <protection locked="0"/>
    </xf>
    <xf numFmtId="0" fontId="12" fillId="13" borderId="58" xfId="0" applyFont="1" applyFill="1" applyBorder="1" applyAlignment="1" applyProtection="1">
      <alignment horizontal="center" vertical="center"/>
      <protection locked="0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61" fillId="0" borderId="32" xfId="0" applyFont="1" applyBorder="1" applyAlignment="1" applyProtection="1">
      <alignment horizontal="center" vertical="center"/>
    </xf>
    <xf numFmtId="0" fontId="18" fillId="24" borderId="0" xfId="0" applyFont="1" applyFill="1" applyAlignment="1" applyProtection="1">
      <alignment horizontal="left" vertical="center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89" fillId="0" borderId="0" xfId="0" applyFont="1" applyFill="1" applyBorder="1" applyAlignment="1" applyProtection="1">
      <alignment horizontal="justify" vertical="top" wrapText="1"/>
      <protection locked="0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61" fillId="0" borderId="32" xfId="0" applyFont="1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/>
    </xf>
    <xf numFmtId="20" fontId="16" fillId="0" borderId="45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8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45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58" xfId="0" applyNumberFormat="1" applyFont="1" applyFill="1" applyBorder="1" applyAlignment="1" applyProtection="1">
      <alignment horizontal="center" vertical="center" wrapText="1"/>
      <protection locked="0"/>
    </xf>
    <xf numFmtId="9" fontId="2" fillId="10" borderId="32" xfId="0" quotePrefix="1" applyNumberFormat="1" applyFont="1" applyFill="1" applyBorder="1" applyAlignment="1" applyProtection="1">
      <alignment horizontal="center" vertical="center" shrinkToFit="1"/>
    </xf>
    <xf numFmtId="9" fontId="2" fillId="10" borderId="34" xfId="0" quotePrefix="1" applyNumberFormat="1" applyFont="1" applyFill="1" applyBorder="1" applyAlignment="1" applyProtection="1">
      <alignment horizontal="center" vertical="center" shrinkToFit="1"/>
    </xf>
    <xf numFmtId="20" fontId="17" fillId="4" borderId="51" xfId="0" applyNumberFormat="1" applyFont="1" applyFill="1" applyBorder="1" applyAlignment="1">
      <alignment horizontal="center" vertical="center" wrapText="1"/>
    </xf>
    <xf numFmtId="20" fontId="0" fillId="4" borderId="52" xfId="0" applyNumberFormat="1" applyFill="1" applyBorder="1" applyAlignment="1">
      <alignment horizontal="center" vertical="center"/>
    </xf>
    <xf numFmtId="20" fontId="0" fillId="4" borderId="50" xfId="0" applyNumberFormat="1" applyFill="1" applyBorder="1" applyAlignment="1">
      <alignment horizontal="center" vertical="center"/>
    </xf>
    <xf numFmtId="20" fontId="17" fillId="4" borderId="52" xfId="0" applyNumberFormat="1" applyFont="1" applyFill="1" applyBorder="1" applyAlignment="1">
      <alignment horizontal="center" vertical="center" wrapText="1"/>
    </xf>
    <xf numFmtId="20" fontId="17" fillId="4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4" borderId="10" xfId="0" applyNumberFormat="1" applyFont="1" applyFill="1" applyBorder="1" applyAlignment="1">
      <alignment horizontal="center" vertical="center" wrapText="1"/>
    </xf>
    <xf numFmtId="20" fontId="17" fillId="4" borderId="11" xfId="0" applyNumberFormat="1" applyFont="1" applyFill="1" applyBorder="1" applyAlignment="1">
      <alignment horizontal="center" vertical="center" wrapText="1"/>
    </xf>
    <xf numFmtId="20" fontId="17" fillId="4" borderId="74" xfId="0" applyNumberFormat="1" applyFont="1" applyFill="1" applyBorder="1" applyAlignment="1">
      <alignment horizontal="center" vertical="center" wrapText="1"/>
    </xf>
    <xf numFmtId="20" fontId="64" fillId="4" borderId="10" xfId="0" applyNumberFormat="1" applyFont="1" applyFill="1" applyBorder="1" applyAlignment="1">
      <alignment horizontal="center" vertical="center" wrapText="1"/>
    </xf>
    <xf numFmtId="20" fontId="64" fillId="4" borderId="11" xfId="0" applyNumberFormat="1" applyFont="1" applyFill="1" applyBorder="1" applyAlignment="1">
      <alignment horizontal="center" vertical="center" wrapText="1"/>
    </xf>
    <xf numFmtId="20" fontId="64" fillId="4" borderId="74" xfId="0" applyNumberFormat="1" applyFont="1" applyFill="1" applyBorder="1" applyAlignment="1">
      <alignment horizontal="center" vertical="center" wrapText="1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2" fillId="0" borderId="32" xfId="0" applyFont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0" fillId="0" borderId="36" xfId="0" applyBorder="1"/>
    <xf numFmtId="0" fontId="0" fillId="0" borderId="48" xfId="0" applyBorder="1"/>
    <xf numFmtId="0" fontId="66" fillId="0" borderId="0" xfId="0" applyFont="1" applyAlignment="1" applyProtection="1">
      <alignment horizontal="center" wrapText="1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</cellXfs>
  <cellStyles count="2">
    <cellStyle name="Hyperlink" xfId="1" builtinId="8"/>
    <cellStyle name="Normal" xfId="0" builtinId="0"/>
  </cellStyles>
  <dxfs count="173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1"/>
  <ax:ocxPr ax:name="Day" ax:value="13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276224</xdr:colOff>
      <xdr:row>1</xdr:row>
      <xdr:rowOff>68261</xdr:rowOff>
    </xdr:from>
    <xdr:to>
      <xdr:col>10</xdr:col>
      <xdr:colOff>371474</xdr:colOff>
      <xdr:row>4</xdr:row>
      <xdr:rowOff>38099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734174" y="268286"/>
          <a:ext cx="752475" cy="627063"/>
        </a:xfrm>
        <a:prstGeom prst="rect">
          <a:avLst/>
        </a:prstGeom>
      </xdr:spPr>
    </xdr:pic>
    <xdr:clientData/>
  </xdr:twoCellAnchor>
  <xdr:twoCellAnchor>
    <xdr:from>
      <xdr:col>10</xdr:col>
      <xdr:colOff>523874</xdr:colOff>
      <xdr:row>1</xdr:row>
      <xdr:rowOff>95251</xdr:rowOff>
    </xdr:from>
    <xdr:to>
      <xdr:col>12</xdr:col>
      <xdr:colOff>647700</xdr:colOff>
      <xdr:row>4</xdr:row>
      <xdr:rowOff>9526</xdr:rowOff>
    </xdr:to>
    <xdr:sp macro="" textlink="">
      <xdr:nvSpPr>
        <xdr:cNvPr id="3" name="TextBox 2"/>
        <xdr:cNvSpPr txBox="1"/>
      </xdr:nvSpPr>
      <xdr:spPr>
        <a:xfrm>
          <a:off x="7639049" y="295276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tabSelected="1" workbookViewId="0">
      <selection activeCell="E15" sqref="E15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43113</v>
      </c>
      <c r="D12" s="64">
        <f>IF(D13="","",D13-1)</f>
        <v>43113</v>
      </c>
      <c r="E12" s="53"/>
      <c r="F12" s="54"/>
    </row>
    <row r="13" spans="2:6" ht="21.75" customHeight="1">
      <c r="B13" s="55" t="s">
        <v>127</v>
      </c>
      <c r="C13" s="56">
        <f>C12+1</f>
        <v>43114</v>
      </c>
      <c r="D13" s="41">
        <v>43114</v>
      </c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43114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20180114_South</v>
      </c>
      <c r="D16" s="60"/>
      <c r="E16" s="53"/>
      <c r="F16" s="53"/>
    </row>
    <row r="17" spans="2:8" ht="21.75" customHeight="1">
      <c r="B17" s="58" t="s">
        <v>129</v>
      </c>
      <c r="C17" s="42" t="s">
        <v>428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14/01/2018</oddFooter>
  </headerFooter>
  <drawing r:id="rId2"/>
  <legacyDrawing r:id="rId3"/>
  <controls>
    <control shapeId="5125" r:id="rId4" name="Calendar1"/>
    <control shapeId="5124" r:id="rId5" name="NewReportCheckBox"/>
    <control shapeId="5121" r:id="rId6" name="ModifyDayAheadCheckbox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196"/>
  <sheetViews>
    <sheetView showGridLines="0" showWhiteSpace="0" topLeftCell="A156" zoomScale="140" zoomScaleNormal="140" zoomScalePageLayoutView="160" workbookViewId="0">
      <selection activeCell="D163" sqref="D163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1" customWidth="1"/>
    <col min="64" max="16384" width="9.140625" style="66"/>
  </cols>
  <sheetData>
    <row r="1" spans="5:59" ht="15.75" thickBot="1"/>
    <row r="2" spans="5:59">
      <c r="E2" s="498"/>
      <c r="F2" s="499"/>
      <c r="G2" s="499"/>
      <c r="H2" s="499"/>
      <c r="I2" s="499"/>
      <c r="J2" s="499"/>
      <c r="K2" s="499"/>
      <c r="L2" s="499"/>
      <c r="M2" s="499"/>
      <c r="N2" s="499"/>
      <c r="O2" s="499"/>
      <c r="P2" s="499"/>
      <c r="Q2" s="499"/>
      <c r="R2" s="499"/>
      <c r="S2" s="499"/>
      <c r="T2" s="499"/>
      <c r="U2" s="499"/>
      <c r="V2" s="500"/>
      <c r="W2" s="501" t="s">
        <v>187</v>
      </c>
      <c r="X2" s="501"/>
      <c r="Y2" s="501"/>
      <c r="Z2" s="501"/>
      <c r="AA2" s="501"/>
      <c r="AB2" s="501"/>
      <c r="AC2" s="501"/>
      <c r="AD2" s="501"/>
      <c r="AE2" s="501"/>
      <c r="AF2" s="501"/>
      <c r="AG2" s="501"/>
      <c r="AH2" s="501"/>
      <c r="AI2" s="501"/>
      <c r="AJ2" s="501"/>
      <c r="AK2" s="501"/>
      <c r="AL2" s="501"/>
      <c r="AM2" s="501"/>
      <c r="AN2" s="501"/>
      <c r="AO2" s="501"/>
      <c r="AP2" s="501"/>
      <c r="AQ2" s="501"/>
      <c r="AR2" s="501"/>
      <c r="AS2" s="501"/>
      <c r="AT2" s="501"/>
      <c r="AU2" s="501"/>
      <c r="AV2" s="501"/>
      <c r="AW2" s="501"/>
      <c r="AX2" s="501"/>
      <c r="AY2" s="501"/>
      <c r="AZ2" s="501"/>
      <c r="BA2" s="501"/>
      <c r="BB2" s="501"/>
      <c r="BC2" s="501"/>
      <c r="BD2" s="501"/>
      <c r="BE2" s="501"/>
      <c r="BF2" s="501"/>
      <c r="BG2" s="502"/>
    </row>
    <row r="3" spans="5:59" ht="15" customHeight="1">
      <c r="E3" s="505" t="s">
        <v>0</v>
      </c>
      <c r="F3" s="506"/>
      <c r="G3" s="506"/>
      <c r="H3" s="506"/>
      <c r="I3" s="506"/>
      <c r="J3" s="506"/>
      <c r="K3" s="506"/>
      <c r="L3" s="506"/>
      <c r="M3" s="506"/>
      <c r="N3" s="506"/>
      <c r="O3" s="506"/>
      <c r="P3" s="506"/>
      <c r="Q3" s="506"/>
      <c r="R3" s="506"/>
      <c r="S3" s="506"/>
      <c r="T3" s="506"/>
      <c r="U3" s="506"/>
      <c r="V3" s="507"/>
      <c r="W3" s="503"/>
      <c r="X3" s="503"/>
      <c r="Y3" s="503"/>
      <c r="Z3" s="503"/>
      <c r="AA3" s="503"/>
      <c r="AB3" s="503"/>
      <c r="AC3" s="503"/>
      <c r="AD3" s="503"/>
      <c r="AE3" s="503"/>
      <c r="AF3" s="503"/>
      <c r="AG3" s="503"/>
      <c r="AH3" s="503"/>
      <c r="AI3" s="503"/>
      <c r="AJ3" s="503"/>
      <c r="AK3" s="503"/>
      <c r="AL3" s="503"/>
      <c r="AM3" s="503"/>
      <c r="AN3" s="503"/>
      <c r="AO3" s="503"/>
      <c r="AP3" s="503"/>
      <c r="AQ3" s="503"/>
      <c r="AR3" s="503"/>
      <c r="AS3" s="503"/>
      <c r="AT3" s="503"/>
      <c r="AU3" s="503"/>
      <c r="AV3" s="503"/>
      <c r="AW3" s="503"/>
      <c r="AX3" s="503"/>
      <c r="AY3" s="503"/>
      <c r="AZ3" s="503"/>
      <c r="BA3" s="503"/>
      <c r="BB3" s="503"/>
      <c r="BC3" s="503"/>
      <c r="BD3" s="503"/>
      <c r="BE3" s="503"/>
      <c r="BF3" s="503"/>
      <c r="BG3" s="504"/>
    </row>
    <row r="4" spans="5:59">
      <c r="E4" s="514"/>
      <c r="F4" s="515"/>
      <c r="G4" s="515"/>
      <c r="H4" s="515"/>
      <c r="I4" s="515"/>
      <c r="J4" s="518"/>
      <c r="K4" s="518"/>
      <c r="L4" s="518"/>
      <c r="M4" s="518"/>
      <c r="N4" s="518"/>
      <c r="O4" s="518"/>
      <c r="P4" s="518"/>
      <c r="Q4" s="518"/>
      <c r="R4" s="518"/>
      <c r="S4" s="518"/>
      <c r="T4" s="518"/>
      <c r="U4" s="518"/>
      <c r="V4" s="519"/>
      <c r="W4" s="503"/>
      <c r="X4" s="503"/>
      <c r="Y4" s="503"/>
      <c r="Z4" s="503"/>
      <c r="AA4" s="503"/>
      <c r="AB4" s="503"/>
      <c r="AC4" s="503"/>
      <c r="AD4" s="503"/>
      <c r="AE4" s="503"/>
      <c r="AF4" s="503"/>
      <c r="AG4" s="503"/>
      <c r="AH4" s="503"/>
      <c r="AI4" s="503"/>
      <c r="AJ4" s="503"/>
      <c r="AK4" s="503"/>
      <c r="AL4" s="503"/>
      <c r="AM4" s="503"/>
      <c r="AN4" s="503"/>
      <c r="AO4" s="503"/>
      <c r="AP4" s="503"/>
      <c r="AQ4" s="503"/>
      <c r="AR4" s="503"/>
      <c r="AS4" s="503"/>
      <c r="AT4" s="503"/>
      <c r="AU4" s="503"/>
      <c r="AV4" s="503"/>
      <c r="AW4" s="503"/>
      <c r="AX4" s="503"/>
      <c r="AY4" s="503"/>
      <c r="AZ4" s="503"/>
      <c r="BA4" s="503"/>
      <c r="BB4" s="503"/>
      <c r="BC4" s="503"/>
      <c r="BD4" s="503"/>
      <c r="BE4" s="503"/>
      <c r="BF4" s="503"/>
      <c r="BG4" s="504"/>
    </row>
    <row r="5" spans="5:59" ht="15" customHeight="1">
      <c r="E5" s="514"/>
      <c r="F5" s="515"/>
      <c r="G5" s="515"/>
      <c r="H5" s="515"/>
      <c r="I5" s="515"/>
      <c r="J5" s="518"/>
      <c r="K5" s="518"/>
      <c r="L5" s="518"/>
      <c r="M5" s="518"/>
      <c r="N5" s="518"/>
      <c r="O5" s="518"/>
      <c r="P5" s="518"/>
      <c r="Q5" s="518"/>
      <c r="R5" s="518"/>
      <c r="S5" s="518"/>
      <c r="T5" s="518"/>
      <c r="U5" s="518"/>
      <c r="V5" s="519"/>
      <c r="W5" s="503"/>
      <c r="X5" s="503"/>
      <c r="Y5" s="503"/>
      <c r="Z5" s="503"/>
      <c r="AA5" s="503"/>
      <c r="AB5" s="503"/>
      <c r="AC5" s="503"/>
      <c r="AD5" s="503"/>
      <c r="AE5" s="503"/>
      <c r="AF5" s="503"/>
      <c r="AG5" s="503"/>
      <c r="AH5" s="503"/>
      <c r="AI5" s="503"/>
      <c r="AJ5" s="503"/>
      <c r="AK5" s="503"/>
      <c r="AL5" s="503"/>
      <c r="AM5" s="503"/>
      <c r="AN5" s="503"/>
      <c r="AO5" s="503"/>
      <c r="AP5" s="503"/>
      <c r="AQ5" s="503"/>
      <c r="AR5" s="503"/>
      <c r="AS5" s="503"/>
      <c r="AT5" s="503"/>
      <c r="AU5" s="503"/>
      <c r="AV5" s="503"/>
      <c r="AW5" s="503"/>
      <c r="AX5" s="503"/>
      <c r="AY5" s="503"/>
      <c r="AZ5" s="503"/>
      <c r="BA5" s="503"/>
      <c r="BB5" s="503"/>
      <c r="BC5" s="503"/>
      <c r="BD5" s="503"/>
      <c r="BE5" s="503"/>
      <c r="BF5" s="503"/>
      <c r="BG5" s="504"/>
    </row>
    <row r="6" spans="5:59" ht="15" customHeight="1">
      <c r="E6" s="514"/>
      <c r="F6" s="515"/>
      <c r="G6" s="515"/>
      <c r="H6" s="515"/>
      <c r="I6" s="515"/>
      <c r="J6" s="518"/>
      <c r="K6" s="518"/>
      <c r="L6" s="518"/>
      <c r="M6" s="518"/>
      <c r="N6" s="518"/>
      <c r="O6" s="518"/>
      <c r="P6" s="518"/>
      <c r="Q6" s="518"/>
      <c r="R6" s="518"/>
      <c r="S6" s="518"/>
      <c r="T6" s="518"/>
      <c r="U6" s="518"/>
      <c r="V6" s="519"/>
      <c r="W6" s="508">
        <f>Start!C15</f>
        <v>43114</v>
      </c>
      <c r="X6" s="508"/>
      <c r="Y6" s="508"/>
      <c r="Z6" s="508"/>
      <c r="AA6" s="508"/>
      <c r="AB6" s="508"/>
      <c r="AC6" s="508"/>
      <c r="AD6" s="508"/>
      <c r="AE6" s="508"/>
      <c r="AF6" s="508"/>
      <c r="AG6" s="508"/>
      <c r="AH6" s="508"/>
      <c r="AI6" s="508"/>
      <c r="AJ6" s="508"/>
      <c r="AK6" s="508"/>
      <c r="AL6" s="508"/>
      <c r="AM6" s="508"/>
      <c r="AN6" s="508"/>
      <c r="AO6" s="508"/>
      <c r="AP6" s="508"/>
      <c r="AQ6" s="508"/>
      <c r="AR6" s="508"/>
      <c r="AS6" s="508"/>
      <c r="AT6" s="508"/>
      <c r="AU6" s="508"/>
      <c r="AV6" s="508"/>
      <c r="AW6" s="508"/>
      <c r="AX6" s="508"/>
      <c r="AY6" s="508"/>
      <c r="AZ6" s="508"/>
      <c r="BA6" s="508"/>
      <c r="BB6" s="508"/>
      <c r="BC6" s="508"/>
      <c r="BD6" s="508"/>
      <c r="BE6" s="508"/>
      <c r="BF6" s="508"/>
      <c r="BG6" s="509"/>
    </row>
    <row r="7" spans="5:59" ht="15" customHeight="1">
      <c r="E7" s="514"/>
      <c r="F7" s="515"/>
      <c r="G7" s="515"/>
      <c r="H7" s="515"/>
      <c r="I7" s="515"/>
      <c r="J7" s="518"/>
      <c r="K7" s="518"/>
      <c r="L7" s="518"/>
      <c r="M7" s="518"/>
      <c r="N7" s="518"/>
      <c r="O7" s="518"/>
      <c r="P7" s="518"/>
      <c r="Q7" s="518"/>
      <c r="R7" s="518"/>
      <c r="S7" s="518"/>
      <c r="T7" s="518"/>
      <c r="U7" s="518"/>
      <c r="V7" s="519"/>
      <c r="W7" s="508"/>
      <c r="X7" s="508"/>
      <c r="Y7" s="508"/>
      <c r="Z7" s="508"/>
      <c r="AA7" s="508"/>
      <c r="AB7" s="508"/>
      <c r="AC7" s="508"/>
      <c r="AD7" s="508"/>
      <c r="AE7" s="508"/>
      <c r="AF7" s="508"/>
      <c r="AG7" s="508"/>
      <c r="AH7" s="508"/>
      <c r="AI7" s="508"/>
      <c r="AJ7" s="508"/>
      <c r="AK7" s="508"/>
      <c r="AL7" s="508"/>
      <c r="AM7" s="508"/>
      <c r="AN7" s="508"/>
      <c r="AO7" s="508"/>
      <c r="AP7" s="508"/>
      <c r="AQ7" s="508"/>
      <c r="AR7" s="508"/>
      <c r="AS7" s="508"/>
      <c r="AT7" s="508"/>
      <c r="AU7" s="508"/>
      <c r="AV7" s="508"/>
      <c r="AW7" s="508"/>
      <c r="AX7" s="508"/>
      <c r="AY7" s="508"/>
      <c r="AZ7" s="508"/>
      <c r="BA7" s="508"/>
      <c r="BB7" s="508"/>
      <c r="BC7" s="508"/>
      <c r="BD7" s="508"/>
      <c r="BE7" s="508"/>
      <c r="BF7" s="508"/>
      <c r="BG7" s="509"/>
    </row>
    <row r="8" spans="5:59" ht="15" customHeight="1" thickBot="1">
      <c r="E8" s="516"/>
      <c r="F8" s="517"/>
      <c r="G8" s="517"/>
      <c r="H8" s="517"/>
      <c r="I8" s="517"/>
      <c r="J8" s="510"/>
      <c r="K8" s="510"/>
      <c r="L8" s="510"/>
      <c r="M8" s="510"/>
      <c r="N8" s="510"/>
      <c r="O8" s="510"/>
      <c r="P8" s="510"/>
      <c r="Q8" s="510"/>
      <c r="R8" s="510"/>
      <c r="S8" s="510"/>
      <c r="T8" s="510"/>
      <c r="U8" s="510"/>
      <c r="V8" s="511"/>
      <c r="W8" s="510"/>
      <c r="X8" s="510"/>
      <c r="Y8" s="510"/>
      <c r="Z8" s="510"/>
      <c r="AA8" s="510"/>
      <c r="AB8" s="510"/>
      <c r="AC8" s="510"/>
      <c r="AD8" s="510"/>
      <c r="AE8" s="510"/>
      <c r="AF8" s="510"/>
      <c r="AG8" s="510"/>
      <c r="AH8" s="510"/>
      <c r="AI8" s="510"/>
      <c r="AJ8" s="510"/>
      <c r="AK8" s="510"/>
      <c r="AL8" s="510"/>
      <c r="AM8" s="510"/>
      <c r="AN8" s="510"/>
      <c r="AO8" s="510"/>
      <c r="AP8" s="510"/>
      <c r="AQ8" s="510"/>
      <c r="AR8" s="510"/>
      <c r="AS8" s="510"/>
      <c r="AT8" s="510"/>
      <c r="AU8" s="510"/>
      <c r="AV8" s="510"/>
      <c r="AW8" s="510"/>
      <c r="AX8" s="510"/>
      <c r="AY8" s="510"/>
      <c r="AZ8" s="510"/>
      <c r="BA8" s="510"/>
      <c r="BB8" s="510"/>
      <c r="BC8" s="510"/>
      <c r="BD8" s="510"/>
      <c r="BE8" s="510"/>
      <c r="BF8" s="510"/>
      <c r="BG8" s="511"/>
    </row>
    <row r="9" spans="5:59" ht="15.75">
      <c r="E9" s="512" t="s">
        <v>1</v>
      </c>
      <c r="F9" s="513"/>
      <c r="G9" s="513"/>
      <c r="H9" s="513"/>
      <c r="I9" s="513"/>
      <c r="J9" s="513"/>
      <c r="K9" s="513"/>
      <c r="L9" s="513"/>
      <c r="M9" s="513"/>
      <c r="N9" s="513"/>
      <c r="O9" s="513"/>
      <c r="P9" s="513"/>
      <c r="Q9" s="513"/>
      <c r="R9" s="513"/>
      <c r="S9" s="513"/>
      <c r="T9" s="513"/>
      <c r="U9" s="513"/>
      <c r="V9" s="513"/>
      <c r="W9" s="513"/>
      <c r="X9" s="513"/>
      <c r="Y9" s="513"/>
      <c r="Z9" s="513"/>
      <c r="AA9" s="513"/>
      <c r="AB9" s="513"/>
      <c r="AC9" s="513"/>
      <c r="AD9" s="513"/>
      <c r="AE9" s="513"/>
      <c r="AF9" s="513"/>
      <c r="AG9" s="513"/>
      <c r="AH9" s="513"/>
      <c r="AI9" s="513"/>
      <c r="AJ9" s="513"/>
      <c r="AK9" s="513"/>
      <c r="AL9" s="513"/>
      <c r="AM9" s="513"/>
      <c r="AN9" s="513"/>
      <c r="AO9" s="513"/>
      <c r="AP9" s="513"/>
      <c r="AQ9" s="513"/>
      <c r="AR9" s="513"/>
      <c r="AS9" s="513"/>
      <c r="AT9" s="513"/>
      <c r="AU9" s="513"/>
      <c r="AV9" s="513"/>
      <c r="AW9" s="513"/>
      <c r="AX9" s="513"/>
      <c r="AY9" s="513"/>
      <c r="AZ9" s="513"/>
      <c r="BA9" s="513"/>
      <c r="BB9" s="513"/>
      <c r="BC9" s="513"/>
      <c r="BD9" s="513"/>
      <c r="BE9" s="513"/>
      <c r="BF9" s="513"/>
      <c r="BG9" s="94"/>
    </row>
    <row r="10" spans="5:59" ht="9.75" customHeight="1">
      <c r="E10" s="450" t="str">
        <f>D193</f>
        <v>CWE: dd</v>
      </c>
      <c r="F10" s="451"/>
      <c r="G10" s="451"/>
      <c r="H10" s="451"/>
      <c r="I10" s="451"/>
      <c r="J10" s="451"/>
      <c r="K10" s="451"/>
      <c r="L10" s="451"/>
      <c r="M10" s="451"/>
      <c r="N10" s="451"/>
      <c r="O10" s="451"/>
      <c r="P10" s="451"/>
      <c r="Q10" s="451"/>
      <c r="R10" s="451"/>
      <c r="S10" s="451"/>
      <c r="T10" s="451"/>
      <c r="U10" s="451"/>
      <c r="V10" s="451"/>
      <c r="W10" s="451"/>
      <c r="X10" s="451"/>
      <c r="Y10" s="451"/>
      <c r="Z10" s="451"/>
      <c r="AA10" s="451"/>
      <c r="AB10" s="451"/>
      <c r="AC10" s="451"/>
      <c r="AD10" s="451"/>
      <c r="AE10" s="451"/>
      <c r="AF10" s="451"/>
      <c r="AG10" s="451"/>
      <c r="AH10" s="451"/>
      <c r="AI10" s="451"/>
      <c r="AJ10" s="451"/>
      <c r="AK10" s="451"/>
      <c r="AL10" s="451"/>
      <c r="AM10" s="451"/>
      <c r="AN10" s="451"/>
      <c r="AO10" s="451"/>
      <c r="AP10" s="451"/>
      <c r="AQ10" s="451"/>
      <c r="AR10" s="451"/>
      <c r="AS10" s="451"/>
      <c r="AT10" s="451"/>
      <c r="AU10" s="451"/>
      <c r="AV10" s="451"/>
      <c r="AW10" s="451"/>
      <c r="AX10" s="451"/>
      <c r="AY10" s="451"/>
      <c r="AZ10" s="451"/>
      <c r="BA10" s="451"/>
      <c r="BB10" s="451"/>
      <c r="BC10" s="451"/>
      <c r="BD10" s="451"/>
      <c r="BE10" s="451"/>
      <c r="BF10" s="451"/>
      <c r="BG10" s="452"/>
    </row>
    <row r="11" spans="5:59" ht="9.75" customHeight="1">
      <c r="E11" s="450"/>
      <c r="F11" s="451"/>
      <c r="G11" s="451"/>
      <c r="H11" s="451"/>
      <c r="I11" s="451"/>
      <c r="J11" s="451"/>
      <c r="K11" s="451"/>
      <c r="L11" s="451"/>
      <c r="M11" s="451"/>
      <c r="N11" s="451"/>
      <c r="O11" s="451"/>
      <c r="P11" s="451"/>
      <c r="Q11" s="451"/>
      <c r="R11" s="451"/>
      <c r="S11" s="451"/>
      <c r="T11" s="451"/>
      <c r="U11" s="451"/>
      <c r="V11" s="451"/>
      <c r="W11" s="451"/>
      <c r="X11" s="451"/>
      <c r="Y11" s="451"/>
      <c r="Z11" s="451"/>
      <c r="AA11" s="451"/>
      <c r="AB11" s="451"/>
      <c r="AC11" s="451"/>
      <c r="AD11" s="451"/>
      <c r="AE11" s="451"/>
      <c r="AF11" s="451"/>
      <c r="AG11" s="451"/>
      <c r="AH11" s="451"/>
      <c r="AI11" s="451"/>
      <c r="AJ11" s="451"/>
      <c r="AK11" s="451"/>
      <c r="AL11" s="451"/>
      <c r="AM11" s="451"/>
      <c r="AN11" s="451"/>
      <c r="AO11" s="451"/>
      <c r="AP11" s="451"/>
      <c r="AQ11" s="451"/>
      <c r="AR11" s="451"/>
      <c r="AS11" s="451"/>
      <c r="AT11" s="451"/>
      <c r="AU11" s="451"/>
      <c r="AV11" s="451"/>
      <c r="AW11" s="451"/>
      <c r="AX11" s="451"/>
      <c r="AY11" s="451"/>
      <c r="AZ11" s="451"/>
      <c r="BA11" s="451"/>
      <c r="BB11" s="451"/>
      <c r="BC11" s="451"/>
      <c r="BD11" s="451"/>
      <c r="BE11" s="451"/>
      <c r="BF11" s="451"/>
      <c r="BG11" s="452"/>
    </row>
    <row r="12" spans="5:59" ht="9.75" customHeight="1">
      <c r="E12" s="450" t="str">
        <f>D194</f>
        <v>CEE: dd</v>
      </c>
      <c r="F12" s="451"/>
      <c r="G12" s="451"/>
      <c r="H12" s="451"/>
      <c r="I12" s="451"/>
      <c r="J12" s="451"/>
      <c r="K12" s="451"/>
      <c r="L12" s="451"/>
      <c r="M12" s="451"/>
      <c r="N12" s="451"/>
      <c r="O12" s="451"/>
      <c r="P12" s="451"/>
      <c r="Q12" s="451"/>
      <c r="R12" s="451"/>
      <c r="S12" s="451"/>
      <c r="T12" s="451"/>
      <c r="U12" s="451"/>
      <c r="V12" s="451"/>
      <c r="W12" s="451"/>
      <c r="X12" s="451"/>
      <c r="Y12" s="451"/>
      <c r="Z12" s="451"/>
      <c r="AA12" s="451"/>
      <c r="AB12" s="451"/>
      <c r="AC12" s="451"/>
      <c r="AD12" s="451"/>
      <c r="AE12" s="451"/>
      <c r="AF12" s="451"/>
      <c r="AG12" s="451"/>
      <c r="AH12" s="451"/>
      <c r="AI12" s="451"/>
      <c r="AJ12" s="451"/>
      <c r="AK12" s="451"/>
      <c r="AL12" s="451"/>
      <c r="AM12" s="451"/>
      <c r="AN12" s="451"/>
      <c r="AO12" s="451"/>
      <c r="AP12" s="451"/>
      <c r="AQ12" s="451"/>
      <c r="AR12" s="451"/>
      <c r="AS12" s="451"/>
      <c r="AT12" s="451"/>
      <c r="AU12" s="451"/>
      <c r="AV12" s="451"/>
      <c r="AW12" s="451"/>
      <c r="AX12" s="451"/>
      <c r="AY12" s="451"/>
      <c r="AZ12" s="451"/>
      <c r="BA12" s="451"/>
      <c r="BB12" s="451"/>
      <c r="BC12" s="451"/>
      <c r="BD12" s="451"/>
      <c r="BE12" s="451"/>
      <c r="BF12" s="451"/>
      <c r="BG12" s="452"/>
    </row>
    <row r="13" spans="5:59" ht="9.75" customHeight="1">
      <c r="E13" s="450"/>
      <c r="F13" s="451"/>
      <c r="G13" s="451"/>
      <c r="H13" s="451"/>
      <c r="I13" s="451"/>
      <c r="J13" s="451"/>
      <c r="K13" s="451"/>
      <c r="L13" s="451"/>
      <c r="M13" s="451"/>
      <c r="N13" s="451"/>
      <c r="O13" s="451"/>
      <c r="P13" s="451"/>
      <c r="Q13" s="451"/>
      <c r="R13" s="451"/>
      <c r="S13" s="451"/>
      <c r="T13" s="451"/>
      <c r="U13" s="451"/>
      <c r="V13" s="451"/>
      <c r="W13" s="451"/>
      <c r="X13" s="451"/>
      <c r="Y13" s="451"/>
      <c r="Z13" s="451"/>
      <c r="AA13" s="451"/>
      <c r="AB13" s="451"/>
      <c r="AC13" s="451"/>
      <c r="AD13" s="451"/>
      <c r="AE13" s="451"/>
      <c r="AF13" s="451"/>
      <c r="AG13" s="451"/>
      <c r="AH13" s="451"/>
      <c r="AI13" s="451"/>
      <c r="AJ13" s="451"/>
      <c r="AK13" s="451"/>
      <c r="AL13" s="451"/>
      <c r="AM13" s="451"/>
      <c r="AN13" s="451"/>
      <c r="AO13" s="451"/>
      <c r="AP13" s="451"/>
      <c r="AQ13" s="451"/>
      <c r="AR13" s="451"/>
      <c r="AS13" s="451"/>
      <c r="AT13" s="451"/>
      <c r="AU13" s="451"/>
      <c r="AV13" s="451"/>
      <c r="AW13" s="451"/>
      <c r="AX13" s="451"/>
      <c r="AY13" s="451"/>
      <c r="AZ13" s="451"/>
      <c r="BA13" s="451"/>
      <c r="BB13" s="451"/>
      <c r="BC13" s="451"/>
      <c r="BD13" s="451"/>
      <c r="BE13" s="451"/>
      <c r="BF13" s="451"/>
      <c r="BG13" s="452"/>
    </row>
    <row r="14" spans="5:59" ht="9.75" customHeight="1">
      <c r="E14" s="530" t="str">
        <f>D195</f>
        <v>CSE: Constraints detected on Lavorgo-Musignano and Sils-Soazza that are manageable with usual topological measures in Switzerland.</v>
      </c>
      <c r="F14" s="531"/>
      <c r="G14" s="531"/>
      <c r="H14" s="531"/>
      <c r="I14" s="531"/>
      <c r="J14" s="531"/>
      <c r="K14" s="531"/>
      <c r="L14" s="531"/>
      <c r="M14" s="531"/>
      <c r="N14" s="531"/>
      <c r="O14" s="531"/>
      <c r="P14" s="531"/>
      <c r="Q14" s="531"/>
      <c r="R14" s="531"/>
      <c r="S14" s="531"/>
      <c r="T14" s="531"/>
      <c r="U14" s="531"/>
      <c r="V14" s="531"/>
      <c r="W14" s="531"/>
      <c r="X14" s="531"/>
      <c r="Y14" s="531"/>
      <c r="Z14" s="531"/>
      <c r="AA14" s="531"/>
      <c r="AB14" s="531"/>
      <c r="AC14" s="531"/>
      <c r="AD14" s="531"/>
      <c r="AE14" s="531"/>
      <c r="AF14" s="531"/>
      <c r="AG14" s="531"/>
      <c r="AH14" s="531"/>
      <c r="AI14" s="531"/>
      <c r="AJ14" s="531"/>
      <c r="AK14" s="531"/>
      <c r="AL14" s="531"/>
      <c r="AM14" s="531"/>
      <c r="AN14" s="531"/>
      <c r="AO14" s="531"/>
      <c r="AP14" s="531"/>
      <c r="AQ14" s="531"/>
      <c r="AR14" s="531"/>
      <c r="AS14" s="531"/>
      <c r="AT14" s="531"/>
      <c r="AU14" s="531"/>
      <c r="AV14" s="531"/>
      <c r="AW14" s="531"/>
      <c r="AX14" s="531"/>
      <c r="AY14" s="531"/>
      <c r="AZ14" s="531"/>
      <c r="BA14" s="531"/>
      <c r="BB14" s="531"/>
      <c r="BC14" s="531"/>
      <c r="BD14" s="531"/>
      <c r="BE14" s="531"/>
      <c r="BF14" s="531"/>
      <c r="BG14" s="532"/>
    </row>
    <row r="15" spans="5:59" ht="36" customHeight="1" thickBot="1">
      <c r="E15" s="533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  <c r="V15" s="534"/>
      <c r="W15" s="534"/>
      <c r="X15" s="534"/>
      <c r="Y15" s="534"/>
      <c r="Z15" s="534"/>
      <c r="AA15" s="534"/>
      <c r="AB15" s="534"/>
      <c r="AC15" s="534"/>
      <c r="AD15" s="534"/>
      <c r="AE15" s="534"/>
      <c r="AF15" s="534"/>
      <c r="AG15" s="534"/>
      <c r="AH15" s="534"/>
      <c r="AI15" s="534"/>
      <c r="AJ15" s="534"/>
      <c r="AK15" s="534"/>
      <c r="AL15" s="534"/>
      <c r="AM15" s="534"/>
      <c r="AN15" s="534"/>
      <c r="AO15" s="534"/>
      <c r="AP15" s="534"/>
      <c r="AQ15" s="534"/>
      <c r="AR15" s="534"/>
      <c r="AS15" s="534"/>
      <c r="AT15" s="534"/>
      <c r="AU15" s="534"/>
      <c r="AV15" s="534"/>
      <c r="AW15" s="534"/>
      <c r="AX15" s="534"/>
      <c r="AY15" s="534"/>
      <c r="AZ15" s="534"/>
      <c r="BA15" s="534"/>
      <c r="BB15" s="534"/>
      <c r="BC15" s="534"/>
      <c r="BD15" s="534"/>
      <c r="BE15" s="534"/>
      <c r="BF15" s="534"/>
      <c r="BG15" s="535"/>
    </row>
    <row r="16" spans="5:59" ht="15.75" customHeight="1">
      <c r="O16" s="67"/>
    </row>
    <row r="17" spans="11:60" ht="16.5" customHeight="1">
      <c r="K17" s="520" t="str">
        <f>D43</f>
        <v>Key overall conditions</v>
      </c>
      <c r="L17" s="520"/>
      <c r="M17" s="520"/>
      <c r="N17" s="520"/>
      <c r="O17" s="520"/>
      <c r="P17" s="520"/>
      <c r="Q17" s="520"/>
      <c r="R17" s="520"/>
      <c r="S17" s="520"/>
      <c r="T17" s="520"/>
      <c r="U17" s="520"/>
      <c r="V17" s="520"/>
      <c r="W17" s="520"/>
      <c r="X17" s="520"/>
      <c r="Y17" s="520"/>
      <c r="Z17" s="520"/>
      <c r="AA17" s="520"/>
      <c r="AB17" s="520"/>
      <c r="AC17" s="520"/>
      <c r="AD17" s="520"/>
      <c r="AE17" s="520"/>
      <c r="AF17" s="520"/>
      <c r="AG17" s="520"/>
      <c r="AH17" s="520"/>
      <c r="AI17" s="520"/>
      <c r="AJ17" s="520"/>
      <c r="AK17" s="520"/>
      <c r="AL17" s="520"/>
      <c r="AM17" s="520"/>
      <c r="AN17" s="520"/>
      <c r="AO17" s="520"/>
      <c r="AP17" s="520"/>
      <c r="AQ17" s="520"/>
      <c r="AR17" s="520"/>
      <c r="AS17" s="520"/>
      <c r="AT17" s="520"/>
      <c r="AU17" s="520"/>
      <c r="AV17" s="520"/>
      <c r="AW17" s="520"/>
      <c r="AX17" s="520"/>
      <c r="AY17" s="520"/>
      <c r="AZ17" s="520"/>
      <c r="BA17" s="520"/>
      <c r="BB17" s="520"/>
      <c r="BC17" s="520"/>
      <c r="BD17" s="520"/>
      <c r="BE17" s="520"/>
      <c r="BF17" s="520"/>
      <c r="BG17" s="520"/>
      <c r="BH17" s="68"/>
    </row>
    <row r="18" spans="11:60" ht="16.5" customHeight="1">
      <c r="K18" s="453" t="s">
        <v>131</v>
      </c>
      <c r="L18" s="453"/>
      <c r="M18" s="453"/>
      <c r="N18" s="453"/>
      <c r="O18" s="453"/>
      <c r="P18" s="453"/>
      <c r="Q18" s="453"/>
      <c r="R18" s="453"/>
      <c r="S18" s="453"/>
      <c r="T18" s="453"/>
      <c r="U18" s="453"/>
      <c r="V18" s="453"/>
      <c r="W18" s="453"/>
      <c r="X18" s="453"/>
      <c r="Y18" s="453"/>
      <c r="Z18" s="453"/>
      <c r="AA18" s="453"/>
      <c r="AB18" s="453"/>
      <c r="AC18" s="453"/>
      <c r="AD18" s="453"/>
      <c r="AE18" s="453"/>
      <c r="AF18" s="453"/>
      <c r="AG18" s="453"/>
      <c r="AH18" s="453"/>
      <c r="AI18" s="453"/>
      <c r="AJ18" s="453"/>
      <c r="AK18" s="453"/>
      <c r="AL18" s="453"/>
      <c r="AM18" s="453"/>
      <c r="AN18" s="453"/>
      <c r="AO18" s="453"/>
      <c r="AP18" s="453"/>
      <c r="AQ18" s="453"/>
      <c r="AR18" s="453"/>
      <c r="AS18" s="453"/>
      <c r="AT18" s="453"/>
      <c r="AU18" s="453"/>
      <c r="AV18" s="453"/>
      <c r="AW18" s="453"/>
      <c r="AX18" s="453"/>
      <c r="AY18" s="453"/>
      <c r="AZ18" s="453"/>
      <c r="BA18" s="453"/>
      <c r="BB18" s="453"/>
      <c r="BC18" s="453"/>
      <c r="BD18" s="453"/>
      <c r="BE18" s="453"/>
      <c r="BF18" s="453"/>
      <c r="BG18" s="453"/>
      <c r="BH18" s="68"/>
    </row>
    <row r="19" spans="11:60" ht="16.5" customHeight="1">
      <c r="K19" s="453" t="s">
        <v>3</v>
      </c>
      <c r="L19" s="453"/>
      <c r="M19" s="453"/>
      <c r="N19" s="453"/>
      <c r="O19" s="453"/>
      <c r="P19" s="453"/>
      <c r="Q19" s="453"/>
      <c r="R19" s="453"/>
      <c r="S19" s="453"/>
      <c r="T19" s="453"/>
      <c r="U19" s="453"/>
      <c r="V19" s="453"/>
      <c r="W19" s="453"/>
      <c r="X19" s="453"/>
      <c r="Y19" s="453"/>
      <c r="Z19" s="453"/>
      <c r="AA19" s="453"/>
      <c r="AB19" s="453"/>
      <c r="AC19" s="453"/>
      <c r="AD19" s="453"/>
      <c r="AE19" s="453"/>
      <c r="AF19" s="453"/>
      <c r="AG19" s="453"/>
      <c r="AH19" s="453"/>
      <c r="AI19" s="453"/>
      <c r="AJ19" s="453"/>
      <c r="AK19" s="453"/>
      <c r="AL19" s="453"/>
      <c r="AM19" s="453"/>
      <c r="AN19" s="453"/>
      <c r="AO19" s="453"/>
      <c r="AP19" s="453"/>
      <c r="AQ19" s="453"/>
      <c r="AR19" s="453"/>
      <c r="AS19" s="453"/>
      <c r="AT19" s="453"/>
      <c r="AU19" s="453"/>
      <c r="AV19" s="453"/>
      <c r="AW19" s="453"/>
      <c r="AX19" s="453"/>
      <c r="AY19" s="453"/>
      <c r="AZ19" s="453"/>
      <c r="BA19" s="453"/>
      <c r="BB19" s="453"/>
      <c r="BC19" s="453"/>
      <c r="BD19" s="453"/>
      <c r="BE19" s="453"/>
      <c r="BF19" s="453"/>
      <c r="BG19" s="453"/>
      <c r="BH19" s="68"/>
    </row>
    <row r="20" spans="11:60" ht="16.5" customHeight="1">
      <c r="K20" s="453" t="s">
        <v>132</v>
      </c>
      <c r="L20" s="453"/>
      <c r="M20" s="453"/>
      <c r="N20" s="453"/>
      <c r="O20" s="453"/>
      <c r="P20" s="453"/>
      <c r="Q20" s="453"/>
      <c r="R20" s="453"/>
      <c r="S20" s="453"/>
      <c r="T20" s="453"/>
      <c r="U20" s="453"/>
      <c r="V20" s="453"/>
      <c r="W20" s="453"/>
      <c r="X20" s="453"/>
      <c r="Y20" s="453"/>
      <c r="Z20" s="453"/>
      <c r="AA20" s="453"/>
      <c r="AB20" s="453"/>
      <c r="AC20" s="453"/>
      <c r="AD20" s="453"/>
      <c r="AE20" s="453"/>
      <c r="AF20" s="453"/>
      <c r="AG20" s="453"/>
      <c r="AH20" s="453"/>
      <c r="AI20" s="453"/>
      <c r="AJ20" s="453"/>
      <c r="AK20" s="453"/>
      <c r="AL20" s="453"/>
      <c r="AM20" s="453"/>
      <c r="AN20" s="453"/>
      <c r="AO20" s="453"/>
      <c r="AP20" s="453"/>
      <c r="AQ20" s="453"/>
      <c r="AR20" s="453"/>
      <c r="AS20" s="453"/>
      <c r="AT20" s="453"/>
      <c r="AU20" s="453"/>
      <c r="AV20" s="453"/>
      <c r="AW20" s="453"/>
      <c r="AX20" s="453"/>
      <c r="AY20" s="453"/>
      <c r="AZ20" s="453"/>
      <c r="BA20" s="453"/>
      <c r="BB20" s="453"/>
      <c r="BC20" s="453"/>
      <c r="BD20" s="453"/>
      <c r="BE20" s="453"/>
      <c r="BF20" s="453"/>
      <c r="BG20" s="453"/>
      <c r="BH20" s="68"/>
    </row>
    <row r="21" spans="11:60" ht="16.5" customHeight="1">
      <c r="K21" s="453" t="s">
        <v>133</v>
      </c>
      <c r="L21" s="453"/>
      <c r="M21" s="453"/>
      <c r="N21" s="453"/>
      <c r="O21" s="453"/>
      <c r="P21" s="453"/>
      <c r="Q21" s="453"/>
      <c r="R21" s="453"/>
      <c r="S21" s="453"/>
      <c r="T21" s="453"/>
      <c r="U21" s="453"/>
      <c r="V21" s="453"/>
      <c r="W21" s="453"/>
      <c r="X21" s="453"/>
      <c r="Y21" s="453"/>
      <c r="Z21" s="453"/>
      <c r="AA21" s="453"/>
      <c r="AB21" s="453"/>
      <c r="AC21" s="453"/>
      <c r="AD21" s="453"/>
      <c r="AE21" s="453"/>
      <c r="AF21" s="453"/>
      <c r="AG21" s="453"/>
      <c r="AH21" s="453"/>
      <c r="AI21" s="453"/>
      <c r="AJ21" s="453"/>
      <c r="AK21" s="453"/>
      <c r="AL21" s="453"/>
      <c r="AM21" s="453"/>
      <c r="AN21" s="453"/>
      <c r="AO21" s="453"/>
      <c r="AP21" s="453"/>
      <c r="AQ21" s="453"/>
      <c r="AR21" s="453"/>
      <c r="AS21" s="453"/>
      <c r="AT21" s="453"/>
      <c r="AU21" s="453"/>
      <c r="AV21" s="453"/>
      <c r="AW21" s="453"/>
      <c r="AX21" s="453"/>
      <c r="AY21" s="453"/>
      <c r="AZ21" s="453"/>
      <c r="BA21" s="453"/>
      <c r="BB21" s="453"/>
      <c r="BC21" s="453"/>
      <c r="BD21" s="453"/>
      <c r="BE21" s="453"/>
      <c r="BF21" s="453"/>
      <c r="BG21" s="453"/>
      <c r="BH21" s="68"/>
    </row>
    <row r="22" spans="11:60" ht="16.5" customHeight="1">
      <c r="K22" s="453" t="s">
        <v>4</v>
      </c>
      <c r="L22" s="453"/>
      <c r="M22" s="453"/>
      <c r="N22" s="453"/>
      <c r="O22" s="453"/>
      <c r="P22" s="453"/>
      <c r="Q22" s="453"/>
      <c r="R22" s="453"/>
      <c r="S22" s="453"/>
      <c r="T22" s="453"/>
      <c r="U22" s="453"/>
      <c r="V22" s="453"/>
      <c r="W22" s="453"/>
      <c r="X22" s="453"/>
      <c r="Y22" s="453"/>
      <c r="Z22" s="453"/>
      <c r="AA22" s="453"/>
      <c r="AB22" s="453"/>
      <c r="AC22" s="453"/>
      <c r="AD22" s="453"/>
      <c r="AE22" s="453"/>
      <c r="AF22" s="453"/>
      <c r="AG22" s="453"/>
      <c r="AH22" s="453"/>
      <c r="AI22" s="453"/>
      <c r="AJ22" s="453"/>
      <c r="AK22" s="453"/>
      <c r="AL22" s="453"/>
      <c r="AM22" s="453"/>
      <c r="AN22" s="453"/>
      <c r="AO22" s="453"/>
      <c r="AP22" s="453"/>
      <c r="AQ22" s="453"/>
      <c r="AR22" s="453"/>
      <c r="AS22" s="453"/>
      <c r="AT22" s="453"/>
      <c r="AU22" s="453"/>
      <c r="AV22" s="453"/>
      <c r="AW22" s="453"/>
      <c r="AX22" s="453"/>
      <c r="AY22" s="453"/>
      <c r="AZ22" s="453"/>
      <c r="BA22" s="453"/>
      <c r="BB22" s="453"/>
      <c r="BC22" s="453"/>
      <c r="BD22" s="453"/>
      <c r="BE22" s="453"/>
      <c r="BF22" s="453"/>
      <c r="BG22" s="453"/>
      <c r="BH22" s="68"/>
    </row>
    <row r="23" spans="11:60" ht="16.5" customHeight="1">
      <c r="K23" s="453" t="s">
        <v>134</v>
      </c>
      <c r="L23" s="453"/>
      <c r="M23" s="453"/>
      <c r="N23" s="453"/>
      <c r="O23" s="453"/>
      <c r="P23" s="453"/>
      <c r="Q23" s="453"/>
      <c r="R23" s="453"/>
      <c r="S23" s="453"/>
      <c r="T23" s="453"/>
      <c r="U23" s="453"/>
      <c r="V23" s="453"/>
      <c r="W23" s="453"/>
      <c r="X23" s="453"/>
      <c r="Y23" s="453"/>
      <c r="Z23" s="453"/>
      <c r="AA23" s="453"/>
      <c r="AB23" s="453"/>
      <c r="AC23" s="453"/>
      <c r="AD23" s="453"/>
      <c r="AE23" s="453"/>
      <c r="AF23" s="453"/>
      <c r="AG23" s="453"/>
      <c r="AH23" s="453"/>
      <c r="AI23" s="453"/>
      <c r="AJ23" s="453"/>
      <c r="AK23" s="453"/>
      <c r="AL23" s="453"/>
      <c r="AM23" s="453"/>
      <c r="AN23" s="453"/>
      <c r="AO23" s="453"/>
      <c r="AP23" s="453"/>
      <c r="AQ23" s="453"/>
      <c r="AR23" s="453"/>
      <c r="AS23" s="453"/>
      <c r="AT23" s="453"/>
      <c r="AU23" s="453"/>
      <c r="AV23" s="453"/>
      <c r="AW23" s="453"/>
      <c r="AX23" s="453"/>
      <c r="AY23" s="453"/>
      <c r="AZ23" s="453"/>
      <c r="BA23" s="453"/>
      <c r="BB23" s="453"/>
      <c r="BC23" s="453"/>
      <c r="BD23" s="453"/>
      <c r="BE23" s="453"/>
      <c r="BF23" s="453"/>
      <c r="BG23" s="453"/>
      <c r="BH23" s="68"/>
    </row>
    <row r="24" spans="11:60" ht="16.5" customHeight="1">
      <c r="K24" s="453" t="s">
        <v>135</v>
      </c>
      <c r="L24" s="453"/>
      <c r="M24" s="453"/>
      <c r="N24" s="453"/>
      <c r="O24" s="453"/>
      <c r="P24" s="453"/>
      <c r="Q24" s="453"/>
      <c r="R24" s="453"/>
      <c r="S24" s="453"/>
      <c r="T24" s="453"/>
      <c r="U24" s="453"/>
      <c r="V24" s="453"/>
      <c r="W24" s="453"/>
      <c r="X24" s="453"/>
      <c r="Y24" s="453"/>
      <c r="Z24" s="453"/>
      <c r="AA24" s="453"/>
      <c r="AB24" s="453"/>
      <c r="AC24" s="453"/>
      <c r="AD24" s="453"/>
      <c r="AE24" s="453"/>
      <c r="AF24" s="453"/>
      <c r="AG24" s="453"/>
      <c r="AH24" s="453"/>
      <c r="AI24" s="453"/>
      <c r="AJ24" s="453"/>
      <c r="AK24" s="453"/>
      <c r="AL24" s="453"/>
      <c r="AM24" s="453"/>
      <c r="AN24" s="453"/>
      <c r="AO24" s="453"/>
      <c r="AP24" s="453"/>
      <c r="AQ24" s="453"/>
      <c r="AR24" s="453"/>
      <c r="AS24" s="453"/>
      <c r="AT24" s="453"/>
      <c r="AU24" s="453"/>
      <c r="AV24" s="453"/>
      <c r="AW24" s="453"/>
      <c r="AX24" s="453"/>
      <c r="AY24" s="453"/>
      <c r="AZ24" s="453"/>
      <c r="BA24" s="453"/>
      <c r="BB24" s="453"/>
      <c r="BC24" s="453"/>
      <c r="BD24" s="453"/>
      <c r="BE24" s="453"/>
      <c r="BF24" s="453"/>
      <c r="BG24" s="453"/>
      <c r="BH24" s="68"/>
    </row>
    <row r="25" spans="11:60" ht="16.5" customHeight="1">
      <c r="K25" s="453" t="s">
        <v>136</v>
      </c>
      <c r="L25" s="453"/>
      <c r="M25" s="453"/>
      <c r="N25" s="453"/>
      <c r="O25" s="453"/>
      <c r="P25" s="453"/>
      <c r="Q25" s="453"/>
      <c r="R25" s="453"/>
      <c r="S25" s="453"/>
      <c r="T25" s="453"/>
      <c r="U25" s="453"/>
      <c r="V25" s="453"/>
      <c r="W25" s="453"/>
      <c r="X25" s="453"/>
      <c r="Y25" s="453"/>
      <c r="Z25" s="453"/>
      <c r="AA25" s="453"/>
      <c r="AB25" s="453"/>
      <c r="AC25" s="453"/>
      <c r="AD25" s="453"/>
      <c r="AE25" s="453"/>
      <c r="AF25" s="453"/>
      <c r="AG25" s="453"/>
      <c r="AH25" s="453"/>
      <c r="AI25" s="453"/>
      <c r="AJ25" s="453"/>
      <c r="AK25" s="453"/>
      <c r="AL25" s="453"/>
      <c r="AM25" s="453"/>
      <c r="AN25" s="453"/>
      <c r="AO25" s="453"/>
      <c r="AP25" s="453"/>
      <c r="AQ25" s="453"/>
      <c r="AR25" s="453"/>
      <c r="AS25" s="453"/>
      <c r="AT25" s="453"/>
      <c r="AU25" s="453"/>
      <c r="AV25" s="453"/>
      <c r="AW25" s="453"/>
      <c r="AX25" s="453"/>
      <c r="AY25" s="453"/>
      <c r="AZ25" s="453"/>
      <c r="BA25" s="453"/>
      <c r="BB25" s="453"/>
      <c r="BC25" s="453"/>
      <c r="BD25" s="453"/>
      <c r="BE25" s="453"/>
      <c r="BF25" s="453"/>
      <c r="BG25" s="453"/>
      <c r="BH25" s="68"/>
    </row>
    <row r="26" spans="11:60" ht="16.5" customHeight="1">
      <c r="K26" s="109"/>
      <c r="L26" s="455" t="s">
        <v>137</v>
      </c>
      <c r="M26" s="455"/>
      <c r="N26" s="455"/>
      <c r="O26" s="455"/>
      <c r="P26" s="455"/>
      <c r="Q26" s="455"/>
      <c r="R26" s="455"/>
      <c r="S26" s="455"/>
      <c r="T26" s="455"/>
      <c r="U26" s="455"/>
      <c r="V26" s="455"/>
      <c r="W26" s="455"/>
      <c r="X26" s="455"/>
      <c r="Y26" s="455"/>
      <c r="Z26" s="455"/>
      <c r="AA26" s="455"/>
      <c r="AB26" s="455"/>
      <c r="AC26" s="455"/>
      <c r="AD26" s="455"/>
      <c r="AE26" s="455"/>
      <c r="AF26" s="455"/>
      <c r="AG26" s="455"/>
      <c r="AH26" s="455"/>
      <c r="AI26" s="455"/>
      <c r="AJ26" s="455"/>
      <c r="AK26" s="455"/>
      <c r="AL26" s="455"/>
      <c r="AM26" s="455"/>
      <c r="AN26" s="455"/>
      <c r="AO26" s="455"/>
      <c r="AP26" s="455"/>
      <c r="AQ26" s="455"/>
      <c r="AR26" s="455"/>
      <c r="AS26" s="455"/>
      <c r="AT26" s="455"/>
      <c r="AU26" s="455"/>
      <c r="AV26" s="455"/>
      <c r="AW26" s="455"/>
      <c r="AX26" s="455"/>
      <c r="AY26" s="455"/>
      <c r="AZ26" s="455"/>
      <c r="BA26" s="455"/>
      <c r="BB26" s="455"/>
      <c r="BC26" s="455"/>
      <c r="BD26" s="455"/>
      <c r="BE26" s="455"/>
      <c r="BF26" s="455"/>
      <c r="BG26" s="455"/>
      <c r="BH26" s="69"/>
    </row>
    <row r="27" spans="11:60" ht="29.25" customHeight="1">
      <c r="K27" s="109"/>
      <c r="L27" s="454" t="s">
        <v>188</v>
      </c>
      <c r="M27" s="455"/>
      <c r="N27" s="455"/>
      <c r="O27" s="455"/>
      <c r="P27" s="455"/>
      <c r="Q27" s="455"/>
      <c r="R27" s="455"/>
      <c r="S27" s="455"/>
      <c r="T27" s="455"/>
      <c r="U27" s="455"/>
      <c r="V27" s="455"/>
      <c r="W27" s="455"/>
      <c r="X27" s="455"/>
      <c r="Y27" s="455"/>
      <c r="Z27" s="455"/>
      <c r="AA27" s="455"/>
      <c r="AB27" s="455"/>
      <c r="AC27" s="455"/>
      <c r="AD27" s="455"/>
      <c r="AE27" s="455"/>
      <c r="AF27" s="455"/>
      <c r="AG27" s="455"/>
      <c r="AH27" s="455"/>
      <c r="AI27" s="455"/>
      <c r="AJ27" s="455"/>
      <c r="AK27" s="455"/>
      <c r="AL27" s="455"/>
      <c r="AM27" s="455"/>
      <c r="AN27" s="455"/>
      <c r="AO27" s="455"/>
      <c r="AP27" s="455"/>
      <c r="AQ27" s="455"/>
      <c r="AR27" s="455"/>
      <c r="AS27" s="455"/>
      <c r="AT27" s="455"/>
      <c r="AU27" s="455"/>
      <c r="AV27" s="455"/>
      <c r="AW27" s="455"/>
      <c r="AX27" s="455"/>
      <c r="AY27" s="455"/>
      <c r="AZ27" s="455"/>
      <c r="BA27" s="455"/>
      <c r="BB27" s="455"/>
      <c r="BC27" s="455"/>
      <c r="BD27" s="455"/>
      <c r="BE27" s="455"/>
      <c r="BF27" s="455"/>
      <c r="BG27" s="455"/>
      <c r="BH27" s="69"/>
    </row>
    <row r="28" spans="11:60" ht="16.5" customHeight="1">
      <c r="K28" s="109"/>
      <c r="L28" s="455" t="s">
        <v>138</v>
      </c>
      <c r="M28" s="455"/>
      <c r="N28" s="455"/>
      <c r="O28" s="455"/>
      <c r="P28" s="455"/>
      <c r="Q28" s="455"/>
      <c r="R28" s="455"/>
      <c r="S28" s="455"/>
      <c r="T28" s="455"/>
      <c r="U28" s="455"/>
      <c r="V28" s="455"/>
      <c r="W28" s="455"/>
      <c r="X28" s="455"/>
      <c r="Y28" s="455"/>
      <c r="Z28" s="455"/>
      <c r="AA28" s="455"/>
      <c r="AB28" s="455"/>
      <c r="AC28" s="455"/>
      <c r="AD28" s="455"/>
      <c r="AE28" s="455"/>
      <c r="AF28" s="455"/>
      <c r="AG28" s="455"/>
      <c r="AH28" s="455"/>
      <c r="AI28" s="455"/>
      <c r="AJ28" s="455"/>
      <c r="AK28" s="455"/>
      <c r="AL28" s="455"/>
      <c r="AM28" s="455"/>
      <c r="AN28" s="455"/>
      <c r="AO28" s="455"/>
      <c r="AP28" s="455"/>
      <c r="AQ28" s="455"/>
      <c r="AR28" s="455"/>
      <c r="AS28" s="455"/>
      <c r="AT28" s="455"/>
      <c r="AU28" s="455"/>
      <c r="AV28" s="455"/>
      <c r="AW28" s="455"/>
      <c r="AX28" s="455"/>
      <c r="AY28" s="455"/>
      <c r="AZ28" s="455"/>
      <c r="BA28" s="455"/>
      <c r="BB28" s="455"/>
      <c r="BC28" s="455"/>
      <c r="BD28" s="455"/>
      <c r="BE28" s="455"/>
      <c r="BF28" s="455"/>
      <c r="BG28" s="455"/>
      <c r="BH28" s="69"/>
    </row>
    <row r="29" spans="11:60" ht="16.5" customHeight="1">
      <c r="K29" s="109"/>
      <c r="L29" s="455" t="s">
        <v>139</v>
      </c>
      <c r="M29" s="455"/>
      <c r="N29" s="455"/>
      <c r="O29" s="455"/>
      <c r="P29" s="455"/>
      <c r="Q29" s="455"/>
      <c r="R29" s="455"/>
      <c r="S29" s="455"/>
      <c r="T29" s="455"/>
      <c r="U29" s="455"/>
      <c r="V29" s="455"/>
      <c r="W29" s="455"/>
      <c r="X29" s="455"/>
      <c r="Y29" s="455"/>
      <c r="Z29" s="455"/>
      <c r="AA29" s="455"/>
      <c r="AB29" s="455"/>
      <c r="AC29" s="455"/>
      <c r="AD29" s="455"/>
      <c r="AE29" s="455"/>
      <c r="AF29" s="455"/>
      <c r="AG29" s="455"/>
      <c r="AH29" s="455"/>
      <c r="AI29" s="455"/>
      <c r="AJ29" s="455"/>
      <c r="AK29" s="455"/>
      <c r="AL29" s="455"/>
      <c r="AM29" s="455"/>
      <c r="AN29" s="455"/>
      <c r="AO29" s="455"/>
      <c r="AP29" s="455"/>
      <c r="AQ29" s="455"/>
      <c r="AR29" s="455"/>
      <c r="AS29" s="455"/>
      <c r="AT29" s="455"/>
      <c r="AU29" s="455"/>
      <c r="AV29" s="455"/>
      <c r="AW29" s="455"/>
      <c r="AX29" s="455"/>
      <c r="AY29" s="455"/>
      <c r="AZ29" s="455"/>
      <c r="BA29" s="455"/>
      <c r="BB29" s="455"/>
      <c r="BC29" s="455"/>
      <c r="BD29" s="455"/>
      <c r="BE29" s="455"/>
      <c r="BF29" s="455"/>
      <c r="BG29" s="455"/>
      <c r="BH29" s="70"/>
    </row>
    <row r="30" spans="11:60" ht="16.5" customHeight="1">
      <c r="K30" s="109"/>
      <c r="L30" s="455" t="s">
        <v>140</v>
      </c>
      <c r="M30" s="455"/>
      <c r="N30" s="455"/>
      <c r="O30" s="455"/>
      <c r="P30" s="455"/>
      <c r="Q30" s="455"/>
      <c r="R30" s="455"/>
      <c r="S30" s="455"/>
      <c r="T30" s="455"/>
      <c r="U30" s="455"/>
      <c r="V30" s="455"/>
      <c r="W30" s="455"/>
      <c r="X30" s="455"/>
      <c r="Y30" s="455"/>
      <c r="Z30" s="455"/>
      <c r="AA30" s="455"/>
      <c r="AB30" s="455"/>
      <c r="AC30" s="455"/>
      <c r="AD30" s="455"/>
      <c r="AE30" s="455"/>
      <c r="AF30" s="455"/>
      <c r="AG30" s="455"/>
      <c r="AH30" s="455"/>
      <c r="AI30" s="455"/>
      <c r="AJ30" s="455"/>
      <c r="AK30" s="455"/>
      <c r="AL30" s="455"/>
      <c r="AM30" s="455"/>
      <c r="AN30" s="455"/>
      <c r="AO30" s="455"/>
      <c r="AP30" s="455"/>
      <c r="AQ30" s="455"/>
      <c r="AR30" s="455"/>
      <c r="AS30" s="455"/>
      <c r="AT30" s="455"/>
      <c r="AU30" s="455"/>
      <c r="AV30" s="455"/>
      <c r="AW30" s="455"/>
      <c r="AX30" s="455"/>
      <c r="AY30" s="455"/>
      <c r="AZ30" s="455"/>
      <c r="BA30" s="455"/>
      <c r="BB30" s="455"/>
      <c r="BC30" s="455"/>
      <c r="BD30" s="455"/>
      <c r="BE30" s="455"/>
      <c r="BF30" s="455"/>
      <c r="BG30" s="455"/>
      <c r="BH30" s="70"/>
    </row>
    <row r="31" spans="11:60" ht="16.5" customHeight="1">
      <c r="K31" s="520" t="str">
        <f>D80</f>
        <v>South analyses results</v>
      </c>
      <c r="L31" s="520"/>
      <c r="M31" s="520"/>
      <c r="N31" s="520"/>
      <c r="O31" s="520"/>
      <c r="P31" s="520"/>
      <c r="Q31" s="520"/>
      <c r="R31" s="520"/>
      <c r="S31" s="520"/>
      <c r="T31" s="520"/>
      <c r="U31" s="520"/>
      <c r="V31" s="520"/>
      <c r="W31" s="520"/>
      <c r="X31" s="520"/>
      <c r="Y31" s="520"/>
      <c r="Z31" s="520"/>
      <c r="AA31" s="520"/>
      <c r="AB31" s="520"/>
      <c r="AC31" s="520"/>
      <c r="AD31" s="520"/>
      <c r="AE31" s="520"/>
      <c r="AF31" s="520"/>
      <c r="AG31" s="520"/>
      <c r="AH31" s="520"/>
      <c r="AI31" s="520"/>
      <c r="AJ31" s="520"/>
      <c r="AK31" s="520"/>
      <c r="AL31" s="520"/>
      <c r="AM31" s="520"/>
      <c r="AN31" s="520"/>
      <c r="AO31" s="520"/>
      <c r="AP31" s="520"/>
      <c r="AQ31" s="520"/>
      <c r="AR31" s="520"/>
      <c r="AS31" s="520"/>
      <c r="AT31" s="520"/>
      <c r="AU31" s="520"/>
      <c r="AV31" s="520"/>
      <c r="AW31" s="520"/>
      <c r="AX31" s="520"/>
      <c r="AY31" s="520"/>
      <c r="AZ31" s="520"/>
      <c r="BA31" s="520"/>
      <c r="BB31" s="520"/>
      <c r="BC31" s="520"/>
      <c r="BD31" s="520"/>
      <c r="BE31" s="520"/>
      <c r="BF31" s="520"/>
      <c r="BG31" s="520"/>
      <c r="BH31" s="71"/>
    </row>
    <row r="32" spans="11:60" ht="16.5" customHeight="1">
      <c r="K32" s="520" t="str">
        <f>D121</f>
        <v>N state flows Off-Peak &amp; Peak</v>
      </c>
      <c r="L32" s="520"/>
      <c r="M32" s="520"/>
      <c r="N32" s="520"/>
      <c r="O32" s="520"/>
      <c r="P32" s="520"/>
      <c r="Q32" s="520"/>
      <c r="R32" s="520"/>
      <c r="S32" s="520"/>
      <c r="T32" s="520"/>
      <c r="U32" s="520"/>
      <c r="V32" s="520"/>
      <c r="W32" s="520"/>
      <c r="X32" s="520"/>
      <c r="Y32" s="520"/>
      <c r="Z32" s="520"/>
      <c r="AA32" s="520"/>
      <c r="AB32" s="520"/>
      <c r="AC32" s="520"/>
      <c r="AD32" s="520"/>
      <c r="AE32" s="520"/>
      <c r="AF32" s="520"/>
      <c r="AG32" s="520"/>
      <c r="AH32" s="520"/>
      <c r="AI32" s="520"/>
      <c r="AJ32" s="520"/>
      <c r="AK32" s="520"/>
      <c r="AL32" s="520"/>
      <c r="AM32" s="520"/>
      <c r="AN32" s="520"/>
      <c r="AO32" s="520"/>
      <c r="AP32" s="520"/>
      <c r="AQ32" s="520"/>
      <c r="AR32" s="520"/>
      <c r="AS32" s="520"/>
      <c r="AT32" s="520"/>
      <c r="AU32" s="520"/>
      <c r="AV32" s="520"/>
      <c r="AW32" s="520"/>
      <c r="AX32" s="520"/>
      <c r="AY32" s="520"/>
      <c r="AZ32" s="520"/>
      <c r="BA32" s="520"/>
      <c r="BB32" s="520"/>
      <c r="BC32" s="520"/>
      <c r="BD32" s="520"/>
      <c r="BE32" s="520"/>
      <c r="BF32" s="520"/>
      <c r="BG32" s="520"/>
      <c r="BH32" s="71"/>
    </row>
    <row r="33" spans="4:60" ht="16.5" customHeight="1">
      <c r="K33" s="520" t="str">
        <f>D100</f>
        <v>Special topologies</v>
      </c>
      <c r="L33" s="520"/>
      <c r="M33" s="520"/>
      <c r="N33" s="520"/>
      <c r="O33" s="520"/>
      <c r="P33" s="520"/>
      <c r="Q33" s="520"/>
      <c r="R33" s="520"/>
      <c r="S33" s="520"/>
      <c r="T33" s="520"/>
      <c r="U33" s="520"/>
      <c r="V33" s="520"/>
      <c r="W33" s="520"/>
      <c r="X33" s="520"/>
      <c r="Y33" s="520"/>
      <c r="Z33" s="520"/>
      <c r="AA33" s="520"/>
      <c r="AB33" s="520"/>
      <c r="AC33" s="520"/>
      <c r="AD33" s="520"/>
      <c r="AE33" s="520"/>
      <c r="AF33" s="520"/>
      <c r="AG33" s="520"/>
      <c r="AH33" s="520"/>
      <c r="AI33" s="520"/>
      <c r="AJ33" s="520"/>
      <c r="AK33" s="520"/>
      <c r="AL33" s="520"/>
      <c r="AM33" s="520"/>
      <c r="AN33" s="520"/>
      <c r="AO33" s="520"/>
      <c r="AP33" s="520"/>
      <c r="AQ33" s="520"/>
      <c r="AR33" s="520"/>
      <c r="AS33" s="520"/>
      <c r="AT33" s="520"/>
      <c r="AU33" s="520"/>
      <c r="AV33" s="520"/>
      <c r="AW33" s="520"/>
      <c r="AX33" s="520"/>
      <c r="AY33" s="520"/>
      <c r="AZ33" s="520"/>
      <c r="BA33" s="520"/>
      <c r="BB33" s="520"/>
      <c r="BC33" s="520"/>
      <c r="BD33" s="520"/>
      <c r="BE33" s="520"/>
      <c r="BF33" s="520"/>
      <c r="BG33" s="520"/>
      <c r="BH33" s="71"/>
    </row>
    <row r="34" spans="4:60" ht="16.5" customHeight="1">
      <c r="K34" s="65"/>
      <c r="L34" s="522" t="str">
        <f>D148</f>
        <v>Sensitivity coefficients for the Pentalateral instruction</v>
      </c>
      <c r="M34" s="522"/>
      <c r="N34" s="522"/>
      <c r="O34" s="522"/>
      <c r="P34" s="522"/>
      <c r="Q34" s="522"/>
      <c r="R34" s="522"/>
      <c r="S34" s="522"/>
      <c r="T34" s="522"/>
      <c r="U34" s="522"/>
      <c r="V34" s="522"/>
      <c r="W34" s="522"/>
      <c r="X34" s="522"/>
      <c r="Y34" s="522"/>
      <c r="Z34" s="522"/>
      <c r="AA34" s="522"/>
      <c r="AB34" s="522"/>
      <c r="AC34" s="522"/>
      <c r="AD34" s="522"/>
      <c r="AE34" s="522"/>
      <c r="AF34" s="522"/>
      <c r="AG34" s="522"/>
      <c r="AH34" s="522"/>
      <c r="AI34" s="522"/>
      <c r="AJ34" s="522"/>
      <c r="AK34" s="522"/>
      <c r="AL34" s="522"/>
      <c r="AM34" s="522"/>
      <c r="AN34" s="522"/>
      <c r="AO34" s="522"/>
      <c r="AP34" s="522"/>
      <c r="AQ34" s="522"/>
      <c r="AR34" s="522"/>
      <c r="AS34" s="522"/>
      <c r="AT34" s="522"/>
      <c r="AU34" s="522"/>
      <c r="AV34" s="522"/>
      <c r="AW34" s="522"/>
      <c r="AX34" s="522"/>
      <c r="AY34" s="522"/>
      <c r="AZ34" s="522"/>
      <c r="BA34" s="522"/>
      <c r="BB34" s="522"/>
      <c r="BC34" s="522"/>
      <c r="BD34" s="522"/>
      <c r="BE34" s="522"/>
      <c r="BF34" s="522"/>
      <c r="BG34" s="522"/>
      <c r="BH34" s="72"/>
    </row>
    <row r="35" spans="4:60" ht="16.5" customHeight="1">
      <c r="K35" s="87"/>
      <c r="L35" s="521" t="s">
        <v>203</v>
      </c>
      <c r="M35" s="522"/>
      <c r="N35" s="522"/>
      <c r="O35" s="522"/>
      <c r="P35" s="522"/>
      <c r="Q35" s="522"/>
      <c r="R35" s="522"/>
      <c r="S35" s="522"/>
      <c r="T35" s="522"/>
      <c r="U35" s="522"/>
      <c r="V35" s="522"/>
      <c r="W35" s="522"/>
      <c r="X35" s="522"/>
      <c r="Y35" s="522"/>
      <c r="Z35" s="522"/>
      <c r="AA35" s="522"/>
      <c r="AB35" s="522"/>
      <c r="AC35" s="522"/>
      <c r="AD35" s="522"/>
      <c r="AE35" s="522"/>
      <c r="AF35" s="522"/>
      <c r="AG35" s="522"/>
      <c r="AH35" s="522"/>
      <c r="AI35" s="522"/>
      <c r="AJ35" s="522"/>
      <c r="AK35" s="522"/>
      <c r="AL35" s="522"/>
      <c r="AM35" s="522"/>
      <c r="AN35" s="522"/>
      <c r="AO35" s="522"/>
      <c r="AP35" s="522"/>
      <c r="AQ35" s="522"/>
      <c r="AR35" s="522"/>
      <c r="AS35" s="522"/>
      <c r="AT35" s="522"/>
      <c r="AU35" s="522"/>
      <c r="AV35" s="522"/>
      <c r="AW35" s="522"/>
      <c r="AX35" s="522"/>
      <c r="AY35" s="522"/>
      <c r="AZ35" s="522"/>
      <c r="BA35" s="522"/>
      <c r="BB35" s="522"/>
      <c r="BC35" s="522"/>
      <c r="BD35" s="522"/>
      <c r="BE35" s="522"/>
      <c r="BF35" s="522"/>
      <c r="BG35" s="522"/>
      <c r="BH35" s="70"/>
    </row>
    <row r="36" spans="4:60" ht="16.5" customHeight="1">
      <c r="K36" s="87"/>
      <c r="L36" s="522" t="str">
        <f>D178</f>
        <v>Final PSTs settings</v>
      </c>
      <c r="M36" s="522"/>
      <c r="N36" s="522"/>
      <c r="O36" s="522"/>
      <c r="P36" s="522"/>
      <c r="Q36" s="522"/>
      <c r="R36" s="522"/>
      <c r="S36" s="522"/>
      <c r="T36" s="522"/>
      <c r="U36" s="522"/>
      <c r="V36" s="522"/>
      <c r="W36" s="522"/>
      <c r="X36" s="522"/>
      <c r="Y36" s="522"/>
      <c r="Z36" s="522"/>
      <c r="AA36" s="522"/>
      <c r="AB36" s="522"/>
      <c r="AC36" s="522"/>
      <c r="AD36" s="522"/>
      <c r="AE36" s="522"/>
      <c r="AF36" s="522"/>
      <c r="AG36" s="522"/>
      <c r="AH36" s="522"/>
      <c r="AI36" s="522"/>
      <c r="AJ36" s="522"/>
      <c r="AK36" s="522"/>
      <c r="AL36" s="522"/>
      <c r="AM36" s="522"/>
      <c r="AN36" s="522"/>
      <c r="AO36" s="522"/>
      <c r="AP36" s="522"/>
      <c r="AQ36" s="522"/>
      <c r="AR36" s="522"/>
      <c r="AS36" s="522"/>
      <c r="AT36" s="522"/>
      <c r="AU36" s="522"/>
      <c r="AV36" s="522"/>
      <c r="AW36" s="522"/>
      <c r="AX36" s="522"/>
      <c r="AY36" s="522"/>
      <c r="AZ36" s="522"/>
      <c r="BA36" s="522"/>
      <c r="BB36" s="522"/>
      <c r="BC36" s="522"/>
      <c r="BD36" s="522"/>
      <c r="BE36" s="522"/>
      <c r="BF36" s="522"/>
      <c r="BG36" s="522"/>
      <c r="BH36" s="70"/>
    </row>
    <row r="37" spans="4:60" ht="16.5" customHeight="1">
      <c r="K37" s="529" t="str">
        <f>D191</f>
        <v>Conclusion</v>
      </c>
      <c r="L37" s="529"/>
      <c r="M37" s="529"/>
      <c r="N37" s="529"/>
      <c r="O37" s="529"/>
      <c r="P37" s="529"/>
      <c r="Q37" s="529"/>
      <c r="R37" s="529"/>
      <c r="S37" s="529"/>
      <c r="T37" s="529"/>
      <c r="U37" s="529"/>
      <c r="V37" s="529"/>
      <c r="W37" s="529"/>
      <c r="X37" s="529"/>
      <c r="Y37" s="529"/>
      <c r="Z37" s="529"/>
      <c r="AA37" s="529"/>
      <c r="AB37" s="529"/>
      <c r="AC37" s="529"/>
      <c r="AD37" s="529"/>
      <c r="AE37" s="529"/>
      <c r="AF37" s="529"/>
      <c r="AG37" s="529"/>
      <c r="AH37" s="529"/>
      <c r="AI37" s="529"/>
      <c r="AJ37" s="529"/>
      <c r="AK37" s="529"/>
      <c r="AL37" s="529"/>
      <c r="AM37" s="529"/>
      <c r="AN37" s="529"/>
      <c r="AO37" s="529"/>
      <c r="AP37" s="529"/>
      <c r="AQ37" s="529"/>
      <c r="AR37" s="529"/>
      <c r="AS37" s="529"/>
      <c r="AT37" s="529"/>
      <c r="AU37" s="529"/>
      <c r="AV37" s="529"/>
      <c r="AW37" s="529"/>
      <c r="AX37" s="529"/>
      <c r="AY37" s="529"/>
      <c r="AZ37" s="529"/>
      <c r="BA37" s="529"/>
      <c r="BB37" s="529"/>
      <c r="BC37" s="529"/>
      <c r="BD37" s="529"/>
      <c r="BE37" s="529"/>
      <c r="BF37" s="529"/>
      <c r="BG37" s="529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428" t="s">
        <v>2</v>
      </c>
      <c r="E43" s="428"/>
      <c r="F43" s="428"/>
      <c r="G43" s="428"/>
      <c r="H43" s="428"/>
      <c r="I43" s="428"/>
      <c r="J43" s="428"/>
      <c r="K43" s="428"/>
      <c r="L43" s="428"/>
      <c r="M43" s="428"/>
      <c r="N43" s="428"/>
      <c r="O43" s="428"/>
      <c r="P43" s="428"/>
      <c r="Q43" s="428"/>
      <c r="R43" s="428"/>
      <c r="S43" s="428"/>
      <c r="T43" s="428"/>
      <c r="U43" s="428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542" t="s">
        <v>5</v>
      </c>
      <c r="E45" s="543"/>
      <c r="F45" s="543"/>
      <c r="G45" s="543"/>
      <c r="H45" s="543"/>
      <c r="I45" s="543"/>
      <c r="J45" s="543"/>
      <c r="K45" s="543"/>
      <c r="L45" s="543"/>
      <c r="M45" s="543"/>
      <c r="N45" s="543"/>
      <c r="O45" s="543"/>
      <c r="P45" s="543"/>
      <c r="Q45" s="543"/>
      <c r="R45" s="543"/>
      <c r="S45" s="543"/>
      <c r="T45" s="543"/>
      <c r="U45" s="543"/>
      <c r="V45" s="543"/>
      <c r="W45" s="544"/>
      <c r="X45" s="536" t="s">
        <v>6</v>
      </c>
      <c r="Y45" s="537"/>
      <c r="Z45" s="537"/>
      <c r="AA45" s="537"/>
      <c r="AB45" s="537"/>
      <c r="AC45" s="537"/>
      <c r="AD45" s="537"/>
      <c r="AE45" s="537"/>
      <c r="AF45" s="537"/>
      <c r="AG45" s="537"/>
      <c r="AH45" s="537"/>
      <c r="AI45" s="537"/>
      <c r="AJ45" s="537"/>
      <c r="AK45" s="537"/>
      <c r="AL45" s="537"/>
      <c r="AM45" s="537"/>
      <c r="AN45" s="537"/>
      <c r="AO45" s="537"/>
      <c r="AP45" s="537"/>
      <c r="AQ45" s="537"/>
      <c r="AR45" s="537"/>
      <c r="AS45" s="537"/>
      <c r="AT45" s="537"/>
      <c r="AU45" s="537"/>
      <c r="AV45" s="537"/>
      <c r="AW45" s="537"/>
      <c r="AX45" s="537"/>
      <c r="AY45" s="537"/>
      <c r="AZ45" s="537"/>
      <c r="BA45" s="537"/>
      <c r="BB45" s="537"/>
      <c r="BC45" s="537"/>
      <c r="BD45" s="537"/>
      <c r="BE45" s="537"/>
      <c r="BF45" s="537"/>
      <c r="BG45" s="537"/>
      <c r="BH45" s="538"/>
    </row>
    <row r="46" spans="4:60">
      <c r="D46" s="523" t="s">
        <v>7</v>
      </c>
      <c r="E46" s="524"/>
      <c r="F46" s="524"/>
      <c r="G46" s="524"/>
      <c r="H46" s="524"/>
      <c r="I46" s="524"/>
      <c r="J46" s="524"/>
      <c r="K46" s="524"/>
      <c r="L46" s="524"/>
      <c r="M46" s="524"/>
      <c r="N46" s="524"/>
      <c r="O46" s="524"/>
      <c r="P46" s="524"/>
      <c r="Q46" s="524"/>
      <c r="R46" s="524"/>
      <c r="S46" s="524"/>
      <c r="T46" s="524"/>
      <c r="U46" s="524"/>
      <c r="V46" s="524"/>
      <c r="W46" s="525"/>
      <c r="X46" s="495" t="s">
        <v>94</v>
      </c>
      <c r="Y46" s="489"/>
      <c r="Z46" s="489"/>
      <c r="AA46" s="489"/>
      <c r="AB46" s="489"/>
      <c r="AC46" s="596" t="s">
        <v>95</v>
      </c>
      <c r="AD46" s="596"/>
      <c r="AE46" s="596"/>
      <c r="AF46" s="596"/>
      <c r="AG46" s="596"/>
      <c r="AH46" s="596"/>
      <c r="AI46" s="596"/>
      <c r="AJ46" s="596"/>
      <c r="AK46" s="596"/>
      <c r="AL46" s="596"/>
      <c r="AM46" s="488" t="s">
        <v>8</v>
      </c>
      <c r="AN46" s="489"/>
      <c r="AO46" s="489"/>
      <c r="AP46" s="489"/>
      <c r="AQ46" s="489"/>
      <c r="AR46" s="539">
        <v>1000</v>
      </c>
      <c r="AS46" s="540"/>
      <c r="AT46" s="540"/>
      <c r="AU46" s="540"/>
      <c r="AV46" s="540"/>
      <c r="AW46" s="540"/>
      <c r="AX46" s="541"/>
      <c r="AY46" s="539">
        <v>2</v>
      </c>
      <c r="AZ46" s="540"/>
      <c r="BA46" s="540"/>
      <c r="BB46" s="541"/>
      <c r="BC46" s="489">
        <f>AY47*AR46+AY46*AR47</f>
        <v>2900</v>
      </c>
      <c r="BD46" s="489"/>
      <c r="BE46" s="489"/>
      <c r="BF46" s="489"/>
      <c r="BG46" s="489"/>
      <c r="BH46" s="582"/>
    </row>
    <row r="47" spans="4:60">
      <c r="D47" s="526"/>
      <c r="E47" s="527"/>
      <c r="F47" s="527"/>
      <c r="G47" s="527"/>
      <c r="H47" s="527"/>
      <c r="I47" s="527"/>
      <c r="J47" s="527"/>
      <c r="K47" s="527"/>
      <c r="L47" s="527"/>
      <c r="M47" s="527"/>
      <c r="N47" s="527"/>
      <c r="O47" s="527"/>
      <c r="P47" s="527"/>
      <c r="Q47" s="527"/>
      <c r="R47" s="527"/>
      <c r="S47" s="527"/>
      <c r="T47" s="527"/>
      <c r="U47" s="527"/>
      <c r="V47" s="527"/>
      <c r="W47" s="528"/>
      <c r="X47" s="496"/>
      <c r="Y47" s="490"/>
      <c r="Z47" s="490"/>
      <c r="AA47" s="490"/>
      <c r="AB47" s="490"/>
      <c r="AC47" s="546"/>
      <c r="AD47" s="546"/>
      <c r="AE47" s="546"/>
      <c r="AF47" s="546"/>
      <c r="AG47" s="546"/>
      <c r="AH47" s="546"/>
      <c r="AI47" s="546"/>
      <c r="AJ47" s="546"/>
      <c r="AK47" s="546"/>
      <c r="AL47" s="546"/>
      <c r="AM47" s="490"/>
      <c r="AN47" s="490"/>
      <c r="AO47" s="490"/>
      <c r="AP47" s="490"/>
      <c r="AQ47" s="490"/>
      <c r="AR47" s="363">
        <v>450</v>
      </c>
      <c r="AS47" s="364"/>
      <c r="AT47" s="364"/>
      <c r="AU47" s="364"/>
      <c r="AV47" s="364"/>
      <c r="AW47" s="364"/>
      <c r="AX47" s="365"/>
      <c r="AY47" s="592">
        <v>2</v>
      </c>
      <c r="AZ47" s="593"/>
      <c r="BA47" s="593"/>
      <c r="BB47" s="594"/>
      <c r="BC47" s="490"/>
      <c r="BD47" s="490"/>
      <c r="BE47" s="490"/>
      <c r="BF47" s="490"/>
      <c r="BG47" s="490"/>
      <c r="BH47" s="550"/>
    </row>
    <row r="48" spans="4:60">
      <c r="D48" s="545" t="s">
        <v>9</v>
      </c>
      <c r="E48" s="546"/>
      <c r="F48" s="546"/>
      <c r="G48" s="546"/>
      <c r="H48" s="546"/>
      <c r="I48" s="546"/>
      <c r="J48" s="546"/>
      <c r="K48" s="546"/>
      <c r="L48" s="546"/>
      <c r="M48" s="546"/>
      <c r="N48" s="380">
        <v>12000</v>
      </c>
      <c r="O48" s="380"/>
      <c r="P48" s="380"/>
      <c r="Q48" s="380"/>
      <c r="R48" s="380"/>
      <c r="S48" s="549">
        <v>0.75</v>
      </c>
      <c r="T48" s="490"/>
      <c r="U48" s="490"/>
      <c r="V48" s="490"/>
      <c r="W48" s="550"/>
      <c r="X48" s="496"/>
      <c r="Y48" s="490"/>
      <c r="Z48" s="490"/>
      <c r="AA48" s="490"/>
      <c r="AB48" s="490"/>
      <c r="AC48" s="546" t="s">
        <v>96</v>
      </c>
      <c r="AD48" s="546"/>
      <c r="AE48" s="546"/>
      <c r="AF48" s="546"/>
      <c r="AG48" s="546"/>
      <c r="AH48" s="546"/>
      <c r="AI48" s="546"/>
      <c r="AJ48" s="546"/>
      <c r="AK48" s="546"/>
      <c r="AL48" s="546"/>
      <c r="AM48" s="490"/>
      <c r="AN48" s="490"/>
      <c r="AO48" s="490"/>
      <c r="AP48" s="490"/>
      <c r="AQ48" s="490"/>
      <c r="AR48" s="485">
        <v>1000</v>
      </c>
      <c r="AS48" s="486"/>
      <c r="AT48" s="486"/>
      <c r="AU48" s="486"/>
      <c r="AV48" s="486"/>
      <c r="AW48" s="486"/>
      <c r="AX48" s="487"/>
      <c r="AY48" s="371">
        <v>2</v>
      </c>
      <c r="AZ48" s="372"/>
      <c r="BA48" s="372"/>
      <c r="BB48" s="373"/>
      <c r="BC48" s="490">
        <f>AR48*AY48+AR49*AY49</f>
        <v>2900</v>
      </c>
      <c r="BD48" s="490"/>
      <c r="BE48" s="490"/>
      <c r="BF48" s="490"/>
      <c r="BG48" s="490"/>
      <c r="BH48" s="550"/>
    </row>
    <row r="49" spans="4:60">
      <c r="D49" s="545"/>
      <c r="E49" s="546"/>
      <c r="F49" s="546"/>
      <c r="G49" s="546"/>
      <c r="H49" s="546"/>
      <c r="I49" s="546"/>
      <c r="J49" s="546"/>
      <c r="K49" s="546"/>
      <c r="L49" s="546"/>
      <c r="M49" s="546"/>
      <c r="N49" s="380"/>
      <c r="O49" s="380"/>
      <c r="P49" s="380"/>
      <c r="Q49" s="380"/>
      <c r="R49" s="380"/>
      <c r="S49" s="490"/>
      <c r="T49" s="490"/>
      <c r="U49" s="490"/>
      <c r="V49" s="490"/>
      <c r="W49" s="550"/>
      <c r="X49" s="496"/>
      <c r="Y49" s="490"/>
      <c r="Z49" s="490"/>
      <c r="AA49" s="490"/>
      <c r="AB49" s="490"/>
      <c r="AC49" s="546"/>
      <c r="AD49" s="546"/>
      <c r="AE49" s="546"/>
      <c r="AF49" s="546"/>
      <c r="AG49" s="546"/>
      <c r="AH49" s="546"/>
      <c r="AI49" s="546"/>
      <c r="AJ49" s="546"/>
      <c r="AK49" s="546"/>
      <c r="AL49" s="546"/>
      <c r="AM49" s="490"/>
      <c r="AN49" s="490"/>
      <c r="AO49" s="490"/>
      <c r="AP49" s="490"/>
      <c r="AQ49" s="490"/>
      <c r="AR49" s="363">
        <v>450</v>
      </c>
      <c r="AS49" s="364"/>
      <c r="AT49" s="364"/>
      <c r="AU49" s="364"/>
      <c r="AV49" s="364"/>
      <c r="AW49" s="364"/>
      <c r="AX49" s="365"/>
      <c r="AY49" s="597">
        <v>2</v>
      </c>
      <c r="AZ49" s="598"/>
      <c r="BA49" s="598"/>
      <c r="BB49" s="599"/>
      <c r="BC49" s="490"/>
      <c r="BD49" s="490"/>
      <c r="BE49" s="490"/>
      <c r="BF49" s="490"/>
      <c r="BG49" s="490"/>
      <c r="BH49" s="550"/>
    </row>
    <row r="50" spans="4:60">
      <c r="D50" s="545" t="s">
        <v>10</v>
      </c>
      <c r="E50" s="546"/>
      <c r="F50" s="546"/>
      <c r="G50" s="546"/>
      <c r="H50" s="546"/>
      <c r="I50" s="546"/>
      <c r="J50" s="546"/>
      <c r="K50" s="546"/>
      <c r="L50" s="546"/>
      <c r="M50" s="546"/>
      <c r="N50" s="585" t="s">
        <v>12</v>
      </c>
      <c r="O50" s="586"/>
      <c r="P50" s="586"/>
      <c r="Q50" s="586"/>
      <c r="R50" s="586"/>
      <c r="S50" s="586"/>
      <c r="T50" s="586"/>
      <c r="U50" s="586"/>
      <c r="V50" s="586"/>
      <c r="W50" s="587"/>
      <c r="X50" s="496"/>
      <c r="Y50" s="490"/>
      <c r="Z50" s="490"/>
      <c r="AA50" s="490"/>
      <c r="AB50" s="490"/>
      <c r="AC50" s="546" t="s">
        <v>97</v>
      </c>
      <c r="AD50" s="546"/>
      <c r="AE50" s="546"/>
      <c r="AF50" s="546"/>
      <c r="AG50" s="546"/>
      <c r="AH50" s="546"/>
      <c r="AI50" s="546"/>
      <c r="AJ50" s="546"/>
      <c r="AK50" s="546"/>
      <c r="AL50" s="546"/>
      <c r="AM50" s="490"/>
      <c r="AN50" s="490"/>
      <c r="AO50" s="490"/>
      <c r="AP50" s="490"/>
      <c r="AQ50" s="490"/>
      <c r="AR50" s="485">
        <v>230</v>
      </c>
      <c r="AS50" s="486"/>
      <c r="AT50" s="486"/>
      <c r="AU50" s="486"/>
      <c r="AV50" s="486"/>
      <c r="AW50" s="486"/>
      <c r="AX50" s="487"/>
      <c r="AY50" s="371">
        <v>2</v>
      </c>
      <c r="AZ50" s="372"/>
      <c r="BA50" s="372"/>
      <c r="BB50" s="373"/>
      <c r="BC50" s="384">
        <f>AR50*AY50+AR51*AY51</f>
        <v>940</v>
      </c>
      <c r="BD50" s="384"/>
      <c r="BE50" s="384"/>
      <c r="BF50" s="384"/>
      <c r="BG50" s="384"/>
      <c r="BH50" s="385"/>
    </row>
    <row r="51" spans="4:60" ht="15.75" thickBot="1">
      <c r="D51" s="547"/>
      <c r="E51" s="548"/>
      <c r="F51" s="548"/>
      <c r="G51" s="548"/>
      <c r="H51" s="548"/>
      <c r="I51" s="548"/>
      <c r="J51" s="548"/>
      <c r="K51" s="548"/>
      <c r="L51" s="548"/>
      <c r="M51" s="548"/>
      <c r="N51" s="588"/>
      <c r="O51" s="589"/>
      <c r="P51" s="589"/>
      <c r="Q51" s="589"/>
      <c r="R51" s="589"/>
      <c r="S51" s="589"/>
      <c r="T51" s="589"/>
      <c r="U51" s="589"/>
      <c r="V51" s="589"/>
      <c r="W51" s="590"/>
      <c r="X51" s="595"/>
      <c r="Y51" s="583"/>
      <c r="Z51" s="583"/>
      <c r="AA51" s="583"/>
      <c r="AB51" s="583"/>
      <c r="AC51" s="548"/>
      <c r="AD51" s="548"/>
      <c r="AE51" s="548"/>
      <c r="AF51" s="548"/>
      <c r="AG51" s="548"/>
      <c r="AH51" s="548"/>
      <c r="AI51" s="548"/>
      <c r="AJ51" s="548"/>
      <c r="AK51" s="548"/>
      <c r="AL51" s="548"/>
      <c r="AM51" s="583"/>
      <c r="AN51" s="583"/>
      <c r="AO51" s="583"/>
      <c r="AP51" s="583"/>
      <c r="AQ51" s="583"/>
      <c r="AR51" s="591">
        <v>160</v>
      </c>
      <c r="AS51" s="591"/>
      <c r="AT51" s="591"/>
      <c r="AU51" s="591"/>
      <c r="AV51" s="591"/>
      <c r="AW51" s="591"/>
      <c r="AX51" s="591"/>
      <c r="AY51" s="591">
        <v>3</v>
      </c>
      <c r="AZ51" s="591"/>
      <c r="BA51" s="591"/>
      <c r="BB51" s="591"/>
      <c r="BC51" s="583"/>
      <c r="BD51" s="583"/>
      <c r="BE51" s="583"/>
      <c r="BF51" s="583"/>
      <c r="BG51" s="583"/>
      <c r="BH51" s="584"/>
    </row>
    <row r="52" spans="4:60">
      <c r="D52" s="474"/>
      <c r="E52" s="475"/>
      <c r="F52" s="475"/>
      <c r="G52" s="475"/>
      <c r="H52" s="475"/>
      <c r="I52" s="475"/>
      <c r="J52" s="475"/>
      <c r="K52" s="475"/>
      <c r="L52" s="475"/>
      <c r="M52" s="475"/>
      <c r="N52" s="475"/>
      <c r="O52" s="475"/>
      <c r="P52" s="475"/>
      <c r="Q52" s="475"/>
      <c r="R52" s="475"/>
      <c r="S52" s="475"/>
      <c r="T52" s="475"/>
      <c r="U52" s="475"/>
      <c r="V52" s="475"/>
      <c r="W52" s="475"/>
      <c r="X52" s="495" t="s">
        <v>98</v>
      </c>
      <c r="Y52" s="489"/>
      <c r="Z52" s="489"/>
      <c r="AA52" s="489"/>
      <c r="AB52" s="489"/>
      <c r="AC52" s="564" t="s">
        <v>99</v>
      </c>
      <c r="AD52" s="565"/>
      <c r="AE52" s="565"/>
      <c r="AF52" s="565"/>
      <c r="AG52" s="565"/>
      <c r="AH52" s="565"/>
      <c r="AI52" s="565"/>
      <c r="AJ52" s="565"/>
      <c r="AK52" s="565"/>
      <c r="AL52" s="566"/>
      <c r="AM52" s="488" t="s">
        <v>8</v>
      </c>
      <c r="AN52" s="489"/>
      <c r="AO52" s="489"/>
      <c r="AP52" s="489"/>
      <c r="AQ52" s="489"/>
      <c r="AR52" s="462">
        <v>530</v>
      </c>
      <c r="AS52" s="463"/>
      <c r="AT52" s="463"/>
      <c r="AU52" s="463"/>
      <c r="AV52" s="463"/>
      <c r="AW52" s="463"/>
      <c r="AX52" s="491"/>
      <c r="AY52" s="465">
        <v>1</v>
      </c>
      <c r="AZ52" s="466"/>
      <c r="BA52" s="466"/>
      <c r="BB52" s="467"/>
      <c r="BC52" s="462">
        <f>AR52*AY52</f>
        <v>530</v>
      </c>
      <c r="BD52" s="463"/>
      <c r="BE52" s="463"/>
      <c r="BF52" s="463"/>
      <c r="BG52" s="463"/>
      <c r="BH52" s="464"/>
    </row>
    <row r="53" spans="4:60">
      <c r="D53" s="474"/>
      <c r="E53" s="475"/>
      <c r="F53" s="475"/>
      <c r="G53" s="475"/>
      <c r="H53" s="475"/>
      <c r="I53" s="475"/>
      <c r="J53" s="475"/>
      <c r="K53" s="475"/>
      <c r="L53" s="475"/>
      <c r="M53" s="475"/>
      <c r="N53" s="475"/>
      <c r="O53" s="475"/>
      <c r="P53" s="475"/>
      <c r="Q53" s="475"/>
      <c r="R53" s="475"/>
      <c r="S53" s="475"/>
      <c r="T53" s="475"/>
      <c r="U53" s="475"/>
      <c r="V53" s="475"/>
      <c r="W53" s="475"/>
      <c r="X53" s="496"/>
      <c r="Y53" s="490"/>
      <c r="Z53" s="490"/>
      <c r="AA53" s="490"/>
      <c r="AB53" s="490"/>
      <c r="AC53" s="471" t="s">
        <v>100</v>
      </c>
      <c r="AD53" s="472"/>
      <c r="AE53" s="472"/>
      <c r="AF53" s="472"/>
      <c r="AG53" s="472"/>
      <c r="AH53" s="472"/>
      <c r="AI53" s="472"/>
      <c r="AJ53" s="472"/>
      <c r="AK53" s="472"/>
      <c r="AL53" s="473"/>
      <c r="AM53" s="490"/>
      <c r="AN53" s="490"/>
      <c r="AO53" s="490"/>
      <c r="AP53" s="490"/>
      <c r="AQ53" s="490"/>
      <c r="AR53" s="363">
        <v>500</v>
      </c>
      <c r="AS53" s="364"/>
      <c r="AT53" s="364"/>
      <c r="AU53" s="364"/>
      <c r="AV53" s="364"/>
      <c r="AW53" s="364"/>
      <c r="AX53" s="364"/>
      <c r="AY53" s="479">
        <v>6</v>
      </c>
      <c r="AZ53" s="480"/>
      <c r="BA53" s="480"/>
      <c r="BB53" s="481"/>
      <c r="BC53" s="369">
        <f>AR53*AY53</f>
        <v>3000</v>
      </c>
      <c r="BD53" s="369"/>
      <c r="BE53" s="369"/>
      <c r="BF53" s="369"/>
      <c r="BG53" s="369"/>
      <c r="BH53" s="370"/>
    </row>
    <row r="54" spans="4:60">
      <c r="D54" s="551"/>
      <c r="E54" s="364"/>
      <c r="F54" s="364"/>
      <c r="G54" s="364"/>
      <c r="H54" s="364"/>
      <c r="I54" s="364"/>
      <c r="J54" s="364"/>
      <c r="K54" s="364"/>
      <c r="L54" s="364"/>
      <c r="M54" s="364"/>
      <c r="N54" s="446"/>
      <c r="O54" s="446"/>
      <c r="P54" s="446"/>
      <c r="Q54" s="446"/>
      <c r="R54" s="446"/>
      <c r="S54" s="558"/>
      <c r="T54" s="364"/>
      <c r="U54" s="364"/>
      <c r="V54" s="364"/>
      <c r="W54" s="364"/>
      <c r="X54" s="496"/>
      <c r="Y54" s="490"/>
      <c r="Z54" s="490"/>
      <c r="AA54" s="490"/>
      <c r="AB54" s="490"/>
      <c r="AC54" s="482" t="s">
        <v>101</v>
      </c>
      <c r="AD54" s="483"/>
      <c r="AE54" s="483"/>
      <c r="AF54" s="483"/>
      <c r="AG54" s="483"/>
      <c r="AH54" s="483"/>
      <c r="AI54" s="483"/>
      <c r="AJ54" s="483"/>
      <c r="AK54" s="483"/>
      <c r="AL54" s="484"/>
      <c r="AM54" s="490"/>
      <c r="AN54" s="490"/>
      <c r="AO54" s="490"/>
      <c r="AP54" s="490"/>
      <c r="AQ54" s="490"/>
      <c r="AR54" s="485">
        <v>500</v>
      </c>
      <c r="AS54" s="486"/>
      <c r="AT54" s="486"/>
      <c r="AU54" s="486"/>
      <c r="AV54" s="486"/>
      <c r="AW54" s="486"/>
      <c r="AX54" s="487"/>
      <c r="AY54" s="371">
        <v>2</v>
      </c>
      <c r="AZ54" s="372"/>
      <c r="BA54" s="372"/>
      <c r="BB54" s="373"/>
      <c r="BC54" s="384">
        <f>AR54*AY54+AR55*AY55</f>
        <v>1900</v>
      </c>
      <c r="BD54" s="384"/>
      <c r="BE54" s="384"/>
      <c r="BF54" s="384"/>
      <c r="BG54" s="384"/>
      <c r="BH54" s="385"/>
    </row>
    <row r="55" spans="4:60">
      <c r="D55" s="551"/>
      <c r="E55" s="364"/>
      <c r="F55" s="364"/>
      <c r="G55" s="364"/>
      <c r="H55" s="364"/>
      <c r="I55" s="364"/>
      <c r="J55" s="364"/>
      <c r="K55" s="364"/>
      <c r="L55" s="364"/>
      <c r="M55" s="364"/>
      <c r="N55" s="446"/>
      <c r="O55" s="446"/>
      <c r="P55" s="446"/>
      <c r="Q55" s="446"/>
      <c r="R55" s="446"/>
      <c r="S55" s="364"/>
      <c r="T55" s="364"/>
      <c r="U55" s="364"/>
      <c r="V55" s="364"/>
      <c r="W55" s="364"/>
      <c r="X55" s="496"/>
      <c r="Y55" s="490"/>
      <c r="Z55" s="490"/>
      <c r="AA55" s="490"/>
      <c r="AB55" s="490"/>
      <c r="AC55" s="559"/>
      <c r="AD55" s="560"/>
      <c r="AE55" s="560"/>
      <c r="AF55" s="560"/>
      <c r="AG55" s="560"/>
      <c r="AH55" s="560"/>
      <c r="AI55" s="560"/>
      <c r="AJ55" s="560"/>
      <c r="AK55" s="560"/>
      <c r="AL55" s="561"/>
      <c r="AM55" s="490"/>
      <c r="AN55" s="490"/>
      <c r="AO55" s="490"/>
      <c r="AP55" s="490"/>
      <c r="AQ55" s="490"/>
      <c r="AR55" s="363">
        <v>900</v>
      </c>
      <c r="AS55" s="364"/>
      <c r="AT55" s="364"/>
      <c r="AU55" s="364"/>
      <c r="AV55" s="364"/>
      <c r="AW55" s="364"/>
      <c r="AX55" s="365"/>
      <c r="AY55" s="363">
        <v>1</v>
      </c>
      <c r="AZ55" s="364"/>
      <c r="BA55" s="364"/>
      <c r="BB55" s="365"/>
      <c r="BC55" s="386"/>
      <c r="BD55" s="386"/>
      <c r="BE55" s="386"/>
      <c r="BF55" s="386"/>
      <c r="BG55" s="386"/>
      <c r="BH55" s="387"/>
    </row>
    <row r="56" spans="4:60">
      <c r="D56" s="551"/>
      <c r="E56" s="364"/>
      <c r="F56" s="364"/>
      <c r="G56" s="364"/>
      <c r="H56" s="364"/>
      <c r="I56" s="364"/>
      <c r="J56" s="364"/>
      <c r="K56" s="364"/>
      <c r="L56" s="364"/>
      <c r="M56" s="364"/>
      <c r="N56" s="446"/>
      <c r="O56" s="446"/>
      <c r="P56" s="446"/>
      <c r="Q56" s="446"/>
      <c r="R56" s="446"/>
      <c r="S56" s="446"/>
      <c r="T56" s="446"/>
      <c r="U56" s="446"/>
      <c r="V56" s="446"/>
      <c r="W56" s="446"/>
      <c r="X56" s="496"/>
      <c r="Y56" s="490"/>
      <c r="Z56" s="490"/>
      <c r="AA56" s="490"/>
      <c r="AB56" s="490"/>
      <c r="AC56" s="471" t="s">
        <v>102</v>
      </c>
      <c r="AD56" s="472"/>
      <c r="AE56" s="472"/>
      <c r="AF56" s="472"/>
      <c r="AG56" s="472"/>
      <c r="AH56" s="472"/>
      <c r="AI56" s="472"/>
      <c r="AJ56" s="472"/>
      <c r="AK56" s="472"/>
      <c r="AL56" s="473"/>
      <c r="AM56" s="490"/>
      <c r="AN56" s="490"/>
      <c r="AO56" s="490"/>
      <c r="AP56" s="490"/>
      <c r="AQ56" s="490"/>
      <c r="AR56" s="368">
        <v>800</v>
      </c>
      <c r="AS56" s="369"/>
      <c r="AT56" s="369"/>
      <c r="AU56" s="369"/>
      <c r="AV56" s="369"/>
      <c r="AW56" s="369"/>
      <c r="AX56" s="388"/>
      <c r="AY56" s="368">
        <v>2</v>
      </c>
      <c r="AZ56" s="369"/>
      <c r="BA56" s="369"/>
      <c r="BB56" s="388"/>
      <c r="BC56" s="368">
        <f t="shared" ref="BC56:BC68" si="0">AR56*AY56</f>
        <v>1600</v>
      </c>
      <c r="BD56" s="369"/>
      <c r="BE56" s="369"/>
      <c r="BF56" s="369"/>
      <c r="BG56" s="369"/>
      <c r="BH56" s="370"/>
    </row>
    <row r="57" spans="4:60" ht="15.75" thickBot="1">
      <c r="D57" s="551"/>
      <c r="E57" s="364"/>
      <c r="F57" s="364"/>
      <c r="G57" s="364"/>
      <c r="H57" s="364"/>
      <c r="I57" s="364"/>
      <c r="J57" s="364"/>
      <c r="K57" s="364"/>
      <c r="L57" s="364"/>
      <c r="M57" s="364"/>
      <c r="N57" s="446"/>
      <c r="O57" s="446"/>
      <c r="P57" s="446"/>
      <c r="Q57" s="446"/>
      <c r="R57" s="446"/>
      <c r="S57" s="446"/>
      <c r="T57" s="446"/>
      <c r="U57" s="446"/>
      <c r="V57" s="446"/>
      <c r="W57" s="446"/>
      <c r="X57" s="497"/>
      <c r="Y57" s="386"/>
      <c r="Z57" s="386"/>
      <c r="AA57" s="386"/>
      <c r="AB57" s="386"/>
      <c r="AC57" s="482" t="s">
        <v>103</v>
      </c>
      <c r="AD57" s="483"/>
      <c r="AE57" s="483"/>
      <c r="AF57" s="483"/>
      <c r="AG57" s="483"/>
      <c r="AH57" s="483"/>
      <c r="AI57" s="483"/>
      <c r="AJ57" s="483"/>
      <c r="AK57" s="483"/>
      <c r="AL57" s="484"/>
      <c r="AM57" s="386"/>
      <c r="AN57" s="386"/>
      <c r="AO57" s="386"/>
      <c r="AP57" s="386"/>
      <c r="AQ57" s="386"/>
      <c r="AR57" s="389">
        <v>920</v>
      </c>
      <c r="AS57" s="389"/>
      <c r="AT57" s="389"/>
      <c r="AU57" s="389"/>
      <c r="AV57" s="389"/>
      <c r="AW57" s="389"/>
      <c r="AX57" s="389"/>
      <c r="AY57" s="363">
        <v>2</v>
      </c>
      <c r="AZ57" s="364"/>
      <c r="BA57" s="364"/>
      <c r="BB57" s="365"/>
      <c r="BC57" s="363">
        <f t="shared" si="0"/>
        <v>1840</v>
      </c>
      <c r="BD57" s="364"/>
      <c r="BE57" s="364"/>
      <c r="BF57" s="364"/>
      <c r="BG57" s="364"/>
      <c r="BH57" s="390"/>
    </row>
    <row r="58" spans="4:60">
      <c r="D58" s="492" t="s">
        <v>11</v>
      </c>
      <c r="E58" s="493"/>
      <c r="F58" s="493"/>
      <c r="G58" s="493"/>
      <c r="H58" s="493"/>
      <c r="I58" s="493"/>
      <c r="J58" s="493"/>
      <c r="K58" s="493"/>
      <c r="L58" s="493"/>
      <c r="M58" s="493"/>
      <c r="N58" s="493"/>
      <c r="O58" s="493"/>
      <c r="P58" s="493"/>
      <c r="Q58" s="493"/>
      <c r="R58" s="493"/>
      <c r="S58" s="493"/>
      <c r="T58" s="493"/>
      <c r="U58" s="493"/>
      <c r="V58" s="493"/>
      <c r="W58" s="494"/>
      <c r="X58" s="431" t="s">
        <v>11</v>
      </c>
      <c r="Y58" s="432"/>
      <c r="Z58" s="432"/>
      <c r="AA58" s="432"/>
      <c r="AB58" s="433"/>
      <c r="AC58" s="476" t="s">
        <v>104</v>
      </c>
      <c r="AD58" s="477"/>
      <c r="AE58" s="477"/>
      <c r="AF58" s="477"/>
      <c r="AG58" s="477"/>
      <c r="AH58" s="477"/>
      <c r="AI58" s="477"/>
      <c r="AJ58" s="477"/>
      <c r="AK58" s="477"/>
      <c r="AL58" s="478"/>
      <c r="AM58" s="567" t="s">
        <v>8</v>
      </c>
      <c r="AN58" s="568"/>
      <c r="AO58" s="568"/>
      <c r="AP58" s="568"/>
      <c r="AQ58" s="569"/>
      <c r="AR58" s="449">
        <v>900</v>
      </c>
      <c r="AS58" s="449"/>
      <c r="AT58" s="449"/>
      <c r="AU58" s="449"/>
      <c r="AV58" s="449"/>
      <c r="AW58" s="449"/>
      <c r="AX58" s="449"/>
      <c r="AY58" s="377">
        <v>6</v>
      </c>
      <c r="AZ58" s="378"/>
      <c r="BA58" s="378"/>
      <c r="BB58" s="379"/>
      <c r="BC58" s="377">
        <f t="shared" si="0"/>
        <v>5400</v>
      </c>
      <c r="BD58" s="378"/>
      <c r="BE58" s="378"/>
      <c r="BF58" s="378"/>
      <c r="BG58" s="378"/>
      <c r="BH58" s="448"/>
    </row>
    <row r="59" spans="4:60">
      <c r="D59" s="556" t="s">
        <v>9</v>
      </c>
      <c r="E59" s="557"/>
      <c r="F59" s="557"/>
      <c r="G59" s="557"/>
      <c r="H59" s="557"/>
      <c r="I59" s="557"/>
      <c r="J59" s="557"/>
      <c r="K59" s="557"/>
      <c r="L59" s="557"/>
      <c r="M59" s="557"/>
      <c r="N59" s="380">
        <v>77900</v>
      </c>
      <c r="O59" s="380"/>
      <c r="P59" s="380"/>
      <c r="Q59" s="380"/>
      <c r="R59" s="380"/>
      <c r="S59" s="366">
        <v>0.79166666666666663</v>
      </c>
      <c r="T59" s="366"/>
      <c r="U59" s="366"/>
      <c r="V59" s="366"/>
      <c r="W59" s="367"/>
      <c r="X59" s="434"/>
      <c r="Y59" s="435"/>
      <c r="Z59" s="435"/>
      <c r="AA59" s="435"/>
      <c r="AB59" s="436"/>
      <c r="AC59" s="381" t="s">
        <v>105</v>
      </c>
      <c r="AD59" s="382"/>
      <c r="AE59" s="382"/>
      <c r="AF59" s="382"/>
      <c r="AG59" s="382"/>
      <c r="AH59" s="382"/>
      <c r="AI59" s="382"/>
      <c r="AJ59" s="382"/>
      <c r="AK59" s="382"/>
      <c r="AL59" s="383"/>
      <c r="AM59" s="570"/>
      <c r="AN59" s="571"/>
      <c r="AO59" s="571"/>
      <c r="AP59" s="571"/>
      <c r="AQ59" s="572"/>
      <c r="AR59" s="444">
        <v>1500</v>
      </c>
      <c r="AS59" s="444"/>
      <c r="AT59" s="444"/>
      <c r="AU59" s="444"/>
      <c r="AV59" s="444"/>
      <c r="AW59" s="444"/>
      <c r="AX59" s="444"/>
      <c r="AY59" s="374">
        <v>2</v>
      </c>
      <c r="AZ59" s="375"/>
      <c r="BA59" s="375"/>
      <c r="BB59" s="376"/>
      <c r="BC59" s="374">
        <f t="shared" si="0"/>
        <v>3000</v>
      </c>
      <c r="BD59" s="375"/>
      <c r="BE59" s="375"/>
      <c r="BF59" s="375"/>
      <c r="BG59" s="375"/>
      <c r="BH59" s="442"/>
    </row>
    <row r="60" spans="4:60">
      <c r="D60" s="556" t="s">
        <v>10</v>
      </c>
      <c r="E60" s="557"/>
      <c r="F60" s="557"/>
      <c r="G60" s="557"/>
      <c r="H60" s="557"/>
      <c r="I60" s="557"/>
      <c r="J60" s="557"/>
      <c r="K60" s="557"/>
      <c r="L60" s="557"/>
      <c r="M60" s="557"/>
      <c r="N60" s="380" t="s">
        <v>12</v>
      </c>
      <c r="O60" s="380"/>
      <c r="P60" s="380"/>
      <c r="Q60" s="380"/>
      <c r="R60" s="380"/>
      <c r="S60" s="380"/>
      <c r="T60" s="380"/>
      <c r="U60" s="380"/>
      <c r="V60" s="380"/>
      <c r="W60" s="374"/>
      <c r="X60" s="434"/>
      <c r="Y60" s="435"/>
      <c r="Z60" s="435"/>
      <c r="AA60" s="435"/>
      <c r="AB60" s="436"/>
      <c r="AC60" s="381" t="s">
        <v>106</v>
      </c>
      <c r="AD60" s="382"/>
      <c r="AE60" s="382"/>
      <c r="AF60" s="382"/>
      <c r="AG60" s="382"/>
      <c r="AH60" s="382"/>
      <c r="AI60" s="382"/>
      <c r="AJ60" s="382"/>
      <c r="AK60" s="382"/>
      <c r="AL60" s="383"/>
      <c r="AM60" s="570"/>
      <c r="AN60" s="571"/>
      <c r="AO60" s="571"/>
      <c r="AP60" s="571"/>
      <c r="AQ60" s="572"/>
      <c r="AR60" s="444">
        <v>1300</v>
      </c>
      <c r="AS60" s="444"/>
      <c r="AT60" s="444"/>
      <c r="AU60" s="444"/>
      <c r="AV60" s="444"/>
      <c r="AW60" s="444"/>
      <c r="AX60" s="444"/>
      <c r="AY60" s="380">
        <v>4</v>
      </c>
      <c r="AZ60" s="380"/>
      <c r="BA60" s="380"/>
      <c r="BB60" s="380"/>
      <c r="BC60" s="374">
        <f t="shared" si="0"/>
        <v>5200</v>
      </c>
      <c r="BD60" s="375"/>
      <c r="BE60" s="375"/>
      <c r="BF60" s="375"/>
      <c r="BG60" s="375"/>
      <c r="BH60" s="442"/>
    </row>
    <row r="61" spans="4:60" ht="15.75" thickBot="1">
      <c r="D61" s="554"/>
      <c r="E61" s="555"/>
      <c r="F61" s="555"/>
      <c r="G61" s="555"/>
      <c r="H61" s="555"/>
      <c r="I61" s="555"/>
      <c r="J61" s="555"/>
      <c r="K61" s="555"/>
      <c r="L61" s="555"/>
      <c r="M61" s="555"/>
      <c r="N61" s="555"/>
      <c r="O61" s="555"/>
      <c r="P61" s="555"/>
      <c r="Q61" s="555"/>
      <c r="R61" s="555"/>
      <c r="S61" s="555"/>
      <c r="T61" s="555"/>
      <c r="U61" s="555"/>
      <c r="V61" s="555"/>
      <c r="W61" s="555"/>
      <c r="X61" s="434"/>
      <c r="Y61" s="435"/>
      <c r="Z61" s="435"/>
      <c r="AA61" s="435"/>
      <c r="AB61" s="436"/>
      <c r="AC61" s="381" t="s">
        <v>107</v>
      </c>
      <c r="AD61" s="382"/>
      <c r="AE61" s="382"/>
      <c r="AF61" s="382"/>
      <c r="AG61" s="382"/>
      <c r="AH61" s="382"/>
      <c r="AI61" s="382"/>
      <c r="AJ61" s="382"/>
      <c r="AK61" s="382"/>
      <c r="AL61" s="383"/>
      <c r="AM61" s="570"/>
      <c r="AN61" s="571"/>
      <c r="AO61" s="571"/>
      <c r="AP61" s="571"/>
      <c r="AQ61" s="572"/>
      <c r="AR61" s="444">
        <v>900</v>
      </c>
      <c r="AS61" s="444"/>
      <c r="AT61" s="444"/>
      <c r="AU61" s="444"/>
      <c r="AV61" s="444"/>
      <c r="AW61" s="444"/>
      <c r="AX61" s="444"/>
      <c r="AY61" s="374">
        <v>2</v>
      </c>
      <c r="AZ61" s="375"/>
      <c r="BA61" s="375"/>
      <c r="BB61" s="376"/>
      <c r="BC61" s="374">
        <f t="shared" si="0"/>
        <v>1800</v>
      </c>
      <c r="BD61" s="375"/>
      <c r="BE61" s="375"/>
      <c r="BF61" s="375"/>
      <c r="BG61" s="375"/>
      <c r="BH61" s="442"/>
    </row>
    <row r="62" spans="4:60">
      <c r="D62" s="459" t="s">
        <v>13</v>
      </c>
      <c r="E62" s="460"/>
      <c r="F62" s="460"/>
      <c r="G62" s="460"/>
      <c r="H62" s="460"/>
      <c r="I62" s="460"/>
      <c r="J62" s="460"/>
      <c r="K62" s="460"/>
      <c r="L62" s="460"/>
      <c r="M62" s="460"/>
      <c r="N62" s="460"/>
      <c r="O62" s="460"/>
      <c r="P62" s="460"/>
      <c r="Q62" s="460"/>
      <c r="R62" s="460"/>
      <c r="S62" s="460"/>
      <c r="T62" s="460"/>
      <c r="U62" s="460"/>
      <c r="V62" s="460"/>
      <c r="W62" s="461"/>
      <c r="X62" s="434"/>
      <c r="Y62" s="435"/>
      <c r="Z62" s="435"/>
      <c r="AA62" s="435"/>
      <c r="AB62" s="436"/>
      <c r="AC62" s="381" t="s">
        <v>108</v>
      </c>
      <c r="AD62" s="382"/>
      <c r="AE62" s="382"/>
      <c r="AF62" s="382"/>
      <c r="AG62" s="382"/>
      <c r="AH62" s="382"/>
      <c r="AI62" s="382"/>
      <c r="AJ62" s="382"/>
      <c r="AK62" s="382"/>
      <c r="AL62" s="383"/>
      <c r="AM62" s="570"/>
      <c r="AN62" s="571"/>
      <c r="AO62" s="571"/>
      <c r="AP62" s="571"/>
      <c r="AQ62" s="572"/>
      <c r="AR62" s="444">
        <v>1300</v>
      </c>
      <c r="AS62" s="444"/>
      <c r="AT62" s="444"/>
      <c r="AU62" s="444"/>
      <c r="AV62" s="444"/>
      <c r="AW62" s="444"/>
      <c r="AX62" s="444"/>
      <c r="AY62" s="374">
        <v>2</v>
      </c>
      <c r="AZ62" s="375"/>
      <c r="BA62" s="375"/>
      <c r="BB62" s="376"/>
      <c r="BC62" s="374">
        <f t="shared" si="0"/>
        <v>2600</v>
      </c>
      <c r="BD62" s="375"/>
      <c r="BE62" s="375"/>
      <c r="BF62" s="375"/>
      <c r="BG62" s="375"/>
      <c r="BH62" s="442"/>
    </row>
    <row r="63" spans="4:60">
      <c r="D63" s="552" t="s">
        <v>9</v>
      </c>
      <c r="E63" s="553"/>
      <c r="F63" s="553"/>
      <c r="G63" s="553"/>
      <c r="H63" s="553"/>
      <c r="I63" s="553"/>
      <c r="J63" s="553"/>
      <c r="K63" s="553"/>
      <c r="L63" s="553"/>
      <c r="M63" s="553"/>
      <c r="N63" s="443" t="s">
        <v>506</v>
      </c>
      <c r="O63" s="443"/>
      <c r="P63" s="443"/>
      <c r="Q63" s="443"/>
      <c r="R63" s="443"/>
      <c r="S63" s="357">
        <v>0.72916666666666663</v>
      </c>
      <c r="T63" s="357"/>
      <c r="U63" s="357"/>
      <c r="V63" s="357"/>
      <c r="W63" s="358"/>
      <c r="X63" s="434"/>
      <c r="Y63" s="435"/>
      <c r="Z63" s="435"/>
      <c r="AA63" s="435"/>
      <c r="AB63" s="436"/>
      <c r="AC63" s="381" t="s">
        <v>109</v>
      </c>
      <c r="AD63" s="382"/>
      <c r="AE63" s="382"/>
      <c r="AF63" s="382"/>
      <c r="AG63" s="382"/>
      <c r="AH63" s="382"/>
      <c r="AI63" s="382"/>
      <c r="AJ63" s="382"/>
      <c r="AK63" s="382"/>
      <c r="AL63" s="383"/>
      <c r="AM63" s="570"/>
      <c r="AN63" s="571"/>
      <c r="AO63" s="571"/>
      <c r="AP63" s="571"/>
      <c r="AQ63" s="572"/>
      <c r="AR63" s="444">
        <v>1300</v>
      </c>
      <c r="AS63" s="444"/>
      <c r="AT63" s="444"/>
      <c r="AU63" s="444"/>
      <c r="AV63" s="444"/>
      <c r="AW63" s="444"/>
      <c r="AX63" s="444"/>
      <c r="AY63" s="380">
        <v>4</v>
      </c>
      <c r="AZ63" s="380"/>
      <c r="BA63" s="380"/>
      <c r="BB63" s="380"/>
      <c r="BC63" s="374">
        <f t="shared" si="0"/>
        <v>5200</v>
      </c>
      <c r="BD63" s="375"/>
      <c r="BE63" s="375"/>
      <c r="BF63" s="375"/>
      <c r="BG63" s="375"/>
      <c r="BH63" s="442"/>
    </row>
    <row r="64" spans="4:60" ht="15.75" thickBot="1">
      <c r="D64" s="552" t="s">
        <v>10</v>
      </c>
      <c r="E64" s="553"/>
      <c r="F64" s="553"/>
      <c r="G64" s="553"/>
      <c r="H64" s="553"/>
      <c r="I64" s="553"/>
      <c r="J64" s="553"/>
      <c r="K64" s="553"/>
      <c r="L64" s="553"/>
      <c r="M64" s="553"/>
      <c r="N64" s="344" t="s">
        <v>426</v>
      </c>
      <c r="O64" s="344"/>
      <c r="P64" s="344"/>
      <c r="Q64" s="344"/>
      <c r="R64" s="344"/>
      <c r="S64" s="344"/>
      <c r="T64" s="344"/>
      <c r="U64" s="344"/>
      <c r="V64" s="344"/>
      <c r="W64" s="345"/>
      <c r="X64" s="434"/>
      <c r="Y64" s="435"/>
      <c r="Z64" s="435"/>
      <c r="AA64" s="435"/>
      <c r="AB64" s="436"/>
      <c r="AC64" s="381" t="s">
        <v>110</v>
      </c>
      <c r="AD64" s="382"/>
      <c r="AE64" s="382"/>
      <c r="AF64" s="382"/>
      <c r="AG64" s="382"/>
      <c r="AH64" s="382"/>
      <c r="AI64" s="382"/>
      <c r="AJ64" s="382"/>
      <c r="AK64" s="382"/>
      <c r="AL64" s="383"/>
      <c r="AM64" s="570"/>
      <c r="AN64" s="571"/>
      <c r="AO64" s="571"/>
      <c r="AP64" s="571"/>
      <c r="AQ64" s="572"/>
      <c r="AR64" s="444">
        <v>1300</v>
      </c>
      <c r="AS64" s="444"/>
      <c r="AT64" s="444"/>
      <c r="AU64" s="444"/>
      <c r="AV64" s="444"/>
      <c r="AW64" s="444"/>
      <c r="AX64" s="444"/>
      <c r="AY64" s="445">
        <v>2</v>
      </c>
      <c r="AZ64" s="446"/>
      <c r="BA64" s="446"/>
      <c r="BB64" s="447"/>
      <c r="BC64" s="445">
        <f t="shared" si="0"/>
        <v>2600</v>
      </c>
      <c r="BD64" s="446"/>
      <c r="BE64" s="446"/>
      <c r="BF64" s="446"/>
      <c r="BG64" s="446"/>
      <c r="BH64" s="578"/>
    </row>
    <row r="65" spans="1:63" ht="18.75" customHeight="1" thickBot="1">
      <c r="D65" s="554"/>
      <c r="E65" s="555"/>
      <c r="F65" s="555"/>
      <c r="G65" s="555"/>
      <c r="H65" s="555"/>
      <c r="I65" s="555"/>
      <c r="J65" s="555"/>
      <c r="K65" s="555"/>
      <c r="L65" s="555"/>
      <c r="M65" s="555"/>
      <c r="N65" s="555"/>
      <c r="O65" s="555"/>
      <c r="P65" s="555"/>
      <c r="Q65" s="555"/>
      <c r="R65" s="555"/>
      <c r="S65" s="555"/>
      <c r="T65" s="555"/>
      <c r="U65" s="555"/>
      <c r="V65" s="555"/>
      <c r="W65" s="555"/>
      <c r="X65" s="434"/>
      <c r="Y65" s="435"/>
      <c r="Z65" s="435"/>
      <c r="AA65" s="435"/>
      <c r="AB65" s="436"/>
      <c r="AC65" s="351" t="s">
        <v>111</v>
      </c>
      <c r="AD65" s="352"/>
      <c r="AE65" s="352"/>
      <c r="AF65" s="352"/>
      <c r="AG65" s="352"/>
      <c r="AH65" s="352"/>
      <c r="AI65" s="352"/>
      <c r="AJ65" s="352"/>
      <c r="AK65" s="352"/>
      <c r="AL65" s="353"/>
      <c r="AM65" s="570"/>
      <c r="AN65" s="571"/>
      <c r="AO65" s="571"/>
      <c r="AP65" s="571"/>
      <c r="AQ65" s="572"/>
      <c r="AR65" s="354">
        <v>900</v>
      </c>
      <c r="AS65" s="354"/>
      <c r="AT65" s="354"/>
      <c r="AU65" s="354"/>
      <c r="AV65" s="354"/>
      <c r="AW65" s="354"/>
      <c r="AX65" s="354"/>
      <c r="AY65" s="340">
        <v>4</v>
      </c>
      <c r="AZ65" s="340"/>
      <c r="BA65" s="340"/>
      <c r="BB65" s="340"/>
      <c r="BC65" s="337">
        <f t="shared" si="0"/>
        <v>3600</v>
      </c>
      <c r="BD65" s="338"/>
      <c r="BE65" s="338"/>
      <c r="BF65" s="338"/>
      <c r="BG65" s="338"/>
      <c r="BH65" s="339"/>
      <c r="BI65" s="78"/>
    </row>
    <row r="66" spans="1:63" ht="18.75" customHeight="1">
      <c r="D66" s="456" t="s">
        <v>14</v>
      </c>
      <c r="E66" s="457"/>
      <c r="F66" s="457"/>
      <c r="G66" s="457"/>
      <c r="H66" s="457"/>
      <c r="I66" s="457"/>
      <c r="J66" s="457"/>
      <c r="K66" s="457"/>
      <c r="L66" s="457"/>
      <c r="M66" s="457"/>
      <c r="N66" s="457"/>
      <c r="O66" s="457"/>
      <c r="P66" s="457"/>
      <c r="Q66" s="457"/>
      <c r="R66" s="457"/>
      <c r="S66" s="457"/>
      <c r="T66" s="457"/>
      <c r="U66" s="457"/>
      <c r="V66" s="457"/>
      <c r="W66" s="458"/>
      <c r="X66" s="434"/>
      <c r="Y66" s="435"/>
      <c r="Z66" s="435"/>
      <c r="AA66" s="435"/>
      <c r="AB66" s="436"/>
      <c r="AC66" s="351" t="s">
        <v>112</v>
      </c>
      <c r="AD66" s="352"/>
      <c r="AE66" s="352"/>
      <c r="AF66" s="352"/>
      <c r="AG66" s="352"/>
      <c r="AH66" s="352"/>
      <c r="AI66" s="352"/>
      <c r="AJ66" s="352"/>
      <c r="AK66" s="352"/>
      <c r="AL66" s="353"/>
      <c r="AM66" s="570"/>
      <c r="AN66" s="571"/>
      <c r="AO66" s="571"/>
      <c r="AP66" s="571"/>
      <c r="AQ66" s="572"/>
      <c r="AR66" s="354">
        <v>1300</v>
      </c>
      <c r="AS66" s="354"/>
      <c r="AT66" s="354"/>
      <c r="AU66" s="354"/>
      <c r="AV66" s="354"/>
      <c r="AW66" s="354"/>
      <c r="AX66" s="354"/>
      <c r="AY66" s="337">
        <v>2</v>
      </c>
      <c r="AZ66" s="338"/>
      <c r="BA66" s="338"/>
      <c r="BB66" s="343"/>
      <c r="BC66" s="337">
        <f t="shared" si="0"/>
        <v>2600</v>
      </c>
      <c r="BD66" s="338"/>
      <c r="BE66" s="338"/>
      <c r="BF66" s="338"/>
      <c r="BG66" s="338"/>
      <c r="BH66" s="339"/>
      <c r="BI66" s="78"/>
    </row>
    <row r="67" spans="1:63" ht="18.75" customHeight="1">
      <c r="D67" s="429" t="s">
        <v>9</v>
      </c>
      <c r="E67" s="430"/>
      <c r="F67" s="430"/>
      <c r="G67" s="430"/>
      <c r="H67" s="430"/>
      <c r="I67" s="430"/>
      <c r="J67" s="430"/>
      <c r="K67" s="430"/>
      <c r="L67" s="430"/>
      <c r="M67" s="430"/>
      <c r="N67" s="443" t="s">
        <v>493</v>
      </c>
      <c r="O67" s="443"/>
      <c r="P67" s="443"/>
      <c r="Q67" s="443"/>
      <c r="R67" s="443"/>
      <c r="S67" s="357">
        <v>0.8125</v>
      </c>
      <c r="T67" s="357"/>
      <c r="U67" s="357"/>
      <c r="V67" s="357"/>
      <c r="W67" s="358"/>
      <c r="X67" s="434"/>
      <c r="Y67" s="435"/>
      <c r="Z67" s="435"/>
      <c r="AA67" s="435"/>
      <c r="AB67" s="436"/>
      <c r="AC67" s="351" t="s">
        <v>113</v>
      </c>
      <c r="AD67" s="352"/>
      <c r="AE67" s="352"/>
      <c r="AF67" s="352"/>
      <c r="AG67" s="352"/>
      <c r="AH67" s="352"/>
      <c r="AI67" s="352"/>
      <c r="AJ67" s="352"/>
      <c r="AK67" s="352"/>
      <c r="AL67" s="353"/>
      <c r="AM67" s="570"/>
      <c r="AN67" s="571"/>
      <c r="AO67" s="571"/>
      <c r="AP67" s="571"/>
      <c r="AQ67" s="572"/>
      <c r="AR67" s="354">
        <v>900</v>
      </c>
      <c r="AS67" s="354"/>
      <c r="AT67" s="354"/>
      <c r="AU67" s="354"/>
      <c r="AV67" s="354"/>
      <c r="AW67" s="354"/>
      <c r="AX67" s="354"/>
      <c r="AY67" s="354">
        <v>2</v>
      </c>
      <c r="AZ67" s="354"/>
      <c r="BA67" s="354"/>
      <c r="BB67" s="354"/>
      <c r="BC67" s="468">
        <f t="shared" si="0"/>
        <v>1800</v>
      </c>
      <c r="BD67" s="469"/>
      <c r="BE67" s="469"/>
      <c r="BF67" s="469"/>
      <c r="BG67" s="469"/>
      <c r="BH67" s="470"/>
      <c r="BI67" s="78"/>
    </row>
    <row r="68" spans="1:63" ht="18.75" customHeight="1" thickBot="1">
      <c r="D68" s="348" t="s">
        <v>10</v>
      </c>
      <c r="E68" s="349"/>
      <c r="F68" s="349"/>
      <c r="G68" s="349"/>
      <c r="H68" s="349"/>
      <c r="I68" s="349"/>
      <c r="J68" s="349"/>
      <c r="K68" s="349"/>
      <c r="L68" s="349"/>
      <c r="M68" s="349"/>
      <c r="N68" s="344" t="s">
        <v>426</v>
      </c>
      <c r="O68" s="344"/>
      <c r="P68" s="344"/>
      <c r="Q68" s="344"/>
      <c r="R68" s="344"/>
      <c r="S68" s="344"/>
      <c r="T68" s="344"/>
      <c r="U68" s="344"/>
      <c r="V68" s="344"/>
      <c r="W68" s="345"/>
      <c r="X68" s="437"/>
      <c r="Y68" s="438"/>
      <c r="Z68" s="438"/>
      <c r="AA68" s="438"/>
      <c r="AB68" s="439"/>
      <c r="AC68" s="579" t="s">
        <v>114</v>
      </c>
      <c r="AD68" s="580"/>
      <c r="AE68" s="580"/>
      <c r="AF68" s="580"/>
      <c r="AG68" s="580"/>
      <c r="AH68" s="580"/>
      <c r="AI68" s="580"/>
      <c r="AJ68" s="580"/>
      <c r="AK68" s="580"/>
      <c r="AL68" s="581"/>
      <c r="AM68" s="573"/>
      <c r="AN68" s="574"/>
      <c r="AO68" s="574"/>
      <c r="AP68" s="574"/>
      <c r="AQ68" s="575"/>
      <c r="AR68" s="356">
        <v>900</v>
      </c>
      <c r="AS68" s="356"/>
      <c r="AT68" s="356"/>
      <c r="AU68" s="356"/>
      <c r="AV68" s="356"/>
      <c r="AW68" s="356"/>
      <c r="AX68" s="356"/>
      <c r="AY68" s="356">
        <v>4</v>
      </c>
      <c r="AZ68" s="356"/>
      <c r="BA68" s="356"/>
      <c r="BB68" s="356"/>
      <c r="BC68" s="440">
        <f t="shared" si="0"/>
        <v>3600</v>
      </c>
      <c r="BD68" s="438"/>
      <c r="BE68" s="438"/>
      <c r="BF68" s="438"/>
      <c r="BG68" s="438"/>
      <c r="BH68" s="441"/>
      <c r="BI68" s="78"/>
    </row>
    <row r="69" spans="1:63" s="204" customFormat="1" ht="47.25" customHeight="1">
      <c r="A69" s="203"/>
      <c r="B69" s="203"/>
      <c r="C69" s="203"/>
      <c r="D69" s="577" t="s">
        <v>427</v>
      </c>
      <c r="E69" s="577"/>
      <c r="F69" s="577"/>
      <c r="G69" s="577"/>
      <c r="H69" s="577"/>
      <c r="I69" s="577"/>
      <c r="J69" s="577"/>
      <c r="K69" s="577"/>
      <c r="L69" s="577"/>
      <c r="M69" s="577"/>
      <c r="N69" s="577"/>
      <c r="O69" s="577"/>
      <c r="P69" s="577"/>
      <c r="Q69" s="577"/>
      <c r="R69" s="577"/>
      <c r="S69" s="577"/>
      <c r="T69" s="577"/>
      <c r="U69" s="577"/>
      <c r="V69" s="577"/>
      <c r="W69" s="577"/>
      <c r="X69" s="577"/>
      <c r="Y69" s="577"/>
      <c r="Z69" s="577"/>
      <c r="AA69" s="577"/>
      <c r="AB69" s="577"/>
      <c r="AC69" s="577"/>
      <c r="AD69" s="577"/>
      <c r="AE69" s="577"/>
      <c r="AF69" s="577"/>
      <c r="AG69" s="577"/>
      <c r="AH69" s="577"/>
      <c r="AI69" s="577"/>
      <c r="AJ69" s="577"/>
      <c r="AK69" s="577"/>
      <c r="AL69" s="577"/>
      <c r="AM69" s="577"/>
      <c r="AN69" s="577"/>
      <c r="AO69" s="577"/>
      <c r="AP69" s="577"/>
      <c r="AQ69" s="577"/>
      <c r="AR69" s="577"/>
      <c r="AS69" s="577"/>
      <c r="AT69" s="577"/>
      <c r="AU69" s="577"/>
      <c r="AV69" s="577"/>
      <c r="AW69" s="577"/>
      <c r="AX69" s="577"/>
      <c r="AY69" s="577"/>
      <c r="AZ69" s="577"/>
      <c r="BA69" s="577"/>
      <c r="BB69" s="577"/>
      <c r="BC69" s="577"/>
      <c r="BD69" s="577"/>
      <c r="BE69" s="577"/>
      <c r="BF69" s="577"/>
      <c r="BG69" s="577"/>
      <c r="BH69" s="577"/>
      <c r="BI69" s="203"/>
      <c r="BJ69" s="203"/>
      <c r="BK69" s="203"/>
    </row>
    <row r="70" spans="1:63">
      <c r="D70" s="362"/>
      <c r="E70" s="362"/>
      <c r="F70" s="362"/>
      <c r="G70" s="362"/>
      <c r="H70" s="362"/>
      <c r="I70" s="362"/>
      <c r="J70" s="362"/>
      <c r="K70" s="362"/>
      <c r="L70" s="362"/>
      <c r="M70" s="362"/>
      <c r="N70" s="362"/>
      <c r="O70" s="362"/>
      <c r="P70" s="362"/>
      <c r="Q70" s="362"/>
      <c r="R70" s="362"/>
      <c r="S70" s="362"/>
      <c r="T70" s="362"/>
      <c r="U70" s="362"/>
      <c r="V70" s="362"/>
      <c r="W70" s="362"/>
      <c r="X70" s="362"/>
      <c r="Y70" s="362"/>
      <c r="Z70" s="362"/>
      <c r="AA70" s="362"/>
      <c r="AB70" s="362"/>
      <c r="AC70" s="362"/>
      <c r="AD70" s="362"/>
      <c r="AE70" s="362"/>
      <c r="AF70" s="362"/>
      <c r="AG70" s="362"/>
      <c r="AH70" s="362"/>
      <c r="AI70" s="362"/>
      <c r="AJ70" s="362"/>
      <c r="AK70" s="362"/>
      <c r="AL70" s="362"/>
      <c r="AM70" s="362"/>
      <c r="AN70" s="362"/>
      <c r="AO70" s="362"/>
      <c r="AP70" s="362"/>
      <c r="AQ70" s="362"/>
      <c r="AR70" s="362"/>
      <c r="AS70" s="362"/>
      <c r="AT70" s="362"/>
      <c r="AU70" s="362"/>
      <c r="AV70" s="362"/>
      <c r="AW70" s="362"/>
      <c r="AX70" s="362"/>
      <c r="AY70" s="362"/>
      <c r="AZ70" s="362"/>
      <c r="BA70" s="362"/>
      <c r="BB70" s="362"/>
      <c r="BC70" s="362"/>
      <c r="BD70" s="362"/>
      <c r="BE70" s="362"/>
      <c r="BF70" s="362"/>
      <c r="BG70" s="362"/>
      <c r="BH70" s="362"/>
    </row>
    <row r="71" spans="1:63" ht="17.25" customHeight="1">
      <c r="D71" s="346" t="s">
        <v>82</v>
      </c>
      <c r="E71" s="347"/>
      <c r="F71" s="347"/>
      <c r="G71" s="347"/>
      <c r="H71" s="347"/>
      <c r="I71" s="347"/>
      <c r="J71" s="347"/>
      <c r="K71" s="347"/>
      <c r="L71" s="347"/>
      <c r="M71" s="347"/>
      <c r="N71" s="347"/>
      <c r="O71" s="347"/>
      <c r="P71" s="347"/>
      <c r="Q71" s="347"/>
      <c r="R71" s="347"/>
      <c r="S71" s="347"/>
      <c r="T71" s="347"/>
      <c r="U71" s="347"/>
      <c r="V71" s="347"/>
      <c r="W71" s="347"/>
      <c r="X71" s="347"/>
      <c r="Y71" s="347"/>
      <c r="Z71" s="347"/>
      <c r="AA71" s="347"/>
      <c r="AB71" s="347"/>
      <c r="AC71" s="347"/>
      <c r="AD71" s="347"/>
      <c r="AE71" s="347"/>
      <c r="AF71" s="347"/>
      <c r="AG71" s="347"/>
      <c r="AH71" s="347"/>
      <c r="AI71" s="347"/>
      <c r="AJ71" s="347"/>
      <c r="AK71" s="347"/>
      <c r="AL71" s="347"/>
      <c r="AM71" s="347"/>
      <c r="AN71" s="347"/>
      <c r="AO71" s="347"/>
      <c r="AP71" s="347"/>
      <c r="AQ71" s="347"/>
      <c r="AR71" s="347"/>
      <c r="AS71" s="347"/>
      <c r="AT71" s="347"/>
      <c r="AU71" s="347"/>
      <c r="AV71" s="347"/>
      <c r="AW71" s="347"/>
      <c r="AX71" s="347"/>
      <c r="AY71" s="347"/>
      <c r="AZ71" s="347"/>
      <c r="BA71" s="347"/>
      <c r="BB71" s="347"/>
      <c r="BC71" s="347"/>
      <c r="BD71" s="347"/>
      <c r="BE71" s="347"/>
      <c r="BF71" s="347"/>
      <c r="BG71" s="347"/>
      <c r="BH71" s="347"/>
    </row>
    <row r="72" spans="1:63" ht="55.5" customHeight="1">
      <c r="A72" s="355" t="s">
        <v>371</v>
      </c>
      <c r="B72" s="355"/>
      <c r="C72" s="355"/>
      <c r="D72" s="341" t="s">
        <v>198</v>
      </c>
      <c r="E72" s="342"/>
      <c r="F72" s="342"/>
      <c r="G72" s="342"/>
      <c r="H72" s="342"/>
      <c r="I72" s="342"/>
      <c r="J72" s="342"/>
      <c r="K72" s="342"/>
      <c r="L72" s="342"/>
      <c r="M72" s="342"/>
      <c r="N72" s="342"/>
      <c r="O72" s="342"/>
      <c r="P72" s="342"/>
      <c r="Q72" s="342"/>
      <c r="R72" s="342"/>
      <c r="S72" s="342"/>
      <c r="T72" s="342"/>
      <c r="U72" s="342"/>
      <c r="V72" s="342"/>
      <c r="W72" s="342"/>
      <c r="X72" s="342"/>
      <c r="Y72" s="342"/>
      <c r="Z72" s="342"/>
      <c r="AA72" s="342"/>
      <c r="AB72" s="342"/>
      <c r="AC72" s="342"/>
      <c r="AD72" s="342"/>
      <c r="AE72" s="342"/>
      <c r="AF72" s="342"/>
      <c r="AG72" s="342"/>
      <c r="AH72" s="342"/>
      <c r="AI72" s="342"/>
      <c r="AJ72" s="342"/>
      <c r="AK72" s="342"/>
      <c r="AL72" s="342"/>
      <c r="AM72" s="342"/>
      <c r="AN72" s="342"/>
      <c r="AO72" s="342"/>
      <c r="AP72" s="342"/>
      <c r="AQ72" s="342"/>
      <c r="AR72" s="342"/>
      <c r="AS72" s="342"/>
      <c r="AT72" s="342"/>
      <c r="AU72" s="342"/>
      <c r="AV72" s="342"/>
      <c r="AW72" s="342"/>
      <c r="AX72" s="342"/>
      <c r="AY72" s="342"/>
      <c r="AZ72" s="342"/>
      <c r="BA72" s="342"/>
      <c r="BB72" s="342"/>
      <c r="BC72" s="342"/>
      <c r="BD72" s="342"/>
      <c r="BE72" s="342"/>
      <c r="BF72" s="342"/>
      <c r="BG72" s="342"/>
      <c r="BH72" s="342"/>
    </row>
    <row r="73" spans="1:63" s="78" customFormat="1" ht="89.25" customHeight="1">
      <c r="A73" s="335" t="s">
        <v>372</v>
      </c>
      <c r="B73" s="335"/>
      <c r="C73" s="335"/>
      <c r="D73" s="562"/>
      <c r="E73" s="563"/>
      <c r="F73" s="563"/>
      <c r="G73" s="563"/>
      <c r="H73" s="563"/>
      <c r="I73" s="563"/>
      <c r="J73" s="563"/>
      <c r="K73" s="563"/>
      <c r="L73" s="563"/>
      <c r="M73" s="563"/>
      <c r="N73" s="563"/>
      <c r="O73" s="563"/>
      <c r="P73" s="563"/>
      <c r="Q73" s="563"/>
      <c r="R73" s="563"/>
      <c r="S73" s="563"/>
      <c r="T73" s="563"/>
      <c r="U73" s="563"/>
      <c r="V73" s="563"/>
      <c r="W73" s="563"/>
      <c r="X73" s="563"/>
      <c r="Y73" s="563"/>
      <c r="Z73" s="563"/>
      <c r="AA73" s="563"/>
      <c r="AB73" s="563"/>
      <c r="AC73" s="563"/>
      <c r="AD73" s="563"/>
      <c r="AE73" s="563"/>
      <c r="AF73" s="563"/>
      <c r="AG73" s="563"/>
      <c r="AH73" s="563"/>
      <c r="AI73" s="563"/>
      <c r="AJ73" s="563"/>
      <c r="AK73" s="563"/>
      <c r="AL73" s="563"/>
      <c r="AM73" s="563"/>
      <c r="AN73" s="563"/>
      <c r="AO73" s="563"/>
      <c r="AP73" s="563"/>
      <c r="AQ73" s="563"/>
      <c r="AR73" s="563"/>
      <c r="AS73" s="563"/>
      <c r="AT73" s="563"/>
      <c r="AU73" s="563"/>
      <c r="AV73" s="563"/>
      <c r="AW73" s="563"/>
      <c r="AX73" s="563"/>
      <c r="AY73" s="563"/>
      <c r="AZ73" s="563"/>
      <c r="BA73" s="563"/>
      <c r="BB73" s="563"/>
      <c r="BC73" s="563"/>
      <c r="BD73" s="563"/>
      <c r="BE73" s="563"/>
      <c r="BF73" s="563"/>
      <c r="BG73" s="563"/>
      <c r="BH73" s="563"/>
      <c r="BK73" s="88"/>
    </row>
    <row r="74" spans="1:63" s="78" customFormat="1" ht="12.75" customHeight="1">
      <c r="D74" s="194"/>
      <c r="BK74" s="88"/>
    </row>
    <row r="75" spans="1:63" s="78" customFormat="1" ht="12.75" customHeight="1">
      <c r="D75" s="194"/>
      <c r="BK75" s="88"/>
    </row>
    <row r="76" spans="1:63" s="78" customFormat="1" ht="12.75" customHeight="1">
      <c r="D76" s="194"/>
      <c r="BK76" s="88"/>
    </row>
    <row r="77" spans="1:63" s="78" customFormat="1" ht="12.75" customHeight="1">
      <c r="D77" s="194"/>
      <c r="BK77" s="88"/>
    </row>
    <row r="78" spans="1:63" s="78" customFormat="1" ht="12.75" customHeight="1">
      <c r="D78" s="194"/>
      <c r="BK78" s="88"/>
    </row>
    <row r="79" spans="1:63" s="78" customFormat="1" ht="12.75" customHeight="1">
      <c r="BK79" s="88"/>
    </row>
    <row r="80" spans="1:63" s="78" customFormat="1" ht="18">
      <c r="A80" s="156"/>
      <c r="B80" s="88"/>
      <c r="C80" s="88"/>
      <c r="D80" s="155" t="s">
        <v>49</v>
      </c>
      <c r="E80" s="88"/>
      <c r="BK80" s="88"/>
    </row>
    <row r="81" spans="1:63" s="78" customFormat="1">
      <c r="A81" s="156"/>
      <c r="B81" s="88"/>
      <c r="C81" s="88"/>
      <c r="D81" s="88"/>
      <c r="E81" s="88"/>
      <c r="BK81" s="88"/>
    </row>
    <row r="82" spans="1:63" s="78" customFormat="1">
      <c r="A82" s="156"/>
      <c r="B82" s="88"/>
      <c r="C82" s="88"/>
      <c r="D82" s="88"/>
      <c r="E82" s="88"/>
      <c r="H82" s="215" t="s">
        <v>50</v>
      </c>
      <c r="BK82" s="88"/>
    </row>
    <row r="83" spans="1:63" s="78" customFormat="1">
      <c r="A83" s="156"/>
      <c r="B83" s="88"/>
      <c r="C83" s="88"/>
      <c r="D83" s="88"/>
      <c r="E83" s="88"/>
      <c r="L83" s="360" t="s">
        <v>119</v>
      </c>
      <c r="M83" s="360"/>
      <c r="N83" s="360"/>
      <c r="O83" s="360"/>
      <c r="P83" s="360"/>
      <c r="Q83" s="360"/>
      <c r="R83" s="360"/>
      <c r="S83" s="360"/>
      <c r="T83" s="360"/>
      <c r="U83" s="360"/>
      <c r="V83" s="360"/>
      <c r="W83" s="360"/>
      <c r="X83" s="360"/>
      <c r="Y83" s="360"/>
      <c r="Z83" s="360"/>
      <c r="AA83" s="360"/>
      <c r="AB83" s="350">
        <v>0.1875</v>
      </c>
      <c r="AC83" s="576"/>
      <c r="AD83" s="576"/>
      <c r="AE83" s="576"/>
      <c r="BK83" s="88"/>
    </row>
    <row r="84" spans="1:63" s="78" customFormat="1">
      <c r="A84" s="156"/>
      <c r="B84" s="88"/>
      <c r="C84" s="88"/>
      <c r="D84" s="88"/>
      <c r="E84" s="88"/>
      <c r="L84" s="359" t="s">
        <v>118</v>
      </c>
      <c r="M84" s="359"/>
      <c r="N84" s="359"/>
      <c r="O84" s="359"/>
      <c r="P84" s="359"/>
      <c r="Q84" s="359"/>
      <c r="R84" s="359"/>
      <c r="S84" s="359"/>
      <c r="T84" s="359"/>
      <c r="U84" s="359"/>
      <c r="V84" s="359"/>
      <c r="W84" s="359"/>
      <c r="X84" s="359"/>
      <c r="Y84" s="359"/>
      <c r="Z84" s="350">
        <v>0.8125</v>
      </c>
      <c r="AA84" s="350"/>
      <c r="AB84" s="350"/>
      <c r="AC84" s="350"/>
      <c r="AE84" s="206"/>
      <c r="AF84" s="206"/>
      <c r="AG84" s="206"/>
      <c r="AH84" s="206"/>
      <c r="AI84" s="206"/>
      <c r="AJ84" s="206"/>
      <c r="AK84" s="206"/>
      <c r="AL84" s="206"/>
      <c r="AM84" s="206"/>
      <c r="AN84" s="206"/>
      <c r="AO84" s="206"/>
      <c r="AP84" s="206"/>
      <c r="AQ84" s="206"/>
      <c r="AR84" s="206"/>
      <c r="AS84" s="206"/>
      <c r="AT84" s="206"/>
      <c r="AU84" s="206"/>
      <c r="AV84" s="206"/>
      <c r="AW84" s="206"/>
      <c r="AX84" s="206"/>
      <c r="AY84" s="206"/>
      <c r="AZ84" s="206"/>
      <c r="BA84" s="206"/>
      <c r="BB84" s="206"/>
      <c r="BC84" s="206"/>
      <c r="BD84" s="206"/>
      <c r="BE84" s="206"/>
      <c r="BF84" s="206"/>
      <c r="BK84" s="88"/>
    </row>
    <row r="85" spans="1:63" s="78" customFormat="1" ht="33.75" customHeight="1">
      <c r="A85" s="156"/>
      <c r="B85" s="88"/>
      <c r="C85" s="88"/>
      <c r="D85" s="88"/>
      <c r="E85" s="88"/>
      <c r="L85" s="207"/>
      <c r="M85" s="207"/>
      <c r="N85" s="207"/>
      <c r="O85" s="207"/>
      <c r="P85" s="207"/>
      <c r="Q85" s="207"/>
      <c r="R85" s="207"/>
      <c r="S85" s="207"/>
      <c r="T85" s="207"/>
      <c r="U85" s="207"/>
      <c r="V85" s="207"/>
      <c r="W85" s="207"/>
      <c r="X85" s="207"/>
      <c r="Y85" s="207"/>
      <c r="Z85" s="208"/>
      <c r="AA85" s="208"/>
      <c r="AB85" s="208"/>
      <c r="AC85" s="208"/>
      <c r="AD85" s="216"/>
      <c r="AE85" s="216"/>
      <c r="BK85" s="88"/>
    </row>
    <row r="86" spans="1:63" s="78" customFormat="1">
      <c r="A86" s="156"/>
      <c r="B86" s="88"/>
      <c r="C86" s="88"/>
      <c r="D86" s="88"/>
      <c r="E86" s="88"/>
      <c r="H86" s="215" t="s">
        <v>367</v>
      </c>
      <c r="BK86" s="88"/>
    </row>
    <row r="87" spans="1:63" s="78" customFormat="1">
      <c r="A87" s="156"/>
      <c r="B87" s="88"/>
      <c r="C87" s="88"/>
      <c r="D87" s="88"/>
      <c r="E87" s="88"/>
      <c r="H87" s="361" t="s">
        <v>51</v>
      </c>
      <c r="I87" s="361"/>
      <c r="J87" s="361"/>
      <c r="K87" s="361"/>
      <c r="L87" s="361"/>
      <c r="BK87" s="88"/>
    </row>
    <row r="88" spans="1:63" s="78" customFormat="1">
      <c r="A88" s="156"/>
      <c r="B88" s="88"/>
      <c r="C88" s="88"/>
      <c r="D88" s="88"/>
      <c r="E88" s="88"/>
      <c r="L88" s="336" t="s">
        <v>494</v>
      </c>
      <c r="M88" s="336"/>
      <c r="N88" s="336"/>
      <c r="O88" s="336"/>
      <c r="P88" s="336"/>
      <c r="Q88" s="336"/>
      <c r="R88" s="336"/>
      <c r="S88" s="336"/>
      <c r="T88" s="336"/>
      <c r="U88" s="336"/>
      <c r="V88" s="336"/>
      <c r="W88" s="336"/>
      <c r="X88" s="336"/>
      <c r="Y88" s="336"/>
      <c r="Z88" s="336"/>
      <c r="AA88" s="336"/>
      <c r="AB88" s="336"/>
      <c r="AC88" s="336"/>
      <c r="AD88" s="336"/>
      <c r="AE88" s="336"/>
      <c r="AF88" s="336"/>
      <c r="AG88" s="336"/>
      <c r="AH88" s="336"/>
      <c r="AI88" s="336"/>
      <c r="AJ88" s="336"/>
      <c r="AK88" s="336"/>
      <c r="AL88" s="336"/>
      <c r="AM88" s="336"/>
      <c r="AN88" s="336"/>
      <c r="AO88" s="336"/>
      <c r="AP88" s="336"/>
      <c r="AQ88" s="336"/>
      <c r="AR88" s="336"/>
      <c r="AS88" s="336"/>
      <c r="AT88" s="336"/>
      <c r="AU88" s="336"/>
      <c r="AV88" s="336"/>
      <c r="AW88" s="336"/>
      <c r="AX88" s="336"/>
      <c r="AY88" s="336"/>
      <c r="AZ88" s="336"/>
      <c r="BA88" s="336"/>
      <c r="BB88" s="336"/>
      <c r="BC88" s="336"/>
      <c r="BD88" s="336"/>
      <c r="BE88" s="336"/>
      <c r="BF88" s="336"/>
      <c r="BG88" s="336"/>
      <c r="BH88" s="336"/>
      <c r="BI88" s="336"/>
      <c r="BJ88" s="336"/>
      <c r="BK88" s="336"/>
    </row>
    <row r="89" spans="1:63" s="78" customFormat="1">
      <c r="A89" s="156"/>
      <c r="B89" s="88"/>
      <c r="C89" s="88"/>
      <c r="D89" s="88"/>
      <c r="E89" s="88"/>
      <c r="L89" s="395" t="s">
        <v>497</v>
      </c>
      <c r="M89" s="395"/>
      <c r="N89" s="395"/>
      <c r="O89" s="395"/>
      <c r="P89" s="395"/>
      <c r="Q89" s="395"/>
      <c r="R89" s="395"/>
      <c r="S89" s="395"/>
      <c r="T89" s="395"/>
      <c r="U89" s="395"/>
      <c r="V89" s="395"/>
      <c r="W89" s="395"/>
      <c r="X89" s="395"/>
      <c r="Y89" s="395"/>
      <c r="Z89" s="395"/>
      <c r="AA89" s="395"/>
      <c r="AB89" s="395"/>
      <c r="AC89" s="395"/>
      <c r="AD89" s="395"/>
      <c r="AE89" s="395"/>
      <c r="AF89" s="395"/>
      <c r="AG89" s="395"/>
      <c r="AH89" s="395"/>
      <c r="AI89" s="395"/>
      <c r="AJ89" s="395"/>
      <c r="AK89" s="395"/>
      <c r="AL89" s="395"/>
      <c r="AM89" s="395"/>
      <c r="AN89" s="395"/>
      <c r="AO89" s="395"/>
      <c r="AP89" s="395"/>
      <c r="AQ89" s="395"/>
      <c r="AR89" s="395"/>
      <c r="AS89" s="395"/>
      <c r="AT89" s="395"/>
      <c r="AU89" s="395"/>
      <c r="AV89" s="395"/>
      <c r="AW89" s="395"/>
      <c r="AX89" s="395"/>
      <c r="AY89" s="395"/>
      <c r="AZ89" s="395"/>
      <c r="BA89" s="395"/>
      <c r="BB89" s="395"/>
      <c r="BC89" s="395"/>
      <c r="BD89" s="395"/>
      <c r="BE89" s="395"/>
      <c r="BF89" s="395"/>
      <c r="BG89" s="395"/>
      <c r="BH89" s="395"/>
      <c r="BI89" s="395"/>
      <c r="BJ89" s="395"/>
      <c r="BK89" s="395"/>
    </row>
    <row r="90" spans="1:63" s="78" customFormat="1" ht="15" customHeight="1">
      <c r="A90" s="156"/>
      <c r="B90" s="88"/>
      <c r="C90" s="88"/>
      <c r="D90" s="88"/>
      <c r="E90" s="88"/>
      <c r="L90" s="395" t="s">
        <v>496</v>
      </c>
      <c r="M90" s="395"/>
      <c r="N90" s="395"/>
      <c r="O90" s="395"/>
      <c r="P90" s="395"/>
      <c r="Q90" s="395"/>
      <c r="R90" s="395"/>
      <c r="S90" s="395"/>
      <c r="T90" s="395"/>
      <c r="U90" s="395"/>
      <c r="V90" s="395"/>
      <c r="W90" s="395"/>
      <c r="X90" s="395"/>
      <c r="Y90" s="395"/>
      <c r="Z90" s="395"/>
      <c r="AA90" s="395"/>
      <c r="AB90" s="395"/>
      <c r="AC90" s="395"/>
      <c r="AD90" s="395"/>
      <c r="AE90" s="395"/>
      <c r="AF90" s="395"/>
      <c r="AG90" s="395"/>
      <c r="AH90" s="395"/>
      <c r="AI90" s="395"/>
      <c r="AJ90" s="395"/>
      <c r="AK90" s="395"/>
      <c r="AL90" s="395"/>
      <c r="AM90" s="395"/>
      <c r="AN90" s="395"/>
      <c r="AO90" s="395"/>
      <c r="AP90" s="395"/>
      <c r="AQ90" s="395"/>
      <c r="AR90" s="395"/>
      <c r="AS90" s="395"/>
      <c r="AT90" s="395"/>
      <c r="AU90" s="395"/>
      <c r="AV90" s="395"/>
      <c r="AW90" s="395"/>
      <c r="AX90" s="395"/>
      <c r="AY90" s="395"/>
      <c r="AZ90" s="395"/>
      <c r="BA90" s="395"/>
      <c r="BB90" s="395"/>
      <c r="BC90" s="395"/>
      <c r="BD90" s="395"/>
      <c r="BE90" s="395"/>
      <c r="BF90" s="395"/>
      <c r="BG90" s="395"/>
      <c r="BH90" s="395"/>
      <c r="BI90" s="395"/>
      <c r="BJ90" s="395"/>
      <c r="BK90" s="395"/>
    </row>
    <row r="91" spans="1:63" s="78" customFormat="1" ht="15" customHeight="1">
      <c r="A91" s="156"/>
      <c r="B91" s="88"/>
      <c r="C91" s="88"/>
      <c r="D91" s="88"/>
      <c r="E91" s="88"/>
      <c r="L91" s="395" t="s">
        <v>495</v>
      </c>
      <c r="M91" s="395"/>
      <c r="N91" s="395"/>
      <c r="O91" s="395"/>
      <c r="P91" s="395"/>
      <c r="Q91" s="395"/>
      <c r="R91" s="395"/>
      <c r="S91" s="395"/>
      <c r="T91" s="395"/>
      <c r="U91" s="395"/>
      <c r="V91" s="395"/>
      <c r="W91" s="395"/>
      <c r="X91" s="395"/>
      <c r="Y91" s="395"/>
      <c r="Z91" s="395"/>
      <c r="AA91" s="395"/>
      <c r="AB91" s="395"/>
      <c r="AC91" s="395"/>
      <c r="AD91" s="395"/>
      <c r="AE91" s="395"/>
      <c r="AF91" s="395"/>
      <c r="AG91" s="395"/>
      <c r="AH91" s="395"/>
      <c r="AI91" s="395"/>
      <c r="AJ91" s="395"/>
      <c r="AK91" s="395"/>
      <c r="AL91" s="395"/>
      <c r="AM91" s="395"/>
      <c r="AN91" s="395"/>
      <c r="AO91" s="395"/>
      <c r="AP91" s="395"/>
      <c r="AQ91" s="395"/>
      <c r="AR91" s="395"/>
      <c r="AS91" s="395"/>
      <c r="AT91" s="395"/>
      <c r="AU91" s="395"/>
      <c r="AV91" s="395"/>
      <c r="AW91" s="395"/>
      <c r="AX91" s="395"/>
      <c r="AY91" s="395"/>
      <c r="AZ91" s="395"/>
      <c r="BA91" s="395"/>
      <c r="BB91" s="395"/>
      <c r="BC91" s="395"/>
      <c r="BD91" s="395"/>
      <c r="BE91" s="395"/>
      <c r="BF91" s="395"/>
      <c r="BG91" s="395"/>
      <c r="BH91" s="395"/>
      <c r="BI91" s="395"/>
      <c r="BJ91" s="395"/>
      <c r="BK91" s="395"/>
    </row>
    <row r="92" spans="1:63" s="78" customFormat="1">
      <c r="A92" s="156"/>
      <c r="B92" s="88"/>
      <c r="C92" s="88"/>
      <c r="D92" s="88"/>
      <c r="E92" s="88"/>
      <c r="BK92" s="88"/>
    </row>
    <row r="93" spans="1:63" s="78" customFormat="1">
      <c r="A93" s="156"/>
      <c r="B93" s="88"/>
      <c r="C93" s="88"/>
      <c r="D93" s="88"/>
      <c r="E93" s="88"/>
      <c r="H93" s="209" t="s">
        <v>414</v>
      </c>
      <c r="I93" s="209"/>
      <c r="J93" s="209"/>
      <c r="K93" s="209"/>
      <c r="L93" s="209"/>
      <c r="M93" s="210"/>
      <c r="N93" s="210"/>
      <c r="O93" s="210"/>
      <c r="P93" s="210"/>
      <c r="Q93" s="210"/>
      <c r="R93" s="210"/>
      <c r="S93" s="210"/>
      <c r="T93" s="210"/>
      <c r="U93" s="210"/>
      <c r="V93" s="210"/>
      <c r="W93" s="210"/>
      <c r="X93" s="210"/>
      <c r="Y93" s="210"/>
      <c r="Z93" s="210"/>
      <c r="AA93" s="210"/>
      <c r="AB93" s="210"/>
      <c r="AC93" s="210"/>
      <c r="AD93" s="210"/>
      <c r="AE93" s="210"/>
      <c r="AF93" s="210"/>
      <c r="AG93" s="210"/>
      <c r="AH93" s="210"/>
      <c r="AI93" s="210"/>
      <c r="AJ93" s="210"/>
      <c r="AK93" s="210"/>
      <c r="AL93" s="210"/>
      <c r="AM93" s="210"/>
      <c r="AN93" s="210"/>
      <c r="AO93" s="210"/>
      <c r="BK93" s="88"/>
    </row>
    <row r="94" spans="1:63" s="78" customFormat="1" ht="15" customHeight="1">
      <c r="A94" s="156"/>
      <c r="B94" s="88"/>
      <c r="C94" s="88"/>
      <c r="D94" s="88"/>
      <c r="E94" s="88"/>
      <c r="H94" s="210"/>
      <c r="I94" s="210"/>
      <c r="J94" s="210"/>
      <c r="K94" s="210"/>
      <c r="L94" s="336" t="s">
        <v>494</v>
      </c>
      <c r="M94" s="336"/>
      <c r="N94" s="336"/>
      <c r="O94" s="336"/>
      <c r="P94" s="336"/>
      <c r="Q94" s="336"/>
      <c r="R94" s="336"/>
      <c r="S94" s="336"/>
      <c r="T94" s="336"/>
      <c r="U94" s="336"/>
      <c r="V94" s="336"/>
      <c r="W94" s="336"/>
      <c r="X94" s="336"/>
      <c r="Y94" s="336"/>
      <c r="Z94" s="336"/>
      <c r="AA94" s="336"/>
      <c r="AB94" s="336"/>
      <c r="AC94" s="336"/>
      <c r="AD94" s="336"/>
      <c r="AE94" s="336"/>
      <c r="AF94" s="336"/>
      <c r="AG94" s="336"/>
      <c r="AH94" s="336"/>
      <c r="AI94" s="336"/>
      <c r="AJ94" s="336"/>
      <c r="AK94" s="336"/>
      <c r="AL94" s="336"/>
      <c r="AM94" s="336"/>
      <c r="AN94" s="336"/>
      <c r="AO94" s="336"/>
      <c r="AP94" s="336"/>
      <c r="AQ94" s="336"/>
      <c r="AR94" s="336"/>
      <c r="AS94" s="336"/>
      <c r="AT94" s="336"/>
      <c r="AU94" s="336"/>
      <c r="AV94" s="336"/>
      <c r="AW94" s="336"/>
      <c r="AX94" s="336"/>
      <c r="AY94" s="336"/>
      <c r="AZ94" s="336"/>
      <c r="BA94" s="336"/>
      <c r="BB94" s="336"/>
      <c r="BC94" s="336"/>
      <c r="BD94" s="336"/>
      <c r="BE94" s="336"/>
      <c r="BF94" s="336"/>
      <c r="BG94" s="336"/>
      <c r="BH94" s="336"/>
      <c r="BI94" s="336"/>
      <c r="BJ94" s="336"/>
      <c r="BK94" s="336"/>
    </row>
    <row r="95" spans="1:63" s="78" customFormat="1">
      <c r="A95" s="156"/>
      <c r="B95" s="88"/>
      <c r="C95" s="88"/>
      <c r="D95" s="88"/>
      <c r="E95" s="88"/>
      <c r="H95" s="210"/>
      <c r="I95" s="210"/>
      <c r="J95" s="210"/>
      <c r="K95" s="210"/>
      <c r="L95" s="395" t="s">
        <v>498</v>
      </c>
      <c r="M95" s="395"/>
      <c r="N95" s="395"/>
      <c r="O95" s="395"/>
      <c r="P95" s="395"/>
      <c r="Q95" s="395"/>
      <c r="R95" s="395"/>
      <c r="S95" s="395"/>
      <c r="T95" s="395"/>
      <c r="U95" s="395"/>
      <c r="V95" s="395"/>
      <c r="W95" s="395"/>
      <c r="X95" s="395"/>
      <c r="Y95" s="395"/>
      <c r="Z95" s="395"/>
      <c r="AA95" s="395"/>
      <c r="AB95" s="395"/>
      <c r="AC95" s="395"/>
      <c r="AD95" s="395"/>
      <c r="AE95" s="395"/>
      <c r="AF95" s="395"/>
      <c r="AG95" s="395"/>
      <c r="AH95" s="395"/>
      <c r="AI95" s="395"/>
      <c r="AJ95" s="395"/>
      <c r="AK95" s="395"/>
      <c r="AL95" s="395"/>
      <c r="AM95" s="395"/>
      <c r="AN95" s="395"/>
      <c r="AO95" s="395"/>
      <c r="AP95" s="395"/>
      <c r="AQ95" s="395"/>
      <c r="AR95" s="395"/>
      <c r="AS95" s="395"/>
      <c r="AT95" s="395"/>
      <c r="AU95" s="395"/>
      <c r="AV95" s="395"/>
      <c r="AW95" s="395"/>
      <c r="AX95" s="395"/>
      <c r="AY95" s="395"/>
      <c r="AZ95" s="395"/>
      <c r="BA95" s="395"/>
      <c r="BB95" s="395"/>
      <c r="BC95" s="395"/>
      <c r="BD95" s="395"/>
      <c r="BE95" s="395"/>
      <c r="BF95" s="395"/>
      <c r="BG95" s="395"/>
      <c r="BH95" s="395"/>
      <c r="BI95" s="395"/>
      <c r="BJ95" s="395"/>
      <c r="BK95" s="395"/>
    </row>
    <row r="96" spans="1:63" s="78" customFormat="1">
      <c r="A96" s="156"/>
      <c r="B96" s="88"/>
      <c r="C96" s="88"/>
      <c r="D96" s="88"/>
      <c r="E96" s="88"/>
      <c r="H96" s="210"/>
      <c r="I96" s="210"/>
      <c r="J96" s="210"/>
      <c r="K96" s="210"/>
      <c r="L96" s="395" t="s">
        <v>496</v>
      </c>
      <c r="M96" s="395"/>
      <c r="N96" s="395"/>
      <c r="O96" s="395"/>
      <c r="P96" s="395"/>
      <c r="Q96" s="395"/>
      <c r="R96" s="395"/>
      <c r="S96" s="395"/>
      <c r="T96" s="395"/>
      <c r="U96" s="395"/>
      <c r="V96" s="395"/>
      <c r="W96" s="395"/>
      <c r="X96" s="395"/>
      <c r="Y96" s="395"/>
      <c r="Z96" s="395"/>
      <c r="AA96" s="395"/>
      <c r="AB96" s="395"/>
      <c r="AC96" s="395"/>
      <c r="AD96" s="395"/>
      <c r="AE96" s="395"/>
      <c r="AF96" s="395"/>
      <c r="AG96" s="395"/>
      <c r="AH96" s="395"/>
      <c r="AI96" s="395"/>
      <c r="AJ96" s="395"/>
      <c r="AK96" s="395"/>
      <c r="AL96" s="395"/>
      <c r="AM96" s="395"/>
      <c r="AN96" s="395"/>
      <c r="AO96" s="395"/>
      <c r="AP96" s="395"/>
      <c r="AQ96" s="395"/>
      <c r="AR96" s="395"/>
      <c r="AS96" s="395"/>
      <c r="AT96" s="395"/>
      <c r="AU96" s="395"/>
      <c r="AV96" s="395"/>
      <c r="AW96" s="395"/>
      <c r="AX96" s="395"/>
      <c r="AY96" s="395"/>
      <c r="AZ96" s="395"/>
      <c r="BA96" s="395"/>
      <c r="BB96" s="395"/>
      <c r="BC96" s="395"/>
      <c r="BD96" s="395"/>
      <c r="BE96" s="395"/>
      <c r="BF96" s="395"/>
      <c r="BG96" s="395"/>
      <c r="BH96" s="395"/>
      <c r="BI96" s="395"/>
      <c r="BJ96" s="395"/>
      <c r="BK96" s="395"/>
    </row>
    <row r="97" spans="1:63" s="78" customFormat="1">
      <c r="A97" s="156"/>
      <c r="B97" s="88"/>
      <c r="C97" s="88"/>
      <c r="D97" s="88"/>
      <c r="E97" s="88"/>
      <c r="H97" s="210"/>
      <c r="I97" s="210"/>
      <c r="J97" s="210"/>
      <c r="K97" s="210"/>
      <c r="L97" s="395" t="s">
        <v>495</v>
      </c>
      <c r="M97" s="395"/>
      <c r="N97" s="395"/>
      <c r="O97" s="395"/>
      <c r="P97" s="395"/>
      <c r="Q97" s="395"/>
      <c r="R97" s="395"/>
      <c r="S97" s="395"/>
      <c r="T97" s="395"/>
      <c r="U97" s="395"/>
      <c r="V97" s="395"/>
      <c r="W97" s="395"/>
      <c r="X97" s="395"/>
      <c r="Y97" s="395"/>
      <c r="Z97" s="395"/>
      <c r="AA97" s="395"/>
      <c r="AB97" s="395"/>
      <c r="AC97" s="395"/>
      <c r="AD97" s="395"/>
      <c r="AE97" s="395"/>
      <c r="AF97" s="395"/>
      <c r="AG97" s="395"/>
      <c r="AH97" s="395"/>
      <c r="AI97" s="395"/>
      <c r="AJ97" s="395"/>
      <c r="AK97" s="395"/>
      <c r="AL97" s="395"/>
      <c r="AM97" s="395"/>
      <c r="AN97" s="395"/>
      <c r="AO97" s="395"/>
      <c r="AP97" s="395"/>
      <c r="AQ97" s="395"/>
      <c r="AR97" s="395"/>
      <c r="AS97" s="395"/>
      <c r="AT97" s="395"/>
      <c r="AU97" s="395"/>
      <c r="AV97" s="395"/>
      <c r="AW97" s="395"/>
      <c r="AX97" s="395"/>
      <c r="AY97" s="395"/>
      <c r="AZ97" s="395"/>
      <c r="BA97" s="395"/>
      <c r="BB97" s="395"/>
      <c r="BC97" s="395"/>
      <c r="BD97" s="395"/>
      <c r="BE97" s="395"/>
      <c r="BF97" s="395"/>
      <c r="BG97" s="395"/>
      <c r="BH97" s="395"/>
      <c r="BI97" s="395"/>
      <c r="BJ97" s="395"/>
      <c r="BK97" s="395"/>
    </row>
    <row r="98" spans="1:63" s="78" customFormat="1">
      <c r="A98" s="156"/>
      <c r="B98" s="88"/>
      <c r="C98" s="88"/>
      <c r="D98" s="88"/>
      <c r="E98" s="88"/>
      <c r="H98" s="210"/>
      <c r="I98" s="210"/>
      <c r="J98" s="210"/>
      <c r="K98" s="210"/>
      <c r="L98" s="215"/>
      <c r="M98" s="215"/>
      <c r="N98" s="215"/>
      <c r="O98" s="215"/>
      <c r="P98" s="215"/>
      <c r="Q98" s="215"/>
      <c r="R98" s="215"/>
      <c r="S98" s="215"/>
      <c r="T98" s="215"/>
      <c r="U98" s="215"/>
      <c r="V98" s="215"/>
      <c r="W98" s="215"/>
      <c r="X98" s="215"/>
      <c r="Y98" s="215"/>
      <c r="Z98" s="215"/>
      <c r="AA98" s="215"/>
      <c r="AB98" s="215"/>
      <c r="AC98" s="215"/>
      <c r="AD98" s="215"/>
      <c r="AE98" s="215"/>
      <c r="AF98" s="215"/>
      <c r="AG98" s="215"/>
      <c r="AH98" s="215"/>
      <c r="AI98" s="215"/>
      <c r="AJ98" s="215"/>
      <c r="AK98" s="215"/>
      <c r="AL98" s="215"/>
      <c r="AM98" s="215"/>
      <c r="AN98" s="215"/>
      <c r="AO98" s="215"/>
      <c r="AP98" s="215"/>
      <c r="AQ98" s="215"/>
      <c r="AR98" s="215"/>
      <c r="AS98" s="215"/>
      <c r="AT98" s="215"/>
      <c r="AU98" s="215"/>
      <c r="AV98" s="215"/>
      <c r="AW98" s="215"/>
      <c r="AX98" s="215"/>
      <c r="AY98" s="215"/>
      <c r="AZ98" s="215"/>
      <c r="BA98" s="215"/>
      <c r="BB98" s="215"/>
      <c r="BC98" s="215"/>
      <c r="BD98" s="215"/>
      <c r="BE98" s="215"/>
      <c r="BF98" s="215"/>
      <c r="BG98" s="215"/>
      <c r="BH98" s="215"/>
      <c r="BI98" s="215"/>
      <c r="BJ98" s="215"/>
      <c r="BK98" s="215"/>
    </row>
    <row r="99" spans="1:63" s="78" customFormat="1" ht="39" customHeight="1">
      <c r="A99" s="156"/>
      <c r="B99" s="88"/>
      <c r="C99" s="88"/>
      <c r="D99" s="88"/>
      <c r="E99" s="88"/>
      <c r="L99" s="187"/>
      <c r="M99" s="187"/>
      <c r="N99" s="187"/>
      <c r="O99" s="187"/>
      <c r="P99" s="187"/>
      <c r="Q99" s="187"/>
      <c r="R99" s="187"/>
      <c r="S99" s="187"/>
      <c r="T99" s="187"/>
      <c r="U99" s="187"/>
      <c r="V99" s="187"/>
      <c r="W99" s="187"/>
      <c r="X99" s="187"/>
      <c r="Y99" s="187"/>
      <c r="Z99" s="187"/>
      <c r="AA99" s="187"/>
      <c r="AB99" s="187"/>
      <c r="AC99" s="187"/>
      <c r="AD99" s="187"/>
      <c r="AE99" s="187"/>
      <c r="AF99" s="187"/>
      <c r="AG99" s="187"/>
      <c r="AH99" s="187"/>
      <c r="AI99" s="187"/>
      <c r="AJ99" s="187"/>
      <c r="AK99" s="187"/>
      <c r="AL99" s="187"/>
      <c r="AM99" s="187"/>
      <c r="AN99" s="187"/>
      <c r="AO99" s="187"/>
      <c r="AP99" s="187"/>
      <c r="AQ99" s="187"/>
      <c r="AR99" s="187"/>
      <c r="AS99" s="187"/>
      <c r="AT99" s="187"/>
      <c r="AU99" s="187"/>
      <c r="AV99" s="187"/>
      <c r="AW99" s="187"/>
      <c r="AX99" s="187"/>
      <c r="AY99" s="187"/>
      <c r="AZ99" s="187"/>
      <c r="BA99" s="187"/>
      <c r="BB99" s="187"/>
      <c r="BC99" s="187"/>
      <c r="BD99" s="187"/>
      <c r="BE99" s="187"/>
      <c r="BF99" s="187"/>
      <c r="BG99" s="187"/>
      <c r="BH99" s="187"/>
      <c r="BI99" s="187"/>
      <c r="BJ99" s="187"/>
      <c r="BK99" s="187"/>
    </row>
    <row r="100" spans="1:63" ht="18">
      <c r="A100" s="78"/>
      <c r="D100" s="428" t="s">
        <v>189</v>
      </c>
      <c r="E100" s="428"/>
      <c r="F100" s="428"/>
      <c r="G100" s="428"/>
      <c r="H100" s="428"/>
      <c r="I100" s="428"/>
      <c r="J100" s="428"/>
      <c r="K100" s="428"/>
      <c r="L100" s="428"/>
      <c r="M100" s="428"/>
      <c r="N100" s="428"/>
      <c r="O100" s="428"/>
      <c r="P100" s="428"/>
      <c r="Q100" s="428"/>
      <c r="R100" s="428"/>
    </row>
    <row r="101" spans="1:63">
      <c r="A101" s="78"/>
    </row>
    <row r="102" spans="1:63">
      <c r="A102" s="78"/>
      <c r="L102" s="427" t="s">
        <v>122</v>
      </c>
      <c r="M102" s="427"/>
      <c r="N102" s="427"/>
      <c r="O102" s="427"/>
      <c r="P102" s="427"/>
      <c r="Q102" s="427"/>
      <c r="R102" s="427"/>
      <c r="S102" s="427"/>
      <c r="T102" s="427"/>
      <c r="U102" s="427"/>
      <c r="V102" s="427"/>
      <c r="W102" s="427"/>
      <c r="X102" s="427"/>
      <c r="Y102" s="427"/>
      <c r="Z102" s="427"/>
      <c r="AA102" s="427"/>
      <c r="AB102" s="427"/>
      <c r="AC102" s="427"/>
      <c r="AD102" s="427"/>
      <c r="AE102" s="427"/>
      <c r="AF102" s="427"/>
      <c r="AG102" s="427"/>
      <c r="AH102" s="427"/>
      <c r="AI102" s="427"/>
      <c r="AJ102" s="427"/>
      <c r="AK102" s="427"/>
      <c r="AL102" s="427"/>
      <c r="AM102" s="427"/>
      <c r="AN102" s="427"/>
      <c r="AO102" s="427"/>
      <c r="AP102" s="427"/>
      <c r="AQ102" s="427"/>
      <c r="AR102" s="427"/>
      <c r="AS102" s="427"/>
      <c r="AT102" s="427"/>
      <c r="AU102" s="427"/>
      <c r="AV102" s="427"/>
      <c r="AW102" s="427"/>
      <c r="AX102" s="427"/>
      <c r="AY102" s="427"/>
    </row>
    <row r="103" spans="1:63">
      <c r="A103" s="78"/>
      <c r="L103" s="402"/>
      <c r="M103" s="403"/>
      <c r="N103" s="403"/>
      <c r="O103" s="403"/>
      <c r="P103" s="403"/>
      <c r="Q103" s="403"/>
      <c r="R103" s="403"/>
      <c r="S103" s="403"/>
      <c r="T103" s="403"/>
      <c r="U103" s="403"/>
      <c r="V103" s="403"/>
      <c r="W103" s="403"/>
      <c r="X103" s="403"/>
      <c r="Y103" s="403"/>
      <c r="Z103" s="403"/>
      <c r="AA103" s="403"/>
      <c r="AB103" s="403"/>
      <c r="AC103" s="403"/>
      <c r="AD103" s="403"/>
      <c r="AE103" s="403"/>
      <c r="AF103" s="403"/>
      <c r="AG103" s="403"/>
      <c r="AH103" s="403"/>
      <c r="AI103" s="403"/>
      <c r="AJ103" s="403"/>
      <c r="AK103" s="403"/>
      <c r="AL103" s="403"/>
      <c r="AM103" s="404"/>
      <c r="AN103" s="427" t="s">
        <v>123</v>
      </c>
      <c r="AO103" s="427"/>
      <c r="AP103" s="427"/>
      <c r="AQ103" s="427"/>
      <c r="AR103" s="427"/>
      <c r="AS103" s="427"/>
      <c r="AT103" s="424" t="s">
        <v>53</v>
      </c>
      <c r="AU103" s="425"/>
      <c r="AV103" s="425"/>
      <c r="AW103" s="425"/>
      <c r="AX103" s="425"/>
      <c r="AY103" s="426"/>
    </row>
    <row r="104" spans="1:63">
      <c r="L104" s="410" t="s">
        <v>116</v>
      </c>
      <c r="M104" s="411"/>
      <c r="N104" s="411"/>
      <c r="O104" s="411"/>
      <c r="P104" s="412"/>
      <c r="Q104" s="410" t="s">
        <v>39</v>
      </c>
      <c r="R104" s="411"/>
      <c r="S104" s="411"/>
      <c r="T104" s="411"/>
      <c r="U104" s="411"/>
      <c r="V104" s="411"/>
      <c r="W104" s="412"/>
      <c r="X104" s="391" t="s">
        <v>40</v>
      </c>
      <c r="Y104" s="392"/>
      <c r="Z104" s="392"/>
      <c r="AA104" s="392"/>
      <c r="AB104" s="392"/>
      <c r="AC104" s="392"/>
      <c r="AD104" s="392"/>
      <c r="AE104" s="392"/>
      <c r="AF104" s="392"/>
      <c r="AG104" s="392"/>
      <c r="AH104" s="392"/>
      <c r="AI104" s="392"/>
      <c r="AJ104" s="392"/>
      <c r="AK104" s="392"/>
      <c r="AL104" s="392"/>
      <c r="AM104" s="393"/>
      <c r="AN104" s="394">
        <v>1</v>
      </c>
      <c r="AO104" s="394"/>
      <c r="AP104" s="394"/>
      <c r="AQ104" s="394"/>
      <c r="AR104" s="394"/>
      <c r="AS104" s="394"/>
      <c r="AT104" s="394">
        <v>1</v>
      </c>
      <c r="AU104" s="394"/>
      <c r="AV104" s="394"/>
      <c r="AW104" s="394"/>
      <c r="AX104" s="394"/>
      <c r="AY104" s="394"/>
    </row>
    <row r="105" spans="1:63">
      <c r="L105" s="418"/>
      <c r="M105" s="267"/>
      <c r="N105" s="267"/>
      <c r="O105" s="267"/>
      <c r="P105" s="419"/>
      <c r="Q105" s="413"/>
      <c r="R105" s="414"/>
      <c r="S105" s="414"/>
      <c r="T105" s="414"/>
      <c r="U105" s="414"/>
      <c r="V105" s="414"/>
      <c r="W105" s="415"/>
      <c r="X105" s="391" t="s">
        <v>83</v>
      </c>
      <c r="Y105" s="392"/>
      <c r="Z105" s="392"/>
      <c r="AA105" s="392"/>
      <c r="AB105" s="392"/>
      <c r="AC105" s="392"/>
      <c r="AD105" s="392"/>
      <c r="AE105" s="392"/>
      <c r="AF105" s="392"/>
      <c r="AG105" s="392"/>
      <c r="AH105" s="392"/>
      <c r="AI105" s="392"/>
      <c r="AJ105" s="392"/>
      <c r="AK105" s="392"/>
      <c r="AL105" s="392"/>
      <c r="AM105" s="393"/>
      <c r="AN105" s="394">
        <v>2</v>
      </c>
      <c r="AO105" s="394"/>
      <c r="AP105" s="394"/>
      <c r="AQ105" s="394"/>
      <c r="AR105" s="394"/>
      <c r="AS105" s="394"/>
      <c r="AT105" s="394">
        <v>2</v>
      </c>
      <c r="AU105" s="394"/>
      <c r="AV105" s="394"/>
      <c r="AW105" s="394"/>
      <c r="AX105" s="394"/>
      <c r="AY105" s="394"/>
    </row>
    <row r="106" spans="1:63">
      <c r="L106" s="418"/>
      <c r="M106" s="267"/>
      <c r="N106" s="267"/>
      <c r="O106" s="267"/>
      <c r="P106" s="419"/>
      <c r="Q106" s="410" t="s">
        <v>38</v>
      </c>
      <c r="R106" s="411"/>
      <c r="S106" s="411"/>
      <c r="T106" s="411"/>
      <c r="U106" s="411"/>
      <c r="V106" s="411"/>
      <c r="W106" s="412"/>
      <c r="X106" s="391" t="s">
        <v>41</v>
      </c>
      <c r="Y106" s="392"/>
      <c r="Z106" s="392"/>
      <c r="AA106" s="392"/>
      <c r="AB106" s="392"/>
      <c r="AC106" s="392"/>
      <c r="AD106" s="392"/>
      <c r="AE106" s="392"/>
      <c r="AF106" s="392"/>
      <c r="AG106" s="392"/>
      <c r="AH106" s="392"/>
      <c r="AI106" s="392"/>
      <c r="AJ106" s="392"/>
      <c r="AK106" s="392"/>
      <c r="AL106" s="392"/>
      <c r="AM106" s="393"/>
      <c r="AN106" s="394">
        <v>1</v>
      </c>
      <c r="AO106" s="394"/>
      <c r="AP106" s="394"/>
      <c r="AQ106" s="394"/>
      <c r="AR106" s="394"/>
      <c r="AS106" s="394"/>
      <c r="AT106" s="394">
        <v>1</v>
      </c>
      <c r="AU106" s="394"/>
      <c r="AV106" s="394"/>
      <c r="AW106" s="394"/>
      <c r="AX106" s="394"/>
      <c r="AY106" s="394"/>
    </row>
    <row r="107" spans="1:63">
      <c r="L107" s="418"/>
      <c r="M107" s="267"/>
      <c r="N107" s="267"/>
      <c r="O107" s="267"/>
      <c r="P107" s="419"/>
      <c r="Q107" s="418"/>
      <c r="R107" s="267"/>
      <c r="S107" s="267"/>
      <c r="T107" s="267"/>
      <c r="U107" s="267"/>
      <c r="V107" s="267"/>
      <c r="W107" s="419"/>
      <c r="X107" s="391" t="s">
        <v>42</v>
      </c>
      <c r="Y107" s="392"/>
      <c r="Z107" s="392"/>
      <c r="AA107" s="392"/>
      <c r="AB107" s="392"/>
      <c r="AC107" s="392"/>
      <c r="AD107" s="392"/>
      <c r="AE107" s="392"/>
      <c r="AF107" s="392"/>
      <c r="AG107" s="392"/>
      <c r="AH107" s="392"/>
      <c r="AI107" s="392"/>
      <c r="AJ107" s="392"/>
      <c r="AK107" s="392"/>
      <c r="AL107" s="392"/>
      <c r="AM107" s="393"/>
      <c r="AN107" s="394">
        <v>2</v>
      </c>
      <c r="AO107" s="394"/>
      <c r="AP107" s="394"/>
      <c r="AQ107" s="394"/>
      <c r="AR107" s="394"/>
      <c r="AS107" s="394"/>
      <c r="AT107" s="394">
        <v>2</v>
      </c>
      <c r="AU107" s="394"/>
      <c r="AV107" s="394"/>
      <c r="AW107" s="394"/>
      <c r="AX107" s="394"/>
      <c r="AY107" s="394"/>
    </row>
    <row r="108" spans="1:63">
      <c r="L108" s="418"/>
      <c r="M108" s="267"/>
      <c r="N108" s="267"/>
      <c r="O108" s="267"/>
      <c r="P108" s="419"/>
      <c r="Q108" s="418"/>
      <c r="R108" s="267"/>
      <c r="S108" s="267"/>
      <c r="T108" s="267"/>
      <c r="U108" s="267"/>
      <c r="V108" s="267"/>
      <c r="W108" s="419"/>
      <c r="X108" s="391" t="s">
        <v>214</v>
      </c>
      <c r="Y108" s="392"/>
      <c r="Z108" s="392"/>
      <c r="AA108" s="392"/>
      <c r="AB108" s="392"/>
      <c r="AC108" s="392"/>
      <c r="AD108" s="392"/>
      <c r="AE108" s="392"/>
      <c r="AF108" s="392"/>
      <c r="AG108" s="392"/>
      <c r="AH108" s="392"/>
      <c r="AI108" s="392"/>
      <c r="AJ108" s="392"/>
      <c r="AK108" s="392"/>
      <c r="AL108" s="392"/>
      <c r="AM108" s="393"/>
      <c r="AN108" s="394">
        <v>1</v>
      </c>
      <c r="AO108" s="394"/>
      <c r="AP108" s="394"/>
      <c r="AQ108" s="394"/>
      <c r="AR108" s="394"/>
      <c r="AS108" s="394"/>
      <c r="AT108" s="394">
        <v>1</v>
      </c>
      <c r="AU108" s="394"/>
      <c r="AV108" s="394"/>
      <c r="AW108" s="394"/>
      <c r="AX108" s="394"/>
      <c r="AY108" s="394"/>
    </row>
    <row r="109" spans="1:63">
      <c r="L109" s="418"/>
      <c r="M109" s="267"/>
      <c r="N109" s="267"/>
      <c r="O109" s="267"/>
      <c r="P109" s="419"/>
      <c r="Q109" s="423" t="s">
        <v>21</v>
      </c>
      <c r="R109" s="423"/>
      <c r="S109" s="423"/>
      <c r="T109" s="423"/>
      <c r="U109" s="423"/>
      <c r="V109" s="423"/>
      <c r="W109" s="423"/>
      <c r="X109" s="391" t="s">
        <v>142</v>
      </c>
      <c r="Y109" s="392"/>
      <c r="Z109" s="392"/>
      <c r="AA109" s="392"/>
      <c r="AB109" s="392"/>
      <c r="AC109" s="392"/>
      <c r="AD109" s="392"/>
      <c r="AE109" s="392"/>
      <c r="AF109" s="392"/>
      <c r="AG109" s="392"/>
      <c r="AH109" s="392"/>
      <c r="AI109" s="392"/>
      <c r="AJ109" s="392"/>
      <c r="AK109" s="392"/>
      <c r="AL109" s="392"/>
      <c r="AM109" s="393"/>
      <c r="AN109" s="394">
        <v>1</v>
      </c>
      <c r="AO109" s="394"/>
      <c r="AP109" s="394"/>
      <c r="AQ109" s="394"/>
      <c r="AR109" s="394"/>
      <c r="AS109" s="394"/>
      <c r="AT109" s="394">
        <v>1</v>
      </c>
      <c r="AU109" s="394"/>
      <c r="AV109" s="394"/>
      <c r="AW109" s="394"/>
      <c r="AX109" s="394"/>
      <c r="AY109" s="394"/>
    </row>
    <row r="110" spans="1:63">
      <c r="L110" s="418"/>
      <c r="M110" s="267"/>
      <c r="N110" s="267"/>
      <c r="O110" s="267"/>
      <c r="P110" s="419"/>
      <c r="Q110" s="423"/>
      <c r="R110" s="423"/>
      <c r="S110" s="423"/>
      <c r="T110" s="423"/>
      <c r="U110" s="423"/>
      <c r="V110" s="423"/>
      <c r="W110" s="423"/>
      <c r="X110" s="391" t="s">
        <v>143</v>
      </c>
      <c r="Y110" s="392"/>
      <c r="Z110" s="392"/>
      <c r="AA110" s="392"/>
      <c r="AB110" s="392"/>
      <c r="AC110" s="392"/>
      <c r="AD110" s="392"/>
      <c r="AE110" s="392"/>
      <c r="AF110" s="392"/>
      <c r="AG110" s="392"/>
      <c r="AH110" s="392"/>
      <c r="AI110" s="392"/>
      <c r="AJ110" s="392"/>
      <c r="AK110" s="392"/>
      <c r="AL110" s="392"/>
      <c r="AM110" s="393"/>
      <c r="AN110" s="394">
        <v>1</v>
      </c>
      <c r="AO110" s="394"/>
      <c r="AP110" s="394"/>
      <c r="AQ110" s="394"/>
      <c r="AR110" s="394"/>
      <c r="AS110" s="394"/>
      <c r="AT110" s="394">
        <v>1</v>
      </c>
      <c r="AU110" s="394"/>
      <c r="AV110" s="394"/>
      <c r="AW110" s="394"/>
      <c r="AX110" s="394"/>
      <c r="AY110" s="394"/>
    </row>
    <row r="111" spans="1:63">
      <c r="L111" s="418"/>
      <c r="M111" s="267"/>
      <c r="N111" s="267"/>
      <c r="O111" s="267"/>
      <c r="P111" s="419"/>
      <c r="Q111" s="423"/>
      <c r="R111" s="423"/>
      <c r="S111" s="423"/>
      <c r="T111" s="423"/>
      <c r="U111" s="423"/>
      <c r="V111" s="423"/>
      <c r="W111" s="423"/>
      <c r="X111" s="391" t="s">
        <v>144</v>
      </c>
      <c r="Y111" s="392"/>
      <c r="Z111" s="392"/>
      <c r="AA111" s="392"/>
      <c r="AB111" s="392"/>
      <c r="AC111" s="392"/>
      <c r="AD111" s="392"/>
      <c r="AE111" s="392"/>
      <c r="AF111" s="392"/>
      <c r="AG111" s="392"/>
      <c r="AH111" s="392"/>
      <c r="AI111" s="392"/>
      <c r="AJ111" s="392"/>
      <c r="AK111" s="392"/>
      <c r="AL111" s="392"/>
      <c r="AM111" s="393"/>
      <c r="AN111" s="394">
        <v>1</v>
      </c>
      <c r="AO111" s="394"/>
      <c r="AP111" s="394"/>
      <c r="AQ111" s="394"/>
      <c r="AR111" s="394"/>
      <c r="AS111" s="394"/>
      <c r="AT111" s="394">
        <v>1</v>
      </c>
      <c r="AU111" s="394"/>
      <c r="AV111" s="394"/>
      <c r="AW111" s="394"/>
      <c r="AX111" s="394"/>
      <c r="AY111" s="394"/>
    </row>
    <row r="112" spans="1:63">
      <c r="L112" s="413"/>
      <c r="M112" s="414"/>
      <c r="N112" s="414"/>
      <c r="O112" s="414"/>
      <c r="P112" s="415"/>
      <c r="Q112" s="423"/>
      <c r="R112" s="423"/>
      <c r="S112" s="423"/>
      <c r="T112" s="423"/>
      <c r="U112" s="423"/>
      <c r="V112" s="423"/>
      <c r="W112" s="423"/>
      <c r="X112" s="391" t="s">
        <v>145</v>
      </c>
      <c r="Y112" s="392"/>
      <c r="Z112" s="392"/>
      <c r="AA112" s="392"/>
      <c r="AB112" s="392"/>
      <c r="AC112" s="392"/>
      <c r="AD112" s="392"/>
      <c r="AE112" s="392"/>
      <c r="AF112" s="392"/>
      <c r="AG112" s="392"/>
      <c r="AH112" s="392"/>
      <c r="AI112" s="392"/>
      <c r="AJ112" s="392"/>
      <c r="AK112" s="392"/>
      <c r="AL112" s="392"/>
      <c r="AM112" s="393"/>
      <c r="AN112" s="394">
        <v>1</v>
      </c>
      <c r="AO112" s="394"/>
      <c r="AP112" s="394"/>
      <c r="AQ112" s="394"/>
      <c r="AR112" s="394"/>
      <c r="AS112" s="394"/>
      <c r="AT112" s="394">
        <v>1</v>
      </c>
      <c r="AU112" s="394"/>
      <c r="AV112" s="394"/>
      <c r="AW112" s="394"/>
      <c r="AX112" s="394"/>
      <c r="AY112" s="394"/>
    </row>
    <row r="113" spans="4:63">
      <c r="K113" s="78"/>
      <c r="L113" s="395"/>
      <c r="M113" s="417"/>
      <c r="N113" s="417"/>
      <c r="O113" s="417"/>
      <c r="P113" s="417"/>
      <c r="Q113" s="417"/>
      <c r="R113" s="417"/>
      <c r="S113" s="417"/>
      <c r="T113" s="417"/>
      <c r="U113" s="417"/>
      <c r="V113" s="417"/>
      <c r="W113" s="417"/>
      <c r="X113" s="417"/>
      <c r="Y113" s="417"/>
      <c r="Z113" s="417"/>
      <c r="AA113" s="417"/>
      <c r="AB113" s="417"/>
      <c r="AC113" s="417"/>
      <c r="AD113" s="417"/>
      <c r="AE113" s="417"/>
      <c r="AF113" s="417"/>
      <c r="AG113" s="417"/>
      <c r="AH113" s="417"/>
      <c r="AI113" s="417"/>
      <c r="AJ113" s="417"/>
      <c r="AK113" s="417"/>
      <c r="AL113" s="417"/>
      <c r="AM113" s="417"/>
      <c r="AN113" s="417"/>
      <c r="AO113" s="417"/>
      <c r="AP113" s="417"/>
      <c r="AQ113" s="417"/>
      <c r="AR113" s="417"/>
      <c r="AS113" s="417"/>
      <c r="AT113" s="417"/>
      <c r="AU113" s="417"/>
      <c r="AV113" s="417"/>
      <c r="AW113" s="417"/>
      <c r="AX113" s="417"/>
      <c r="AY113" s="417"/>
      <c r="AZ113" s="417"/>
      <c r="BA113" s="417"/>
      <c r="BB113" s="417"/>
      <c r="BC113" s="417"/>
      <c r="BD113" s="417"/>
      <c r="BE113" s="417"/>
      <c r="BF113" s="417"/>
      <c r="BG113" s="417"/>
      <c r="BH113" s="417"/>
      <c r="BI113" s="417"/>
      <c r="BJ113" s="417"/>
      <c r="BK113" s="417"/>
    </row>
    <row r="114" spans="4:63" ht="15" customHeight="1">
      <c r="K114" s="78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79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79"/>
      <c r="AN114" s="96"/>
      <c r="AO114" s="96"/>
      <c r="AP114" s="96"/>
      <c r="AQ114" s="96"/>
      <c r="AR114" s="96"/>
      <c r="AS114" s="96"/>
      <c r="AT114" s="96"/>
      <c r="AU114" s="96"/>
      <c r="AV114" s="96"/>
      <c r="AW114" s="96"/>
      <c r="AX114" s="96"/>
      <c r="AY114" s="96"/>
      <c r="AZ114" s="78"/>
    </row>
    <row r="115" spans="4:63" ht="15" customHeight="1">
      <c r="K115" s="78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79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79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78"/>
    </row>
    <row r="116" spans="4:63" ht="15" customHeight="1">
      <c r="K116" s="78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79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79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78"/>
    </row>
    <row r="117" spans="4:63" ht="15" customHeight="1">
      <c r="K117" s="78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79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79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78"/>
    </row>
    <row r="118" spans="4:63" ht="15" customHeight="1">
      <c r="K118" s="78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79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</row>
    <row r="119" spans="4:63" ht="15" customHeight="1">
      <c r="K119" s="78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79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173"/>
      <c r="AO119" s="173"/>
      <c r="AP119" s="173"/>
      <c r="AQ119" s="173"/>
      <c r="AR119" s="173"/>
      <c r="AS119" s="173"/>
      <c r="AT119" s="173"/>
      <c r="AU119" s="173"/>
      <c r="AV119" s="173"/>
      <c r="AW119" s="173"/>
      <c r="AX119" s="173"/>
      <c r="AY119" s="173"/>
    </row>
    <row r="120" spans="4:63" ht="15" customHeight="1">
      <c r="K120" s="78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79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173"/>
      <c r="AO120" s="173"/>
      <c r="AP120" s="173"/>
      <c r="AQ120" s="173"/>
      <c r="AR120" s="173"/>
      <c r="AS120" s="173"/>
      <c r="AT120" s="173"/>
      <c r="AU120" s="173"/>
      <c r="AV120" s="173"/>
      <c r="AW120" s="173"/>
      <c r="AX120" s="173"/>
      <c r="AY120" s="173"/>
    </row>
    <row r="121" spans="4:63" ht="25.5" customHeight="1">
      <c r="D121" s="106" t="s">
        <v>201</v>
      </c>
    </row>
    <row r="122" spans="4:63" ht="9.75" customHeight="1"/>
    <row r="123" spans="4:63">
      <c r="D123" s="81" t="s">
        <v>120</v>
      </c>
    </row>
    <row r="124" spans="4:63" ht="12" customHeight="1" thickBot="1"/>
    <row r="125" spans="4:63">
      <c r="D125" s="396" t="s">
        <v>17</v>
      </c>
      <c r="E125" s="397"/>
      <c r="F125" s="397"/>
      <c r="G125" s="398"/>
      <c r="H125" s="405" t="s">
        <v>20</v>
      </c>
      <c r="I125" s="397"/>
      <c r="J125" s="397"/>
      <c r="K125" s="397"/>
      <c r="L125" s="397"/>
      <c r="M125" s="397"/>
      <c r="N125" s="308" t="s">
        <v>115</v>
      </c>
      <c r="O125" s="308"/>
      <c r="P125" s="308"/>
      <c r="Q125" s="308"/>
      <c r="R125" s="308"/>
      <c r="S125" s="308"/>
      <c r="T125" s="308"/>
      <c r="U125" s="308"/>
      <c r="V125" s="308"/>
      <c r="W125" s="308"/>
      <c r="X125" s="308"/>
      <c r="Y125" s="308"/>
      <c r="Z125" s="308"/>
      <c r="AA125" s="308"/>
      <c r="AB125" s="308"/>
      <c r="AC125" s="308"/>
      <c r="AD125" s="308"/>
      <c r="AE125" s="409" t="s">
        <v>123</v>
      </c>
      <c r="AF125" s="397"/>
      <c r="AG125" s="397"/>
      <c r="AH125" s="397"/>
      <c r="AI125" s="397"/>
      <c r="AJ125" s="397"/>
      <c r="AK125" s="397"/>
      <c r="AL125" s="397"/>
      <c r="AM125" s="397"/>
      <c r="AN125" s="397"/>
      <c r="AO125" s="397"/>
      <c r="AP125" s="397"/>
      <c r="AQ125" s="397"/>
      <c r="AR125" s="398"/>
      <c r="AS125" s="420" t="s">
        <v>53</v>
      </c>
      <c r="AT125" s="421"/>
      <c r="AU125" s="421"/>
      <c r="AV125" s="421"/>
      <c r="AW125" s="421"/>
      <c r="AX125" s="421"/>
      <c r="AY125" s="421"/>
      <c r="AZ125" s="421"/>
      <c r="BA125" s="421"/>
      <c r="BB125" s="421"/>
      <c r="BC125" s="421"/>
      <c r="BD125" s="421"/>
      <c r="BE125" s="421"/>
      <c r="BF125" s="422"/>
    </row>
    <row r="126" spans="4:63" ht="15.75" thickBot="1">
      <c r="D126" s="399"/>
      <c r="E126" s="400"/>
      <c r="F126" s="400"/>
      <c r="G126" s="401"/>
      <c r="H126" s="406"/>
      <c r="I126" s="400"/>
      <c r="J126" s="400"/>
      <c r="K126" s="400"/>
      <c r="L126" s="400"/>
      <c r="M126" s="400"/>
      <c r="N126" s="314"/>
      <c r="O126" s="314"/>
      <c r="P126" s="314"/>
      <c r="Q126" s="314"/>
      <c r="R126" s="314"/>
      <c r="S126" s="314"/>
      <c r="T126" s="314"/>
      <c r="U126" s="314"/>
      <c r="V126" s="314"/>
      <c r="W126" s="314"/>
      <c r="X126" s="314"/>
      <c r="Y126" s="314"/>
      <c r="Z126" s="314"/>
      <c r="AA126" s="314"/>
      <c r="AB126" s="314"/>
      <c r="AC126" s="314"/>
      <c r="AD126" s="314"/>
      <c r="AE126" s="407" t="s">
        <v>18</v>
      </c>
      <c r="AF126" s="408"/>
      <c r="AG126" s="408"/>
      <c r="AH126" s="408"/>
      <c r="AI126" s="408"/>
      <c r="AJ126" s="408"/>
      <c r="AK126" s="408"/>
      <c r="AL126" s="408" t="s">
        <v>19</v>
      </c>
      <c r="AM126" s="408"/>
      <c r="AN126" s="408"/>
      <c r="AO126" s="408"/>
      <c r="AP126" s="408"/>
      <c r="AQ126" s="408"/>
      <c r="AR126" s="416"/>
      <c r="AS126" s="407" t="s">
        <v>18</v>
      </c>
      <c r="AT126" s="408"/>
      <c r="AU126" s="408"/>
      <c r="AV126" s="408"/>
      <c r="AW126" s="408"/>
      <c r="AX126" s="408"/>
      <c r="AY126" s="408"/>
      <c r="AZ126" s="408" t="s">
        <v>19</v>
      </c>
      <c r="BA126" s="408"/>
      <c r="BB126" s="408"/>
      <c r="BC126" s="408"/>
      <c r="BD126" s="408"/>
      <c r="BE126" s="408"/>
      <c r="BF126" s="416"/>
    </row>
    <row r="127" spans="4:63">
      <c r="D127" s="264" t="s">
        <v>21</v>
      </c>
      <c r="E127" s="265"/>
      <c r="F127" s="265"/>
      <c r="G127" s="265"/>
      <c r="H127" s="307" t="s">
        <v>116</v>
      </c>
      <c r="I127" s="308"/>
      <c r="J127" s="308"/>
      <c r="K127" s="308"/>
      <c r="L127" s="308"/>
      <c r="M127" s="309"/>
      <c r="N127" s="317" t="str">
        <f>'Config Lines'!A4</f>
        <v>Albertville - Rondissone 1</v>
      </c>
      <c r="O127" s="318"/>
      <c r="P127" s="318"/>
      <c r="Q127" s="318"/>
      <c r="R127" s="318"/>
      <c r="S127" s="318"/>
      <c r="T127" s="318"/>
      <c r="U127" s="318"/>
      <c r="V127" s="318"/>
      <c r="W127" s="318"/>
      <c r="X127" s="318"/>
      <c r="Y127" s="318"/>
      <c r="Z127" s="318"/>
      <c r="AA127" s="318"/>
      <c r="AB127" s="318"/>
      <c r="AC127" s="318"/>
      <c r="AD127" s="318"/>
      <c r="AE127" s="273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7" s="274"/>
      <c r="AG127" s="274"/>
      <c r="AH127" s="274"/>
      <c r="AI127" s="274"/>
      <c r="AJ127" s="274"/>
      <c r="AK127" s="274"/>
      <c r="AL127" s="274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37</v>
      </c>
      <c r="AM127" s="274"/>
      <c r="AN127" s="274"/>
      <c r="AO127" s="274"/>
      <c r="AP127" s="274"/>
      <c r="AQ127" s="274"/>
      <c r="AR127" s="316"/>
      <c r="AS127" s="331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7" s="332"/>
      <c r="AU127" s="332"/>
      <c r="AV127" s="332"/>
      <c r="AW127" s="332"/>
      <c r="AX127" s="332"/>
      <c r="AY127" s="332"/>
      <c r="AZ127" s="274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43</v>
      </c>
      <c r="BA127" s="274"/>
      <c r="BB127" s="274"/>
      <c r="BC127" s="274"/>
      <c r="BD127" s="274"/>
      <c r="BE127" s="274"/>
      <c r="BF127" s="323"/>
    </row>
    <row r="128" spans="4:63">
      <c r="D128" s="266"/>
      <c r="E128" s="267"/>
      <c r="F128" s="267"/>
      <c r="G128" s="267"/>
      <c r="H128" s="310"/>
      <c r="I128" s="311"/>
      <c r="J128" s="311"/>
      <c r="K128" s="311"/>
      <c r="L128" s="311"/>
      <c r="M128" s="312"/>
      <c r="N128" s="282" t="str">
        <f>'Config Lines'!A5</f>
        <v>Albertville - Rondissone 2</v>
      </c>
      <c r="O128" s="283"/>
      <c r="P128" s="283"/>
      <c r="Q128" s="283"/>
      <c r="R128" s="283"/>
      <c r="S128" s="283"/>
      <c r="T128" s="283"/>
      <c r="U128" s="283"/>
      <c r="V128" s="283"/>
      <c r="W128" s="283"/>
      <c r="X128" s="283"/>
      <c r="Y128" s="283"/>
      <c r="Z128" s="283"/>
      <c r="AA128" s="283"/>
      <c r="AB128" s="283"/>
      <c r="AC128" s="283"/>
      <c r="AD128" s="283"/>
      <c r="AE128" s="272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8" s="270"/>
      <c r="AG128" s="270"/>
      <c r="AH128" s="270"/>
      <c r="AI128" s="270"/>
      <c r="AJ128" s="270"/>
      <c r="AK128" s="270"/>
      <c r="AL128" s="270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37</v>
      </c>
      <c r="AM128" s="270"/>
      <c r="AN128" s="270"/>
      <c r="AO128" s="270"/>
      <c r="AP128" s="270"/>
      <c r="AQ128" s="270"/>
      <c r="AR128" s="271"/>
      <c r="AS128" s="320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8" s="321"/>
      <c r="AU128" s="321"/>
      <c r="AV128" s="321"/>
      <c r="AW128" s="321"/>
      <c r="AX128" s="321"/>
      <c r="AY128" s="321"/>
      <c r="AZ128" s="270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45</v>
      </c>
      <c r="BA128" s="270"/>
      <c r="BB128" s="270"/>
      <c r="BC128" s="270"/>
      <c r="BD128" s="270"/>
      <c r="BE128" s="270"/>
      <c r="BF128" s="319"/>
    </row>
    <row r="129" spans="4:58">
      <c r="D129" s="266"/>
      <c r="E129" s="267"/>
      <c r="F129" s="267"/>
      <c r="G129" s="267"/>
      <c r="H129" s="310"/>
      <c r="I129" s="311"/>
      <c r="J129" s="311"/>
      <c r="K129" s="311"/>
      <c r="L129" s="311"/>
      <c r="M129" s="312"/>
      <c r="N129" s="282" t="str">
        <f>'Config Lines'!A6</f>
        <v>Bulciago - Soazza</v>
      </c>
      <c r="O129" s="283"/>
      <c r="P129" s="283"/>
      <c r="Q129" s="283"/>
      <c r="R129" s="283"/>
      <c r="S129" s="283"/>
      <c r="T129" s="283"/>
      <c r="U129" s="283"/>
      <c r="V129" s="283"/>
      <c r="W129" s="283"/>
      <c r="X129" s="283"/>
      <c r="Y129" s="283"/>
      <c r="Z129" s="283"/>
      <c r="AA129" s="283"/>
      <c r="AB129" s="283"/>
      <c r="AC129" s="283"/>
      <c r="AD129" s="283"/>
      <c r="AE129" s="272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9" s="270"/>
      <c r="AG129" s="270"/>
      <c r="AH129" s="270"/>
      <c r="AI129" s="270"/>
      <c r="AJ129" s="270"/>
      <c r="AK129" s="270"/>
      <c r="AL129" s="270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26</v>
      </c>
      <c r="AM129" s="270"/>
      <c r="AN129" s="270"/>
      <c r="AO129" s="270"/>
      <c r="AP129" s="270"/>
      <c r="AQ129" s="270"/>
      <c r="AR129" s="271"/>
      <c r="AS129" s="320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9" s="321"/>
      <c r="AU129" s="321"/>
      <c r="AV129" s="321"/>
      <c r="AW129" s="321"/>
      <c r="AX129" s="321"/>
      <c r="AY129" s="321"/>
      <c r="AZ129" s="270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51</v>
      </c>
      <c r="BA129" s="270"/>
      <c r="BB129" s="270"/>
      <c r="BC129" s="270"/>
      <c r="BD129" s="270"/>
      <c r="BE129" s="270"/>
      <c r="BF129" s="319"/>
    </row>
    <row r="130" spans="4:58">
      <c r="D130" s="266"/>
      <c r="E130" s="267"/>
      <c r="F130" s="267"/>
      <c r="G130" s="267"/>
      <c r="H130" s="310"/>
      <c r="I130" s="311"/>
      <c r="J130" s="311"/>
      <c r="K130" s="311"/>
      <c r="L130" s="311"/>
      <c r="M130" s="312"/>
      <c r="N130" s="282" t="str">
        <f>'Config Lines'!A7</f>
        <v>Cagno - Mendrisio</v>
      </c>
      <c r="O130" s="283"/>
      <c r="P130" s="283"/>
      <c r="Q130" s="283"/>
      <c r="R130" s="283"/>
      <c r="S130" s="283"/>
      <c r="T130" s="283"/>
      <c r="U130" s="283"/>
      <c r="V130" s="283"/>
      <c r="W130" s="283"/>
      <c r="X130" s="283"/>
      <c r="Y130" s="283"/>
      <c r="Z130" s="283"/>
      <c r="AA130" s="283"/>
      <c r="AB130" s="283"/>
      <c r="AC130" s="283"/>
      <c r="AD130" s="283"/>
      <c r="AE130" s="272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30" s="270"/>
      <c r="AG130" s="270"/>
      <c r="AH130" s="270"/>
      <c r="AI130" s="270"/>
      <c r="AJ130" s="270"/>
      <c r="AK130" s="270"/>
      <c r="AL130" s="270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26</v>
      </c>
      <c r="AM130" s="270"/>
      <c r="AN130" s="270"/>
      <c r="AO130" s="270"/>
      <c r="AP130" s="270"/>
      <c r="AQ130" s="270"/>
      <c r="AR130" s="271"/>
      <c r="AS130" s="320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30" s="321"/>
      <c r="AU130" s="321"/>
      <c r="AV130" s="321"/>
      <c r="AW130" s="321"/>
      <c r="AX130" s="321"/>
      <c r="AY130" s="321"/>
      <c r="AZ130" s="270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38</v>
      </c>
      <c r="BA130" s="270"/>
      <c r="BB130" s="270"/>
      <c r="BC130" s="270"/>
      <c r="BD130" s="270"/>
      <c r="BE130" s="270"/>
      <c r="BF130" s="319"/>
    </row>
    <row r="131" spans="4:58">
      <c r="D131" s="266"/>
      <c r="E131" s="267"/>
      <c r="F131" s="267"/>
      <c r="G131" s="267"/>
      <c r="H131" s="310"/>
      <c r="I131" s="311"/>
      <c r="J131" s="311"/>
      <c r="K131" s="311"/>
      <c r="L131" s="311"/>
      <c r="M131" s="312"/>
      <c r="N131" s="282" t="str">
        <f>'Config Lines'!A8</f>
        <v>Musignano - Lavorgo</v>
      </c>
      <c r="O131" s="283"/>
      <c r="P131" s="283"/>
      <c r="Q131" s="283"/>
      <c r="R131" s="283"/>
      <c r="S131" s="283"/>
      <c r="T131" s="283"/>
      <c r="U131" s="283"/>
      <c r="V131" s="283"/>
      <c r="W131" s="283"/>
      <c r="X131" s="283"/>
      <c r="Y131" s="283"/>
      <c r="Z131" s="283"/>
      <c r="AA131" s="283"/>
      <c r="AB131" s="283"/>
      <c r="AC131" s="283"/>
      <c r="AD131" s="283"/>
      <c r="AE131" s="272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31" s="270"/>
      <c r="AG131" s="270"/>
      <c r="AH131" s="270"/>
      <c r="AI131" s="270"/>
      <c r="AJ131" s="270"/>
      <c r="AK131" s="270"/>
      <c r="AL131" s="270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41</v>
      </c>
      <c r="AM131" s="270"/>
      <c r="AN131" s="270"/>
      <c r="AO131" s="270"/>
      <c r="AP131" s="270"/>
      <c r="AQ131" s="270"/>
      <c r="AR131" s="271"/>
      <c r="AS131" s="320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31" s="321"/>
      <c r="AU131" s="321"/>
      <c r="AV131" s="321"/>
      <c r="AW131" s="321"/>
      <c r="AX131" s="321"/>
      <c r="AY131" s="321"/>
      <c r="AZ131" s="270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69</v>
      </c>
      <c r="BA131" s="270"/>
      <c r="BB131" s="270"/>
      <c r="BC131" s="270"/>
      <c r="BD131" s="270"/>
      <c r="BE131" s="270"/>
      <c r="BF131" s="319"/>
    </row>
    <row r="132" spans="4:58">
      <c r="D132" s="266"/>
      <c r="E132" s="267"/>
      <c r="F132" s="267"/>
      <c r="G132" s="267"/>
      <c r="H132" s="310"/>
      <c r="I132" s="311"/>
      <c r="J132" s="311"/>
      <c r="K132" s="311"/>
      <c r="L132" s="311"/>
      <c r="M132" s="312"/>
      <c r="N132" s="282" t="str">
        <f>'Config Lines'!A9</f>
        <v>Redipuglia - Divaca</v>
      </c>
      <c r="O132" s="283"/>
      <c r="P132" s="283"/>
      <c r="Q132" s="283"/>
      <c r="R132" s="283"/>
      <c r="S132" s="283"/>
      <c r="T132" s="283"/>
      <c r="U132" s="283"/>
      <c r="V132" s="283"/>
      <c r="W132" s="283"/>
      <c r="X132" s="283"/>
      <c r="Y132" s="283"/>
      <c r="Z132" s="283"/>
      <c r="AA132" s="283"/>
      <c r="AB132" s="283"/>
      <c r="AC132" s="283"/>
      <c r="AD132" s="283"/>
      <c r="AE132" s="272">
        <f>IF(ISERROR(VLOOKUP('Config Lines'!D9,'N State Flows Data'!$A$4:$D$50,4,FALSE))=FALSE,VLOOKUP('Config Lines'!D9,'N State Flows Data'!$A$4:$D$50,4,FALSE),VLOOKUP('Config Lines'!H9,'N State Flows Data'!$A$4:$D$50,4,FALSE))</f>
        <v>2700</v>
      </c>
      <c r="AF132" s="270"/>
      <c r="AG132" s="270"/>
      <c r="AH132" s="270"/>
      <c r="AI132" s="270"/>
      <c r="AJ132" s="270"/>
      <c r="AK132" s="270"/>
      <c r="AL132" s="270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33</v>
      </c>
      <c r="AM132" s="270"/>
      <c r="AN132" s="270"/>
      <c r="AO132" s="270"/>
      <c r="AP132" s="270"/>
      <c r="AQ132" s="270"/>
      <c r="AR132" s="271"/>
      <c r="AS132" s="320">
        <f>IF(ISERROR(VLOOKUP('Config Lines'!D9,'N State Flows Data'!$F$4:$I$50,4,FALSE))=FALSE,VLOOKUP('Config Lines'!D9,'N State Flows Data'!$F$4:$I$50,4,FALSE),VLOOKUP('Config Lines'!H9,'N State Flows Data'!$F$4:$I$50,4,FALSE))</f>
        <v>2700</v>
      </c>
      <c r="AT132" s="321"/>
      <c r="AU132" s="321"/>
      <c r="AV132" s="321"/>
      <c r="AW132" s="321"/>
      <c r="AX132" s="321"/>
      <c r="AY132" s="321"/>
      <c r="AZ132" s="270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34</v>
      </c>
      <c r="BA132" s="270"/>
      <c r="BB132" s="270"/>
      <c r="BC132" s="270"/>
      <c r="BD132" s="270"/>
      <c r="BE132" s="270"/>
      <c r="BF132" s="319"/>
    </row>
    <row r="133" spans="4:58">
      <c r="D133" s="266"/>
      <c r="E133" s="267"/>
      <c r="F133" s="267"/>
      <c r="G133" s="267"/>
      <c r="H133" s="310"/>
      <c r="I133" s="311"/>
      <c r="J133" s="311"/>
      <c r="K133" s="311"/>
      <c r="L133" s="311"/>
      <c r="M133" s="312"/>
      <c r="N133" s="282" t="str">
        <f>'Config Lines'!A10</f>
        <v>Robbia - San Fiorano</v>
      </c>
      <c r="O133" s="283"/>
      <c r="P133" s="283"/>
      <c r="Q133" s="283"/>
      <c r="R133" s="283"/>
      <c r="S133" s="283"/>
      <c r="T133" s="283"/>
      <c r="U133" s="283"/>
      <c r="V133" s="283"/>
      <c r="W133" s="283"/>
      <c r="X133" s="283"/>
      <c r="Y133" s="283"/>
      <c r="Z133" s="283"/>
      <c r="AA133" s="283"/>
      <c r="AB133" s="283"/>
      <c r="AC133" s="283"/>
      <c r="AD133" s="283"/>
      <c r="AE133" s="272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33" s="270"/>
      <c r="AG133" s="270"/>
      <c r="AH133" s="270"/>
      <c r="AI133" s="270"/>
      <c r="AJ133" s="270"/>
      <c r="AK133" s="270"/>
      <c r="AL133" s="270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23</v>
      </c>
      <c r="AM133" s="270"/>
      <c r="AN133" s="270"/>
      <c r="AO133" s="270"/>
      <c r="AP133" s="270"/>
      <c r="AQ133" s="270"/>
      <c r="AR133" s="271"/>
      <c r="AS133" s="320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33" s="321"/>
      <c r="AU133" s="321"/>
      <c r="AV133" s="321"/>
      <c r="AW133" s="321"/>
      <c r="AX133" s="321"/>
      <c r="AY133" s="321"/>
      <c r="AZ133" s="270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52</v>
      </c>
      <c r="BA133" s="270"/>
      <c r="BB133" s="270"/>
      <c r="BC133" s="270"/>
      <c r="BD133" s="270"/>
      <c r="BE133" s="270"/>
      <c r="BF133" s="319"/>
    </row>
    <row r="134" spans="4:58">
      <c r="D134" s="266"/>
      <c r="E134" s="267"/>
      <c r="F134" s="267"/>
      <c r="G134" s="267"/>
      <c r="H134" s="310"/>
      <c r="I134" s="311"/>
      <c r="J134" s="311"/>
      <c r="K134" s="311"/>
      <c r="L134" s="311"/>
      <c r="M134" s="312"/>
      <c r="N134" s="282" t="str">
        <f>'Config Lines'!A11</f>
        <v>Robbia - Gorlago</v>
      </c>
      <c r="O134" s="283"/>
      <c r="P134" s="283"/>
      <c r="Q134" s="283"/>
      <c r="R134" s="283"/>
      <c r="S134" s="283"/>
      <c r="T134" s="283"/>
      <c r="U134" s="283"/>
      <c r="V134" s="283"/>
      <c r="W134" s="283"/>
      <c r="X134" s="283"/>
      <c r="Y134" s="283"/>
      <c r="Z134" s="283"/>
      <c r="AA134" s="283"/>
      <c r="AB134" s="283"/>
      <c r="AC134" s="283"/>
      <c r="AD134" s="283"/>
      <c r="AE134" s="272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34" s="270"/>
      <c r="AG134" s="270"/>
      <c r="AH134" s="270"/>
      <c r="AI134" s="270"/>
      <c r="AJ134" s="270"/>
      <c r="AK134" s="270"/>
      <c r="AL134" s="270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40</v>
      </c>
      <c r="AM134" s="270"/>
      <c r="AN134" s="270"/>
      <c r="AO134" s="270"/>
      <c r="AP134" s="270"/>
      <c r="AQ134" s="270"/>
      <c r="AR134" s="271"/>
      <c r="AS134" s="320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34" s="321"/>
      <c r="AU134" s="321"/>
      <c r="AV134" s="321"/>
      <c r="AW134" s="321"/>
      <c r="AX134" s="321"/>
      <c r="AY134" s="321"/>
      <c r="AZ134" s="270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69</v>
      </c>
      <c r="BA134" s="270"/>
      <c r="BB134" s="270"/>
      <c r="BC134" s="270"/>
      <c r="BD134" s="270"/>
      <c r="BE134" s="270"/>
      <c r="BF134" s="319"/>
    </row>
    <row r="135" spans="4:58" ht="15.75" thickBot="1">
      <c r="D135" s="266"/>
      <c r="E135" s="267"/>
      <c r="F135" s="267"/>
      <c r="G135" s="267"/>
      <c r="H135" s="310"/>
      <c r="I135" s="311"/>
      <c r="J135" s="311"/>
      <c r="K135" s="311"/>
      <c r="L135" s="311"/>
      <c r="M135" s="312"/>
      <c r="N135" s="326" t="str">
        <f>'Config Lines'!A12</f>
        <v>Venaus - Villarodin</v>
      </c>
      <c r="O135" s="327"/>
      <c r="P135" s="327"/>
      <c r="Q135" s="327"/>
      <c r="R135" s="327"/>
      <c r="S135" s="327"/>
      <c r="T135" s="327"/>
      <c r="U135" s="327"/>
      <c r="V135" s="327"/>
      <c r="W135" s="327"/>
      <c r="X135" s="327"/>
      <c r="Y135" s="327"/>
      <c r="Z135" s="327"/>
      <c r="AA135" s="327"/>
      <c r="AB135" s="327"/>
      <c r="AC135" s="327"/>
      <c r="AD135" s="327"/>
      <c r="AE135" s="303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35" s="304"/>
      <c r="AG135" s="304"/>
      <c r="AH135" s="304"/>
      <c r="AI135" s="304"/>
      <c r="AJ135" s="304"/>
      <c r="AK135" s="304"/>
      <c r="AL135" s="304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17</v>
      </c>
      <c r="AM135" s="304"/>
      <c r="AN135" s="304"/>
      <c r="AO135" s="304"/>
      <c r="AP135" s="304"/>
      <c r="AQ135" s="304"/>
      <c r="AR135" s="328"/>
      <c r="AS135" s="324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35" s="325"/>
      <c r="AU135" s="325"/>
      <c r="AV135" s="325"/>
      <c r="AW135" s="325"/>
      <c r="AX135" s="325"/>
      <c r="AY135" s="325"/>
      <c r="AZ135" s="304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42</v>
      </c>
      <c r="BA135" s="304"/>
      <c r="BB135" s="304"/>
      <c r="BC135" s="304"/>
      <c r="BD135" s="304"/>
      <c r="BE135" s="304"/>
      <c r="BF135" s="322"/>
    </row>
    <row r="136" spans="4:58">
      <c r="D136" s="266"/>
      <c r="E136" s="267"/>
      <c r="F136" s="267"/>
      <c r="G136" s="267"/>
      <c r="H136" s="307" t="s">
        <v>117</v>
      </c>
      <c r="I136" s="308"/>
      <c r="J136" s="308"/>
      <c r="K136" s="308"/>
      <c r="L136" s="308"/>
      <c r="M136" s="309"/>
      <c r="N136" s="317" t="str">
        <f>'Config Lines'!A13</f>
        <v>Airolo - Ponte</v>
      </c>
      <c r="O136" s="318"/>
      <c r="P136" s="318"/>
      <c r="Q136" s="318"/>
      <c r="R136" s="318"/>
      <c r="S136" s="318"/>
      <c r="T136" s="318"/>
      <c r="U136" s="318"/>
      <c r="V136" s="318"/>
      <c r="W136" s="318"/>
      <c r="X136" s="318"/>
      <c r="Y136" s="318"/>
      <c r="Z136" s="318"/>
      <c r="AA136" s="318"/>
      <c r="AB136" s="318"/>
      <c r="AC136" s="318"/>
      <c r="AD136" s="318"/>
      <c r="AE136" s="273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6" s="274"/>
      <c r="AG136" s="274"/>
      <c r="AH136" s="274"/>
      <c r="AI136" s="274"/>
      <c r="AJ136" s="274"/>
      <c r="AK136" s="274"/>
      <c r="AL136" s="274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16</v>
      </c>
      <c r="AM136" s="274"/>
      <c r="AN136" s="274"/>
      <c r="AO136" s="274"/>
      <c r="AP136" s="274"/>
      <c r="AQ136" s="274"/>
      <c r="AR136" s="316"/>
      <c r="AS136" s="331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6" s="332"/>
      <c r="AU136" s="332"/>
      <c r="AV136" s="332"/>
      <c r="AW136" s="332"/>
      <c r="AX136" s="332"/>
      <c r="AY136" s="332"/>
      <c r="AZ136" s="274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12</v>
      </c>
      <c r="BA136" s="274"/>
      <c r="BB136" s="274"/>
      <c r="BC136" s="274"/>
      <c r="BD136" s="274"/>
      <c r="BE136" s="274"/>
      <c r="BF136" s="323"/>
    </row>
    <row r="137" spans="4:58">
      <c r="D137" s="266"/>
      <c r="E137" s="267"/>
      <c r="F137" s="267"/>
      <c r="G137" s="267"/>
      <c r="H137" s="310"/>
      <c r="I137" s="311"/>
      <c r="J137" s="311"/>
      <c r="K137" s="311"/>
      <c r="L137" s="311"/>
      <c r="M137" s="312"/>
      <c r="N137" s="282" t="str">
        <f>'Config Lines'!A14</f>
        <v>Lienz - Soverzene</v>
      </c>
      <c r="O137" s="283"/>
      <c r="P137" s="283"/>
      <c r="Q137" s="283"/>
      <c r="R137" s="283"/>
      <c r="S137" s="283"/>
      <c r="T137" s="283"/>
      <c r="U137" s="283"/>
      <c r="V137" s="283"/>
      <c r="W137" s="283"/>
      <c r="X137" s="283"/>
      <c r="Y137" s="283"/>
      <c r="Z137" s="283"/>
      <c r="AA137" s="283"/>
      <c r="AB137" s="283"/>
      <c r="AC137" s="283"/>
      <c r="AD137" s="283"/>
      <c r="AE137" s="272">
        <f>IF(ISERROR(VLOOKUP('Config Lines'!D14,'N State Flows Data'!$A$4:$D$50,4,FALSE))=FALSE,VLOOKUP('Config Lines'!D14,'N State Flows Data'!$A$4:$D$50,4,FALSE),VLOOKUP('Config Lines'!H14,'N State Flows Data'!$A$4:$D$50,4,FALSE))</f>
        <v>750</v>
      </c>
      <c r="AF137" s="270"/>
      <c r="AG137" s="270"/>
      <c r="AH137" s="270"/>
      <c r="AI137" s="270"/>
      <c r="AJ137" s="270"/>
      <c r="AK137" s="270"/>
      <c r="AL137" s="270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38</v>
      </c>
      <c r="AM137" s="270"/>
      <c r="AN137" s="270"/>
      <c r="AO137" s="270"/>
      <c r="AP137" s="270"/>
      <c r="AQ137" s="270"/>
      <c r="AR137" s="271"/>
      <c r="AS137" s="320">
        <f>IF(ISERROR(VLOOKUP('Config Lines'!D14,'N State Flows Data'!$F$4:$I$50,4,FALSE))=FALSE,VLOOKUP('Config Lines'!D14,'N State Flows Data'!$F$4:$I$50,4,FALSE),VLOOKUP('Config Lines'!H14,'N State Flows Data'!$F$4:$I$50,4,FALSE))</f>
        <v>750</v>
      </c>
      <c r="AT137" s="321"/>
      <c r="AU137" s="321"/>
      <c r="AV137" s="321"/>
      <c r="AW137" s="321"/>
      <c r="AX137" s="321"/>
      <c r="AY137" s="321"/>
      <c r="AZ137" s="270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40</v>
      </c>
      <c r="BA137" s="270"/>
      <c r="BB137" s="270"/>
      <c r="BC137" s="270"/>
      <c r="BD137" s="270"/>
      <c r="BE137" s="270"/>
      <c r="BF137" s="319"/>
    </row>
    <row r="138" spans="4:58">
      <c r="D138" s="266"/>
      <c r="E138" s="267"/>
      <c r="F138" s="267"/>
      <c r="G138" s="267"/>
      <c r="H138" s="310"/>
      <c r="I138" s="311"/>
      <c r="J138" s="311"/>
      <c r="K138" s="311"/>
      <c r="L138" s="311"/>
      <c r="M138" s="312"/>
      <c r="N138" s="282" t="str">
        <f>'Config Lines'!A15</f>
        <v>Menton - Campo Rosso</v>
      </c>
      <c r="O138" s="283"/>
      <c r="P138" s="283"/>
      <c r="Q138" s="283"/>
      <c r="R138" s="283"/>
      <c r="S138" s="283"/>
      <c r="T138" s="283"/>
      <c r="U138" s="283"/>
      <c r="V138" s="283"/>
      <c r="W138" s="283"/>
      <c r="X138" s="283"/>
      <c r="Y138" s="283"/>
      <c r="Z138" s="283"/>
      <c r="AA138" s="283"/>
      <c r="AB138" s="283"/>
      <c r="AC138" s="283"/>
      <c r="AD138" s="283"/>
      <c r="AE138" s="272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8" s="270"/>
      <c r="AG138" s="270"/>
      <c r="AH138" s="270"/>
      <c r="AI138" s="270"/>
      <c r="AJ138" s="270"/>
      <c r="AK138" s="270"/>
      <c r="AL138" s="270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41</v>
      </c>
      <c r="AM138" s="270"/>
      <c r="AN138" s="270"/>
      <c r="AO138" s="270"/>
      <c r="AP138" s="270"/>
      <c r="AQ138" s="270"/>
      <c r="AR138" s="271"/>
      <c r="AS138" s="320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8" s="321"/>
      <c r="AU138" s="321"/>
      <c r="AV138" s="321"/>
      <c r="AW138" s="321"/>
      <c r="AX138" s="321"/>
      <c r="AY138" s="321"/>
      <c r="AZ138" s="270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45</v>
      </c>
      <c r="BA138" s="270"/>
      <c r="BB138" s="270"/>
      <c r="BC138" s="270"/>
      <c r="BD138" s="270"/>
      <c r="BE138" s="270"/>
      <c r="BF138" s="319"/>
    </row>
    <row r="139" spans="4:58">
      <c r="D139" s="266"/>
      <c r="E139" s="267"/>
      <c r="F139" s="267"/>
      <c r="G139" s="267"/>
      <c r="H139" s="310"/>
      <c r="I139" s="311"/>
      <c r="J139" s="311"/>
      <c r="K139" s="311"/>
      <c r="L139" s="311"/>
      <c r="M139" s="312"/>
      <c r="N139" s="282" t="str">
        <f>'Config Lines'!A16</f>
        <v>Padriciano - Divaca</v>
      </c>
      <c r="O139" s="283"/>
      <c r="P139" s="283"/>
      <c r="Q139" s="283"/>
      <c r="R139" s="283"/>
      <c r="S139" s="283"/>
      <c r="T139" s="283"/>
      <c r="U139" s="283"/>
      <c r="V139" s="283"/>
      <c r="W139" s="283"/>
      <c r="X139" s="283"/>
      <c r="Y139" s="283"/>
      <c r="Z139" s="283"/>
      <c r="AA139" s="283"/>
      <c r="AB139" s="283"/>
      <c r="AC139" s="283"/>
      <c r="AD139" s="283"/>
      <c r="AE139" s="272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9" s="270"/>
      <c r="AG139" s="270"/>
      <c r="AH139" s="270"/>
      <c r="AI139" s="270"/>
      <c r="AJ139" s="270"/>
      <c r="AK139" s="270"/>
      <c r="AL139" s="270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39</v>
      </c>
      <c r="AM139" s="270"/>
      <c r="AN139" s="270"/>
      <c r="AO139" s="270"/>
      <c r="AP139" s="270"/>
      <c r="AQ139" s="270"/>
      <c r="AR139" s="271"/>
      <c r="AS139" s="320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9" s="321"/>
      <c r="AU139" s="321"/>
      <c r="AV139" s="321"/>
      <c r="AW139" s="321"/>
      <c r="AX139" s="321"/>
      <c r="AY139" s="321"/>
      <c r="AZ139" s="270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37</v>
      </c>
      <c r="BA139" s="270"/>
      <c r="BB139" s="270"/>
      <c r="BC139" s="270"/>
      <c r="BD139" s="270"/>
      <c r="BE139" s="270"/>
      <c r="BF139" s="319"/>
    </row>
    <row r="140" spans="4:58">
      <c r="D140" s="266"/>
      <c r="E140" s="267"/>
      <c r="F140" s="267"/>
      <c r="G140" s="267"/>
      <c r="H140" s="310"/>
      <c r="I140" s="311"/>
      <c r="J140" s="311"/>
      <c r="K140" s="311"/>
      <c r="L140" s="311"/>
      <c r="M140" s="312"/>
      <c r="N140" s="282" t="str">
        <f>'Config Lines'!A17</f>
        <v>Riddes - Avise</v>
      </c>
      <c r="O140" s="283"/>
      <c r="P140" s="283"/>
      <c r="Q140" s="283"/>
      <c r="R140" s="283"/>
      <c r="S140" s="283"/>
      <c r="T140" s="283"/>
      <c r="U140" s="283"/>
      <c r="V140" s="283"/>
      <c r="W140" s="283"/>
      <c r="X140" s="283"/>
      <c r="Y140" s="283"/>
      <c r="Z140" s="283"/>
      <c r="AA140" s="283"/>
      <c r="AB140" s="283"/>
      <c r="AC140" s="283"/>
      <c r="AD140" s="283"/>
      <c r="AE140" s="272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40" s="270"/>
      <c r="AG140" s="270"/>
      <c r="AH140" s="270"/>
      <c r="AI140" s="270"/>
      <c r="AJ140" s="270"/>
      <c r="AK140" s="270"/>
      <c r="AL140" s="270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9</v>
      </c>
      <c r="AM140" s="270"/>
      <c r="AN140" s="270"/>
      <c r="AO140" s="270"/>
      <c r="AP140" s="270"/>
      <c r="AQ140" s="270"/>
      <c r="AR140" s="271"/>
      <c r="AS140" s="320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40" s="321"/>
      <c r="AU140" s="321"/>
      <c r="AV140" s="321"/>
      <c r="AW140" s="321"/>
      <c r="AX140" s="321"/>
      <c r="AY140" s="321"/>
      <c r="AZ140" s="270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29</v>
      </c>
      <c r="BA140" s="270"/>
      <c r="BB140" s="270"/>
      <c r="BC140" s="270"/>
      <c r="BD140" s="270"/>
      <c r="BE140" s="270"/>
      <c r="BF140" s="319"/>
    </row>
    <row r="141" spans="4:58">
      <c r="D141" s="266"/>
      <c r="E141" s="267"/>
      <c r="F141" s="267"/>
      <c r="G141" s="267"/>
      <c r="H141" s="310"/>
      <c r="I141" s="311"/>
      <c r="J141" s="311"/>
      <c r="K141" s="311"/>
      <c r="L141" s="311"/>
      <c r="M141" s="312"/>
      <c r="N141" s="282" t="str">
        <f>'Config Lines'!A18</f>
        <v>Riddes - Valpelline</v>
      </c>
      <c r="O141" s="283"/>
      <c r="P141" s="283"/>
      <c r="Q141" s="283"/>
      <c r="R141" s="283"/>
      <c r="S141" s="283"/>
      <c r="T141" s="283"/>
      <c r="U141" s="283"/>
      <c r="V141" s="283"/>
      <c r="W141" s="283"/>
      <c r="X141" s="283"/>
      <c r="Y141" s="283"/>
      <c r="Z141" s="283"/>
      <c r="AA141" s="283"/>
      <c r="AB141" s="283"/>
      <c r="AC141" s="283"/>
      <c r="AD141" s="283"/>
      <c r="AE141" s="272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41" s="270"/>
      <c r="AG141" s="270"/>
      <c r="AH141" s="270"/>
      <c r="AI141" s="270"/>
      <c r="AJ141" s="270"/>
      <c r="AK141" s="270"/>
      <c r="AL141" s="270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11</v>
      </c>
      <c r="AM141" s="270"/>
      <c r="AN141" s="270"/>
      <c r="AO141" s="270"/>
      <c r="AP141" s="270"/>
      <c r="AQ141" s="270"/>
      <c r="AR141" s="271"/>
      <c r="AS141" s="320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41" s="321"/>
      <c r="AU141" s="321"/>
      <c r="AV141" s="321"/>
      <c r="AW141" s="321"/>
      <c r="AX141" s="321"/>
      <c r="AY141" s="321"/>
      <c r="AZ141" s="270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34</v>
      </c>
      <c r="BA141" s="270"/>
      <c r="BB141" s="270"/>
      <c r="BC141" s="270"/>
      <c r="BD141" s="270"/>
      <c r="BE141" s="270"/>
      <c r="BF141" s="319"/>
    </row>
    <row r="142" spans="4:58" ht="15.75" thickBot="1">
      <c r="D142" s="268"/>
      <c r="E142" s="269"/>
      <c r="F142" s="269"/>
      <c r="G142" s="269"/>
      <c r="H142" s="313"/>
      <c r="I142" s="314"/>
      <c r="J142" s="314"/>
      <c r="K142" s="314"/>
      <c r="L142" s="314"/>
      <c r="M142" s="315"/>
      <c r="N142" s="326" t="str">
        <f>'Config Lines'!A19</f>
        <v>Serra - Pallanzeno</v>
      </c>
      <c r="O142" s="327"/>
      <c r="P142" s="327"/>
      <c r="Q142" s="327"/>
      <c r="R142" s="327"/>
      <c r="S142" s="327"/>
      <c r="T142" s="327"/>
      <c r="U142" s="327"/>
      <c r="V142" s="327"/>
      <c r="W142" s="327"/>
      <c r="X142" s="327"/>
      <c r="Y142" s="327"/>
      <c r="Z142" s="327"/>
      <c r="AA142" s="327"/>
      <c r="AB142" s="327"/>
      <c r="AC142" s="327"/>
      <c r="AD142" s="327"/>
      <c r="AE142" s="333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42" s="329"/>
      <c r="AG142" s="329"/>
      <c r="AH142" s="329"/>
      <c r="AI142" s="329"/>
      <c r="AJ142" s="329"/>
      <c r="AK142" s="329"/>
      <c r="AL142" s="329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30</v>
      </c>
      <c r="AM142" s="329"/>
      <c r="AN142" s="329"/>
      <c r="AO142" s="329"/>
      <c r="AP142" s="329"/>
      <c r="AQ142" s="329"/>
      <c r="AR142" s="334"/>
      <c r="AS142" s="277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42" s="278"/>
      <c r="AU142" s="278"/>
      <c r="AV142" s="278"/>
      <c r="AW142" s="278"/>
      <c r="AX142" s="278"/>
      <c r="AY142" s="278"/>
      <c r="AZ142" s="329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40</v>
      </c>
      <c r="BA142" s="329"/>
      <c r="BB142" s="329"/>
      <c r="BC142" s="329"/>
      <c r="BD142" s="329"/>
      <c r="BE142" s="329"/>
      <c r="BF142" s="330"/>
    </row>
    <row r="144" spans="4:58" ht="15" customHeight="1">
      <c r="D144" s="82" t="s">
        <v>121</v>
      </c>
    </row>
    <row r="145" spans="1:67">
      <c r="G145" s="616"/>
      <c r="H145" s="617"/>
      <c r="I145" s="617"/>
      <c r="J145" s="617"/>
      <c r="K145" s="618"/>
      <c r="M145" s="66" t="s">
        <v>181</v>
      </c>
      <c r="W145" s="622"/>
      <c r="X145" s="623"/>
      <c r="Y145" s="623"/>
      <c r="Z145" s="623"/>
      <c r="AA145" s="624"/>
      <c r="AC145" s="66" t="s">
        <v>182</v>
      </c>
      <c r="AQ145" s="284"/>
      <c r="AR145" s="285"/>
      <c r="AS145" s="285"/>
      <c r="AT145" s="285"/>
      <c r="AU145" s="286"/>
      <c r="AW145" s="66" t="s">
        <v>197</v>
      </c>
    </row>
    <row r="146" spans="1:67" ht="19.5" customHeight="1">
      <c r="BL146" s="78"/>
      <c r="BM146" s="78"/>
      <c r="BN146" s="78"/>
      <c r="BO146" s="78"/>
    </row>
    <row r="147" spans="1:67" ht="19.5" customHeight="1"/>
    <row r="148" spans="1:67" s="78" customFormat="1" ht="18.75" customHeight="1">
      <c r="D148" s="170" t="s">
        <v>52</v>
      </c>
      <c r="BK148" s="88"/>
    </row>
    <row r="149" spans="1:67" ht="27" customHeight="1">
      <c r="D149" s="615" t="s">
        <v>71</v>
      </c>
      <c r="E149" s="615"/>
      <c r="F149" s="615"/>
      <c r="G149" s="615"/>
      <c r="H149" s="615"/>
      <c r="I149" s="615"/>
      <c r="J149" s="615"/>
      <c r="K149" s="615"/>
      <c r="L149" s="615"/>
      <c r="M149" s="615"/>
      <c r="N149" s="615"/>
      <c r="O149" s="615"/>
      <c r="P149" s="615"/>
      <c r="Q149" s="615"/>
      <c r="R149" s="615"/>
      <c r="S149" s="615"/>
      <c r="T149" s="615"/>
      <c r="U149" s="615"/>
      <c r="V149" s="615"/>
      <c r="W149" s="615"/>
      <c r="X149" s="615"/>
      <c r="Y149" s="615"/>
      <c r="Z149" s="615"/>
      <c r="AA149" s="615"/>
      <c r="AB149" s="615"/>
      <c r="AC149" s="615"/>
      <c r="AD149" s="615"/>
      <c r="AE149" s="615"/>
      <c r="AF149" s="615"/>
      <c r="AG149" s="615"/>
      <c r="AH149" s="615"/>
      <c r="AI149" s="615"/>
      <c r="AJ149" s="615"/>
      <c r="AK149" s="615"/>
      <c r="AL149" s="615"/>
      <c r="AM149" s="615"/>
      <c r="AN149" s="615"/>
      <c r="AO149" s="615"/>
      <c r="AP149" s="615"/>
      <c r="AQ149" s="615"/>
      <c r="AR149" s="615"/>
      <c r="AS149" s="615"/>
      <c r="AT149" s="615"/>
      <c r="AU149" s="615"/>
      <c r="AV149" s="615"/>
      <c r="AW149" s="615"/>
      <c r="AX149" s="615"/>
      <c r="AY149" s="615"/>
      <c r="AZ149" s="615"/>
      <c r="BA149" s="615"/>
      <c r="BB149" s="615"/>
      <c r="BC149" s="615"/>
      <c r="BD149" s="615"/>
      <c r="BE149" s="615"/>
      <c r="BF149" s="615"/>
      <c r="BG149" s="615"/>
      <c r="BH149" s="615"/>
    </row>
    <row r="150" spans="1:67" s="78" customFormat="1" ht="5.25" customHeight="1" thickBot="1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  <c r="AZ150" s="66"/>
      <c r="BA150" s="66"/>
      <c r="BB150" s="66"/>
      <c r="BC150" s="66"/>
      <c r="BD150" s="66"/>
      <c r="BE150" s="66"/>
      <c r="BF150" s="66"/>
      <c r="BG150" s="66"/>
      <c r="BH150" s="66"/>
      <c r="BI150" s="66"/>
      <c r="BJ150" s="66"/>
      <c r="BK150" s="161"/>
      <c r="BL150" s="66"/>
      <c r="BM150" s="66"/>
      <c r="BN150" s="66"/>
      <c r="BO150" s="66"/>
    </row>
    <row r="151" spans="1:67" ht="24.75" customHeight="1" thickBot="1">
      <c r="G151" s="518"/>
      <c r="H151" s="518"/>
      <c r="I151" s="518"/>
      <c r="J151" s="518"/>
      <c r="K151" s="518"/>
      <c r="L151" s="518"/>
      <c r="M151" s="518"/>
      <c r="N151" s="518"/>
      <c r="O151" s="518"/>
      <c r="P151" s="518"/>
      <c r="Q151" s="518"/>
      <c r="R151" s="518"/>
      <c r="S151" s="518"/>
      <c r="T151" s="518"/>
      <c r="U151" s="518"/>
      <c r="V151" s="518"/>
      <c r="W151" s="518"/>
      <c r="X151" s="620" t="s">
        <v>147</v>
      </c>
      <c r="Y151" s="621"/>
      <c r="Z151" s="621"/>
      <c r="AA151" s="621"/>
      <c r="AB151" s="621"/>
      <c r="AC151" s="621"/>
      <c r="AD151" s="621"/>
      <c r="AE151" s="621"/>
      <c r="AF151" s="612" t="s">
        <v>148</v>
      </c>
      <c r="AG151" s="613"/>
      <c r="AH151" s="613"/>
      <c r="AI151" s="613"/>
      <c r="AJ151" s="613"/>
      <c r="AK151" s="613"/>
      <c r="AL151" s="613"/>
      <c r="AM151" s="614"/>
      <c r="AN151" s="612" t="s">
        <v>149</v>
      </c>
      <c r="AO151" s="613"/>
      <c r="AP151" s="613"/>
      <c r="AQ151" s="613"/>
      <c r="AR151" s="613"/>
      <c r="AS151" s="613"/>
      <c r="AT151" s="613"/>
      <c r="AU151" s="614"/>
      <c r="AV151" s="279" t="s">
        <v>150</v>
      </c>
      <c r="AW151" s="280"/>
      <c r="AX151" s="280"/>
      <c r="AY151" s="280"/>
      <c r="AZ151" s="280"/>
      <c r="BA151" s="280"/>
      <c r="BB151" s="280"/>
      <c r="BC151" s="281"/>
    </row>
    <row r="152" spans="1:67" ht="24.75" customHeight="1">
      <c r="G152" s="600" t="s">
        <v>123</v>
      </c>
      <c r="H152" s="601"/>
      <c r="I152" s="601"/>
      <c r="J152" s="601"/>
      <c r="K152" s="601"/>
      <c r="L152" s="619" t="s">
        <v>151</v>
      </c>
      <c r="M152" s="619"/>
      <c r="N152" s="619"/>
      <c r="O152" s="619"/>
      <c r="P152" s="619"/>
      <c r="Q152" s="619"/>
      <c r="R152" s="619"/>
      <c r="S152" s="619"/>
      <c r="T152" s="619"/>
      <c r="U152" s="619"/>
      <c r="V152" s="619"/>
      <c r="W152" s="619"/>
      <c r="X152" s="606">
        <f>'Terna Sensitivity Data'!C7</f>
        <v>1708</v>
      </c>
      <c r="Y152" s="606"/>
      <c r="Z152" s="606"/>
      <c r="AA152" s="606"/>
      <c r="AB152" s="606"/>
      <c r="AC152" s="606"/>
      <c r="AD152" s="606"/>
      <c r="AE152" s="606"/>
      <c r="AF152" s="606">
        <f>'Terna Sensitivity Data'!D7</f>
        <v>2607</v>
      </c>
      <c r="AG152" s="606"/>
      <c r="AH152" s="606"/>
      <c r="AI152" s="606"/>
      <c r="AJ152" s="606"/>
      <c r="AK152" s="606"/>
      <c r="AL152" s="606"/>
      <c r="AM152" s="606"/>
      <c r="AN152" s="606">
        <f>'Terna Sensitivity Data'!E7</f>
        <v>116</v>
      </c>
      <c r="AO152" s="606"/>
      <c r="AP152" s="606"/>
      <c r="AQ152" s="606"/>
      <c r="AR152" s="606"/>
      <c r="AS152" s="606"/>
      <c r="AT152" s="606"/>
      <c r="AU152" s="606"/>
      <c r="AV152" s="301">
        <f>'Terna Sensitivity Data'!F7</f>
        <v>787</v>
      </c>
      <c r="AW152" s="301"/>
      <c r="AX152" s="301"/>
      <c r="AY152" s="301"/>
      <c r="AZ152" s="301"/>
      <c r="BA152" s="301"/>
      <c r="BB152" s="301"/>
      <c r="BC152" s="302"/>
    </row>
    <row r="153" spans="1:67" ht="24.75" customHeight="1">
      <c r="G153" s="602"/>
      <c r="H153" s="603"/>
      <c r="I153" s="603"/>
      <c r="J153" s="603"/>
      <c r="K153" s="603"/>
      <c r="L153" s="607" t="s">
        <v>152</v>
      </c>
      <c r="M153" s="607"/>
      <c r="N153" s="607"/>
      <c r="O153" s="607"/>
      <c r="P153" s="607"/>
      <c r="Q153" s="607"/>
      <c r="R153" s="607"/>
      <c r="S153" s="607"/>
      <c r="T153" s="607"/>
      <c r="U153" s="607"/>
      <c r="V153" s="607"/>
      <c r="W153" s="607"/>
      <c r="X153" s="300">
        <f>IF('Terna Sensitivity Data'!$G$13=0,0,'Terna Sensitivity Data'!C13/'Terna Sensitivity Data'!$G$13)</f>
        <v>0.3735</v>
      </c>
      <c r="Y153" s="300"/>
      <c r="Z153" s="300"/>
      <c r="AA153" s="300"/>
      <c r="AB153" s="300"/>
      <c r="AC153" s="300"/>
      <c r="AD153" s="300"/>
      <c r="AE153" s="300"/>
      <c r="AF153" s="300">
        <f>IF('Terna Sensitivity Data'!$G$13=0,0,'Terna Sensitivity Data'!D13/'Terna Sensitivity Data'!$G$13)</f>
        <v>0.50266666666666671</v>
      </c>
      <c r="AG153" s="300"/>
      <c r="AH153" s="300"/>
      <c r="AI153" s="300"/>
      <c r="AJ153" s="300"/>
      <c r="AK153" s="300"/>
      <c r="AL153" s="300"/>
      <c r="AM153" s="300"/>
      <c r="AN153" s="300">
        <f>IF('Terna Sensitivity Data'!$G$13=0,0,'Terna Sensitivity Data'!E13/'Terna Sensitivity Data'!$G$13)</f>
        <v>3.7333333333333336E-2</v>
      </c>
      <c r="AO153" s="300"/>
      <c r="AP153" s="300"/>
      <c r="AQ153" s="300"/>
      <c r="AR153" s="300"/>
      <c r="AS153" s="300"/>
      <c r="AT153" s="300"/>
      <c r="AU153" s="300"/>
      <c r="AV153" s="625">
        <f>IF('Terna Sensitivity Data'!$G$13=0,0,'Terna Sensitivity Data'!F13/'Terna Sensitivity Data'!$G$13)</f>
        <v>8.6499999999999994E-2</v>
      </c>
      <c r="AW153" s="625"/>
      <c r="AX153" s="625"/>
      <c r="AY153" s="625"/>
      <c r="AZ153" s="625"/>
      <c r="BA153" s="625"/>
      <c r="BB153" s="625"/>
      <c r="BC153" s="626"/>
    </row>
    <row r="154" spans="1:67" ht="24.75" customHeight="1" thickBot="1">
      <c r="G154" s="604"/>
      <c r="H154" s="605"/>
      <c r="I154" s="605"/>
      <c r="J154" s="605"/>
      <c r="K154" s="605"/>
      <c r="L154" s="634" t="s">
        <v>153</v>
      </c>
      <c r="M154" s="634"/>
      <c r="N154" s="634"/>
      <c r="O154" s="634"/>
      <c r="P154" s="634"/>
      <c r="Q154" s="634"/>
      <c r="R154" s="634"/>
      <c r="S154" s="634"/>
      <c r="T154" s="634"/>
      <c r="U154" s="634"/>
      <c r="V154" s="634"/>
      <c r="W154" s="634"/>
      <c r="X154" s="608">
        <f>IF('Terna Sensitivity Data'!$H$7=0,0,('Terna Sensitivity Data'!C8-'Terna Sensitivity Data'!C7)/'Terna Sensitivity Data'!$H$7)</f>
        <v>-0.25343811394891946</v>
      </c>
      <c r="Y154" s="608"/>
      <c r="Z154" s="608"/>
      <c r="AA154" s="608"/>
      <c r="AB154" s="608"/>
      <c r="AC154" s="608"/>
      <c r="AD154" s="608"/>
      <c r="AE154" s="608"/>
      <c r="AF154" s="608">
        <f>IF('Terna Sensitivity Data'!$H$7=0,0,('Terna Sensitivity Data'!D8-'Terna Sensitivity Data'!D7)/'Terna Sensitivity Data'!$H$7)</f>
        <v>-0.56679764243614927</v>
      </c>
      <c r="AG154" s="608"/>
      <c r="AH154" s="608"/>
      <c r="AI154" s="608"/>
      <c r="AJ154" s="608"/>
      <c r="AK154" s="608"/>
      <c r="AL154" s="608"/>
      <c r="AM154" s="608"/>
      <c r="AN154" s="608">
        <f>IF('Terna Sensitivity Data'!$H$7=0,0,('Terna Sensitivity Data'!E8-'Terna Sensitivity Data'!E7)/'Terna Sensitivity Data'!$H$7)</f>
        <v>-3.6345776031434185E-2</v>
      </c>
      <c r="AO154" s="608"/>
      <c r="AP154" s="608"/>
      <c r="AQ154" s="608"/>
      <c r="AR154" s="608"/>
      <c r="AS154" s="608"/>
      <c r="AT154" s="608"/>
      <c r="AU154" s="608"/>
      <c r="AV154" s="297">
        <f>IF('Terna Sensitivity Data'!$H$7=0,0,('Terna Sensitivity Data'!F8-'Terna Sensitivity Data'!F7)/'Terna Sensitivity Data'!$H$7)</f>
        <v>-0.14341846758349705</v>
      </c>
      <c r="AW154" s="297"/>
      <c r="AX154" s="297"/>
      <c r="AY154" s="297"/>
      <c r="AZ154" s="297"/>
      <c r="BA154" s="297"/>
      <c r="BB154" s="297"/>
      <c r="BC154" s="298"/>
    </row>
    <row r="155" spans="1:67" ht="24.75" customHeight="1">
      <c r="G155" s="287" t="s">
        <v>53</v>
      </c>
      <c r="H155" s="288"/>
      <c r="I155" s="288"/>
      <c r="J155" s="288"/>
      <c r="K155" s="288"/>
      <c r="L155" s="294" t="s">
        <v>151</v>
      </c>
      <c r="M155" s="294"/>
      <c r="N155" s="294"/>
      <c r="O155" s="294"/>
      <c r="P155" s="294"/>
      <c r="Q155" s="294"/>
      <c r="R155" s="294"/>
      <c r="S155" s="294"/>
      <c r="T155" s="294"/>
      <c r="U155" s="294"/>
      <c r="V155" s="294"/>
      <c r="W155" s="294"/>
      <c r="X155" s="299">
        <f>'Terna Sensitivity Data'!C5</f>
        <v>2401</v>
      </c>
      <c r="Y155" s="299"/>
      <c r="Z155" s="299"/>
      <c r="AA155" s="299"/>
      <c r="AB155" s="299"/>
      <c r="AC155" s="299"/>
      <c r="AD155" s="299"/>
      <c r="AE155" s="299"/>
      <c r="AF155" s="299">
        <f>'Terna Sensitivity Data'!D5</f>
        <v>4673</v>
      </c>
      <c r="AG155" s="299"/>
      <c r="AH155" s="299"/>
      <c r="AI155" s="299"/>
      <c r="AJ155" s="299"/>
      <c r="AK155" s="299"/>
      <c r="AL155" s="299"/>
      <c r="AM155" s="299"/>
      <c r="AN155" s="299">
        <f>'Terna Sensitivity Data'!E5</f>
        <v>120</v>
      </c>
      <c r="AO155" s="299"/>
      <c r="AP155" s="299"/>
      <c r="AQ155" s="299"/>
      <c r="AR155" s="299"/>
      <c r="AS155" s="299"/>
      <c r="AT155" s="299"/>
      <c r="AU155" s="299"/>
      <c r="AV155" s="275">
        <f>'Terna Sensitivity Data'!F5</f>
        <v>779</v>
      </c>
      <c r="AW155" s="275"/>
      <c r="AX155" s="275"/>
      <c r="AY155" s="275"/>
      <c r="AZ155" s="275"/>
      <c r="BA155" s="275"/>
      <c r="BB155" s="275"/>
      <c r="BC155" s="276"/>
    </row>
    <row r="156" spans="1:67" ht="24.75" customHeight="1">
      <c r="G156" s="289"/>
      <c r="H156" s="290"/>
      <c r="I156" s="290"/>
      <c r="J156" s="290"/>
      <c r="K156" s="290"/>
      <c r="L156" s="306" t="s">
        <v>152</v>
      </c>
      <c r="M156" s="306"/>
      <c r="N156" s="306"/>
      <c r="O156" s="306"/>
      <c r="P156" s="306"/>
      <c r="Q156" s="306"/>
      <c r="R156" s="306"/>
      <c r="S156" s="306"/>
      <c r="T156" s="306"/>
      <c r="U156" s="306"/>
      <c r="V156" s="306"/>
      <c r="W156" s="306"/>
      <c r="X156" s="635">
        <f>IF('Terna Sensitivity Data'!$G$12=0,0,'Terna Sensitivity Data'!C12/'Terna Sensitivity Data'!$G$12)</f>
        <v>0.39563521092416482</v>
      </c>
      <c r="Y156" s="635"/>
      <c r="Z156" s="635"/>
      <c r="AA156" s="635"/>
      <c r="AB156" s="635"/>
      <c r="AC156" s="635"/>
      <c r="AD156" s="635"/>
      <c r="AE156" s="635"/>
      <c r="AF156" s="635">
        <f>IF('Terna Sensitivity Data'!$G$12=0,0,'Terna Sensitivity Data'!D12/'Terna Sensitivity Data'!$G$12)</f>
        <v>0.48646671543525971</v>
      </c>
      <c r="AG156" s="635"/>
      <c r="AH156" s="635"/>
      <c r="AI156" s="635"/>
      <c r="AJ156" s="635"/>
      <c r="AK156" s="635"/>
      <c r="AL156" s="635"/>
      <c r="AM156" s="635"/>
      <c r="AN156" s="635">
        <f>IF('Terna Sensitivity Data'!$G$12=0,0,'Terna Sensitivity Data'!E12/'Terna Sensitivity Data'!$G$12)</f>
        <v>3.5966837356742255E-2</v>
      </c>
      <c r="AO156" s="635"/>
      <c r="AP156" s="635"/>
      <c r="AQ156" s="635"/>
      <c r="AR156" s="635"/>
      <c r="AS156" s="635"/>
      <c r="AT156" s="635"/>
      <c r="AU156" s="635"/>
      <c r="AV156" s="674">
        <f>IF('Terna Sensitivity Data'!$G$12=0,0,'Terna Sensitivity Data'!F12/'Terna Sensitivity Data'!$G$12)</f>
        <v>8.1931236283833211E-2</v>
      </c>
      <c r="AW156" s="674"/>
      <c r="AX156" s="674"/>
      <c r="AY156" s="674"/>
      <c r="AZ156" s="674"/>
      <c r="BA156" s="674"/>
      <c r="BB156" s="674"/>
      <c r="BC156" s="675"/>
    </row>
    <row r="157" spans="1:67" ht="24.75" customHeight="1" thickBot="1">
      <c r="G157" s="291"/>
      <c r="H157" s="292"/>
      <c r="I157" s="292"/>
      <c r="J157" s="292"/>
      <c r="K157" s="292"/>
      <c r="L157" s="305" t="s">
        <v>153</v>
      </c>
      <c r="M157" s="305"/>
      <c r="N157" s="305"/>
      <c r="O157" s="305"/>
      <c r="P157" s="305"/>
      <c r="Q157" s="305"/>
      <c r="R157" s="305"/>
      <c r="S157" s="305"/>
      <c r="T157" s="305"/>
      <c r="U157" s="305"/>
      <c r="V157" s="305"/>
      <c r="W157" s="305"/>
      <c r="X157" s="293">
        <f>IF('Terna Sensitivity Data'!$H$5=0,0,('Terna Sensitivity Data'!C6-'Terna Sensitivity Data'!C5)/'Terna Sensitivity Data'!$H$5)</f>
        <v>-0.26878612716763006</v>
      </c>
      <c r="Y157" s="293"/>
      <c r="Z157" s="293"/>
      <c r="AA157" s="293"/>
      <c r="AB157" s="293"/>
      <c r="AC157" s="293"/>
      <c r="AD157" s="293"/>
      <c r="AE157" s="293"/>
      <c r="AF157" s="293">
        <f>IF('Terna Sensitivity Data'!$H$5=0,0,('Terna Sensitivity Data'!D6-'Terna Sensitivity Data'!D5)/'Terna Sensitivity Data'!$H$5)</f>
        <v>-0.54720616570327552</v>
      </c>
      <c r="AG157" s="293"/>
      <c r="AH157" s="293"/>
      <c r="AI157" s="293"/>
      <c r="AJ157" s="293"/>
      <c r="AK157" s="293"/>
      <c r="AL157" s="293"/>
      <c r="AM157" s="293"/>
      <c r="AN157" s="293">
        <f>IF('Terna Sensitivity Data'!$H$5=0,0,('Terna Sensitivity Data'!E6-'Terna Sensitivity Data'!E5)/'Terna Sensitivity Data'!$H$5)</f>
        <v>-3.7572254335260118E-2</v>
      </c>
      <c r="AO157" s="293"/>
      <c r="AP157" s="293"/>
      <c r="AQ157" s="293"/>
      <c r="AR157" s="293"/>
      <c r="AS157" s="293"/>
      <c r="AT157" s="293"/>
      <c r="AU157" s="293"/>
      <c r="AV157" s="295">
        <f>IF('Terna Sensitivity Data'!$H$5=0,0,('Terna Sensitivity Data'!F6-'Terna Sensitivity Data'!F5)/'Terna Sensitivity Data'!$H$5)</f>
        <v>-0.1464354527938343</v>
      </c>
      <c r="AW157" s="295"/>
      <c r="AX157" s="295"/>
      <c r="AY157" s="295"/>
      <c r="AZ157" s="295"/>
      <c r="BA157" s="295"/>
      <c r="BB157" s="295"/>
      <c r="BC157" s="296"/>
    </row>
    <row r="158" spans="1:67" ht="16.5" customHeight="1">
      <c r="F158" s="78"/>
      <c r="G158" s="163"/>
      <c r="H158" s="163"/>
      <c r="I158" s="163"/>
      <c r="J158" s="163"/>
      <c r="K158" s="163"/>
      <c r="L158" s="164"/>
      <c r="M158" s="164"/>
      <c r="N158" s="164"/>
      <c r="O158" s="164"/>
      <c r="P158" s="164"/>
      <c r="Q158" s="164"/>
      <c r="R158" s="164"/>
      <c r="S158" s="164"/>
      <c r="T158" s="164"/>
      <c r="U158" s="164"/>
      <c r="V158" s="164"/>
      <c r="W158" s="164"/>
      <c r="X158" s="165"/>
      <c r="Y158" s="165"/>
      <c r="Z158" s="165"/>
      <c r="AA158" s="165"/>
      <c r="AB158" s="165"/>
      <c r="AC158" s="165"/>
      <c r="AD158" s="165"/>
      <c r="AE158" s="165"/>
      <c r="AF158" s="165"/>
      <c r="AG158" s="165"/>
      <c r="AH158" s="165"/>
      <c r="AI158" s="165"/>
      <c r="AJ158" s="165"/>
      <c r="AK158" s="165"/>
      <c r="AL158" s="165"/>
      <c r="AM158" s="165"/>
      <c r="AN158" s="165"/>
      <c r="AO158" s="165"/>
      <c r="AP158" s="165"/>
      <c r="AQ158" s="165"/>
      <c r="AR158" s="165"/>
      <c r="AS158" s="165"/>
      <c r="AT158" s="165"/>
      <c r="AU158" s="165"/>
      <c r="AV158" s="166"/>
      <c r="AW158" s="166"/>
      <c r="AX158" s="166"/>
      <c r="AY158" s="166"/>
      <c r="AZ158" s="166"/>
      <c r="BA158" s="166"/>
      <c r="BB158" s="166"/>
      <c r="BC158" s="166"/>
      <c r="BD158" s="78"/>
    </row>
    <row r="159" spans="1:67" ht="19.5" customHeight="1">
      <c r="D159" s="83" t="s">
        <v>199</v>
      </c>
    </row>
    <row r="160" spans="1:67" ht="18.75" customHeight="1">
      <c r="D160" s="644" t="s">
        <v>141</v>
      </c>
      <c r="E160" s="644"/>
      <c r="F160" s="644"/>
      <c r="G160" s="644"/>
      <c r="H160" s="644"/>
      <c r="I160" s="644"/>
      <c r="J160" s="644"/>
      <c r="K160" s="644"/>
      <c r="L160" s="644"/>
      <c r="M160" s="644"/>
      <c r="N160" s="644"/>
      <c r="O160" s="644"/>
      <c r="P160" s="644"/>
      <c r="Q160" s="644"/>
      <c r="R160" s="644"/>
      <c r="S160" s="644"/>
      <c r="T160" s="644"/>
      <c r="U160" s="644"/>
      <c r="V160" s="644"/>
      <c r="W160" s="644"/>
      <c r="X160" s="644"/>
      <c r="Y160" s="644"/>
      <c r="Z160" s="644"/>
      <c r="AA160" s="644"/>
      <c r="AB160" s="644"/>
      <c r="AC160" s="644"/>
      <c r="AD160" s="644"/>
      <c r="AE160" s="644"/>
      <c r="AF160" s="644"/>
      <c r="AG160" s="644"/>
      <c r="AH160" s="644"/>
      <c r="AI160" s="644"/>
      <c r="AJ160" s="644"/>
      <c r="AK160" s="644"/>
      <c r="AL160" s="644"/>
      <c r="AM160" s="644"/>
      <c r="AN160" s="644"/>
      <c r="AO160" s="644"/>
      <c r="AP160" s="644"/>
      <c r="AQ160" s="644"/>
      <c r="AR160" s="644"/>
      <c r="AS160" s="644"/>
      <c r="AT160" s="644"/>
      <c r="AU160" s="644"/>
      <c r="AV160" s="644"/>
      <c r="AW160" s="644"/>
      <c r="AX160" s="644"/>
      <c r="AY160" s="644"/>
      <c r="AZ160" s="644"/>
      <c r="BA160" s="644"/>
      <c r="BB160" s="644"/>
      <c r="BC160" s="644"/>
      <c r="BD160" s="644"/>
      <c r="BE160" s="644"/>
      <c r="BF160" s="644"/>
      <c r="BG160" s="644"/>
      <c r="BH160" s="644"/>
      <c r="BI160" s="644"/>
      <c r="BJ160" s="644"/>
      <c r="BK160" s="644"/>
    </row>
    <row r="161" spans="1:63" ht="8.25" customHeight="1">
      <c r="D161" s="110"/>
      <c r="E161" s="110"/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60"/>
    </row>
    <row r="162" spans="1:63" s="88" customFormat="1" ht="15.75" customHeight="1">
      <c r="A162" s="66"/>
      <c r="B162" s="66"/>
      <c r="C162" s="188"/>
      <c r="D162" s="189"/>
      <c r="E162" s="189"/>
      <c r="F162" s="190"/>
      <c r="G162" s="258" t="s">
        <v>17</v>
      </c>
      <c r="H162" s="258"/>
      <c r="I162" s="258"/>
      <c r="J162" s="258"/>
      <c r="K162" s="258"/>
      <c r="L162" s="258"/>
      <c r="M162" s="258" t="s">
        <v>172</v>
      </c>
      <c r="N162" s="258"/>
      <c r="O162" s="258"/>
      <c r="P162" s="258"/>
      <c r="Q162" s="258"/>
      <c r="R162" s="258"/>
      <c r="S162" s="258"/>
      <c r="T162" s="258"/>
      <c r="U162" s="258"/>
      <c r="V162" s="258"/>
      <c r="W162" s="258"/>
      <c r="X162" s="258"/>
      <c r="Y162" s="258"/>
      <c r="Z162" s="258"/>
      <c r="AA162" s="258"/>
      <c r="AB162" s="258"/>
      <c r="AC162" s="258"/>
      <c r="AD162" s="258"/>
      <c r="AE162" s="258"/>
      <c r="AF162" s="258"/>
      <c r="AG162" s="258"/>
      <c r="AH162" s="258"/>
      <c r="AI162" s="258"/>
      <c r="AJ162" s="255" t="s">
        <v>43</v>
      </c>
      <c r="AK162" s="256"/>
      <c r="AL162" s="256"/>
      <c r="AM162" s="256"/>
      <c r="AN162" s="256"/>
      <c r="AO162" s="256"/>
      <c r="AP162" s="256"/>
      <c r="AQ162" s="256"/>
      <c r="AR162" s="256"/>
      <c r="AS162" s="256"/>
      <c r="AT162" s="256"/>
      <c r="AU162" s="256"/>
      <c r="AV162" s="256"/>
      <c r="AW162" s="256"/>
      <c r="AX162" s="256"/>
      <c r="AY162" s="256"/>
      <c r="AZ162" s="256"/>
      <c r="BA162" s="256"/>
      <c r="BB162" s="256"/>
      <c r="BC162" s="256"/>
      <c r="BD162" s="256"/>
      <c r="BE162" s="256"/>
      <c r="BF162" s="256"/>
      <c r="BG162" s="256"/>
      <c r="BH162" s="256"/>
      <c r="BI162" s="257"/>
      <c r="BJ162" s="66"/>
      <c r="BK162" s="161"/>
    </row>
    <row r="163" spans="1:63" s="88" customFormat="1" ht="15.75" customHeight="1">
      <c r="A163" s="66"/>
      <c r="B163" s="66"/>
      <c r="C163" s="191"/>
      <c r="D163" s="192"/>
      <c r="E163" s="192"/>
      <c r="F163" s="193"/>
      <c r="G163" s="258"/>
      <c r="H163" s="258"/>
      <c r="I163" s="258"/>
      <c r="J163" s="258"/>
      <c r="K163" s="258"/>
      <c r="L163" s="258"/>
      <c r="M163" s="258" t="s">
        <v>44</v>
      </c>
      <c r="N163" s="258"/>
      <c r="O163" s="258"/>
      <c r="P163" s="258" t="s">
        <v>45</v>
      </c>
      <c r="Q163" s="258"/>
      <c r="R163" s="258"/>
      <c r="S163" s="258"/>
      <c r="T163" s="258"/>
      <c r="U163" s="258"/>
      <c r="V163" s="258"/>
      <c r="W163" s="258"/>
      <c r="X163" s="258" t="s">
        <v>46</v>
      </c>
      <c r="Y163" s="258"/>
      <c r="Z163" s="258"/>
      <c r="AA163" s="258"/>
      <c r="AB163" s="258"/>
      <c r="AC163" s="258"/>
      <c r="AD163" s="258"/>
      <c r="AE163" s="258"/>
      <c r="AF163" s="258" t="s">
        <v>47</v>
      </c>
      <c r="AG163" s="258"/>
      <c r="AH163" s="258"/>
      <c r="AI163" s="258"/>
      <c r="AJ163" s="262" t="s">
        <v>48</v>
      </c>
      <c r="AK163" s="262"/>
      <c r="AL163" s="262"/>
      <c r="AM163" s="262"/>
      <c r="AN163" s="259" t="s">
        <v>44</v>
      </c>
      <c r="AO163" s="260"/>
      <c r="AP163" s="261"/>
      <c r="AQ163" s="258" t="s">
        <v>45</v>
      </c>
      <c r="AR163" s="258"/>
      <c r="AS163" s="258"/>
      <c r="AT163" s="258"/>
      <c r="AU163" s="258"/>
      <c r="AV163" s="258"/>
      <c r="AW163" s="258"/>
      <c r="AX163" s="258" t="s">
        <v>46</v>
      </c>
      <c r="AY163" s="258"/>
      <c r="AZ163" s="258"/>
      <c r="BA163" s="258"/>
      <c r="BB163" s="258"/>
      <c r="BC163" s="258"/>
      <c r="BD163" s="258"/>
      <c r="BE163" s="258" t="s">
        <v>47</v>
      </c>
      <c r="BF163" s="258"/>
      <c r="BG163" s="258"/>
      <c r="BH163" s="258"/>
      <c r="BI163" s="258"/>
      <c r="BJ163" s="66"/>
      <c r="BK163" s="161"/>
    </row>
    <row r="164" spans="1:63" s="88" customFormat="1" ht="27.75" customHeight="1">
      <c r="A164" s="66"/>
      <c r="B164" s="66"/>
      <c r="C164" s="225" t="s">
        <v>123</v>
      </c>
      <c r="D164" s="226"/>
      <c r="E164" s="226"/>
      <c r="F164" s="227"/>
      <c r="G164" s="231" t="s">
        <v>11</v>
      </c>
      <c r="H164" s="232"/>
      <c r="I164" s="232"/>
      <c r="J164" s="232"/>
      <c r="K164" s="232"/>
      <c r="L164" s="233"/>
      <c r="M164" s="243">
        <v>380</v>
      </c>
      <c r="N164" s="244"/>
      <c r="O164" s="245"/>
      <c r="P164" s="243" t="s">
        <v>42</v>
      </c>
      <c r="Q164" s="244"/>
      <c r="R164" s="244"/>
      <c r="S164" s="244"/>
      <c r="T164" s="244"/>
      <c r="U164" s="244"/>
      <c r="V164" s="244"/>
      <c r="W164" s="245"/>
      <c r="X164" s="249" t="s">
        <v>499</v>
      </c>
      <c r="Y164" s="244"/>
      <c r="Z164" s="244"/>
      <c r="AA164" s="244"/>
      <c r="AB164" s="244"/>
      <c r="AC164" s="244"/>
      <c r="AD164" s="244"/>
      <c r="AE164" s="245"/>
      <c r="AF164" s="243" t="s">
        <v>355</v>
      </c>
      <c r="AG164" s="244"/>
      <c r="AH164" s="244"/>
      <c r="AI164" s="245"/>
      <c r="AJ164" s="237" t="s">
        <v>500</v>
      </c>
      <c r="AK164" s="238"/>
      <c r="AL164" s="238"/>
      <c r="AM164" s="239"/>
      <c r="AN164" s="240">
        <v>220</v>
      </c>
      <c r="AO164" s="241"/>
      <c r="AP164" s="242"/>
      <c r="AQ164" s="240" t="s">
        <v>42</v>
      </c>
      <c r="AR164" s="241"/>
      <c r="AS164" s="241"/>
      <c r="AT164" s="241"/>
      <c r="AU164" s="241"/>
      <c r="AV164" s="241"/>
      <c r="AW164" s="242"/>
      <c r="AX164" s="263" t="s">
        <v>501</v>
      </c>
      <c r="AY164" s="241"/>
      <c r="AZ164" s="241"/>
      <c r="BA164" s="241"/>
      <c r="BB164" s="241"/>
      <c r="BC164" s="241"/>
      <c r="BD164" s="242"/>
      <c r="BE164" s="243"/>
      <c r="BF164" s="244"/>
      <c r="BG164" s="244"/>
      <c r="BH164" s="244"/>
      <c r="BI164" s="245"/>
      <c r="BJ164" s="66"/>
      <c r="BK164" s="161"/>
    </row>
    <row r="165" spans="1:63" s="88" customFormat="1" ht="27.75" customHeight="1">
      <c r="A165" s="66"/>
      <c r="B165" s="66"/>
      <c r="C165" s="228"/>
      <c r="D165" s="229"/>
      <c r="E165" s="229"/>
      <c r="F165" s="230"/>
      <c r="G165" s="234"/>
      <c r="H165" s="235"/>
      <c r="I165" s="235"/>
      <c r="J165" s="235"/>
      <c r="K165" s="235"/>
      <c r="L165" s="236"/>
      <c r="M165" s="220" t="s">
        <v>502</v>
      </c>
      <c r="N165" s="221"/>
      <c r="O165" s="221"/>
      <c r="P165" s="221"/>
      <c r="Q165" s="221"/>
      <c r="R165" s="221"/>
      <c r="S165" s="221"/>
      <c r="T165" s="221"/>
      <c r="U165" s="221"/>
      <c r="V165" s="221"/>
      <c r="W165" s="221"/>
      <c r="X165" s="221"/>
      <c r="Y165" s="221"/>
      <c r="Z165" s="221"/>
      <c r="AA165" s="221"/>
      <c r="AB165" s="221"/>
      <c r="AC165" s="221"/>
      <c r="AD165" s="221"/>
      <c r="AE165" s="221"/>
      <c r="AF165" s="221"/>
      <c r="AG165" s="221"/>
      <c r="AH165" s="221"/>
      <c r="AI165" s="221"/>
      <c r="AJ165" s="221"/>
      <c r="AK165" s="221"/>
      <c r="AL165" s="221"/>
      <c r="AM165" s="221"/>
      <c r="AN165" s="221"/>
      <c r="AO165" s="221"/>
      <c r="AP165" s="221"/>
      <c r="AQ165" s="221"/>
      <c r="AR165" s="221"/>
      <c r="AS165" s="221"/>
      <c r="AT165" s="221"/>
      <c r="AU165" s="221"/>
      <c r="AV165" s="221"/>
      <c r="AW165" s="221"/>
      <c r="AX165" s="221"/>
      <c r="AY165" s="221"/>
      <c r="AZ165" s="221"/>
      <c r="BA165" s="221"/>
      <c r="BB165" s="221"/>
      <c r="BC165" s="221"/>
      <c r="BD165" s="221"/>
      <c r="BE165" s="221"/>
      <c r="BF165" s="221"/>
      <c r="BG165" s="221"/>
      <c r="BH165" s="221"/>
      <c r="BI165" s="222"/>
      <c r="BJ165" s="66"/>
      <c r="BK165" s="161"/>
    </row>
    <row r="166" spans="1:63" s="202" customFormat="1" ht="15.75" customHeight="1">
      <c r="A166" s="200"/>
      <c r="B166" s="200"/>
      <c r="C166" s="205"/>
      <c r="D166" s="205"/>
      <c r="E166" s="205"/>
      <c r="F166" s="205"/>
      <c r="G166" s="199"/>
      <c r="H166" s="199"/>
      <c r="I166" s="199"/>
      <c r="J166" s="199"/>
      <c r="K166" s="199"/>
      <c r="L166" s="199"/>
      <c r="M166" s="201"/>
      <c r="N166" s="201"/>
      <c r="O166" s="201"/>
      <c r="P166" s="201"/>
      <c r="Q166" s="201"/>
      <c r="R166" s="201"/>
      <c r="S166" s="201"/>
      <c r="T166" s="201"/>
      <c r="U166" s="201"/>
      <c r="V166" s="201"/>
      <c r="W166" s="201"/>
      <c r="X166" s="201"/>
      <c r="Y166" s="201"/>
      <c r="Z166" s="201"/>
      <c r="AA166" s="201"/>
      <c r="AB166" s="201"/>
      <c r="AC166" s="201"/>
      <c r="AD166" s="201"/>
      <c r="AE166" s="201"/>
      <c r="AF166" s="201"/>
      <c r="AG166" s="201"/>
      <c r="AH166" s="201"/>
      <c r="AI166" s="201"/>
      <c r="AJ166" s="201"/>
      <c r="AK166" s="201"/>
      <c r="AL166" s="201"/>
      <c r="AM166" s="201"/>
      <c r="AN166" s="201"/>
      <c r="AO166" s="201"/>
      <c r="AP166" s="201"/>
      <c r="AQ166" s="201"/>
      <c r="AR166" s="201"/>
      <c r="AS166" s="201"/>
      <c r="AT166" s="201"/>
      <c r="AU166" s="201"/>
      <c r="AV166" s="201"/>
      <c r="AW166" s="201"/>
      <c r="AX166" s="201"/>
      <c r="AY166" s="201"/>
      <c r="AZ166" s="201"/>
      <c r="BA166" s="201"/>
      <c r="BB166" s="201"/>
      <c r="BC166" s="201"/>
      <c r="BD166" s="201"/>
      <c r="BE166" s="201"/>
      <c r="BF166" s="201"/>
      <c r="BG166" s="201"/>
      <c r="BH166" s="201"/>
      <c r="BI166" s="201"/>
    </row>
    <row r="167" spans="1:63" s="202" customFormat="1" ht="15.75" customHeight="1">
      <c r="A167" s="200"/>
      <c r="B167" s="200"/>
      <c r="C167" s="205"/>
      <c r="D167" s="205"/>
      <c r="E167" s="205"/>
      <c r="F167" s="205"/>
      <c r="G167" s="199"/>
      <c r="H167" s="199"/>
      <c r="I167" s="199"/>
      <c r="J167" s="199"/>
      <c r="K167" s="199"/>
      <c r="L167" s="199"/>
      <c r="M167" s="201"/>
      <c r="N167" s="201"/>
      <c r="O167" s="201"/>
      <c r="P167" s="201"/>
      <c r="Q167" s="201"/>
      <c r="R167" s="201"/>
      <c r="S167" s="201"/>
      <c r="T167" s="201"/>
      <c r="U167" s="201"/>
      <c r="V167" s="201"/>
      <c r="W167" s="201"/>
      <c r="X167" s="201"/>
      <c r="Y167" s="201"/>
      <c r="Z167" s="201"/>
      <c r="AA167" s="201"/>
      <c r="AB167" s="201"/>
      <c r="AC167" s="201"/>
      <c r="AD167" s="201"/>
      <c r="AE167" s="201"/>
      <c r="AF167" s="201"/>
      <c r="AG167" s="201"/>
      <c r="AH167" s="201"/>
      <c r="AI167" s="201"/>
      <c r="AJ167" s="201"/>
      <c r="AK167" s="201"/>
      <c r="AL167" s="201"/>
      <c r="AM167" s="201"/>
      <c r="AN167" s="201"/>
      <c r="AO167" s="201"/>
      <c r="AP167" s="201"/>
      <c r="AQ167" s="201"/>
      <c r="AR167" s="201"/>
      <c r="AS167" s="201"/>
      <c r="AT167" s="201"/>
      <c r="AU167" s="201"/>
      <c r="AV167" s="201"/>
      <c r="AW167" s="201"/>
      <c r="AX167" s="201"/>
      <c r="AY167" s="201"/>
      <c r="AZ167" s="201"/>
      <c r="BA167" s="201"/>
      <c r="BB167" s="201"/>
      <c r="BC167" s="201"/>
      <c r="BD167" s="201"/>
      <c r="BE167" s="201"/>
      <c r="BF167" s="201"/>
      <c r="BG167" s="201"/>
      <c r="BH167" s="201"/>
      <c r="BI167" s="201"/>
    </row>
    <row r="168" spans="1:63" ht="19.5" customHeight="1">
      <c r="C168" s="78"/>
      <c r="D168" s="83" t="s">
        <v>383</v>
      </c>
      <c r="E168" s="112"/>
      <c r="F168" s="112"/>
      <c r="G168" s="112"/>
      <c r="H168" s="112"/>
      <c r="I168" s="112"/>
      <c r="J168" s="112"/>
      <c r="K168" s="112"/>
      <c r="L168" s="112"/>
      <c r="M168" s="112"/>
      <c r="N168" s="112"/>
      <c r="O168" s="112"/>
      <c r="P168" s="112"/>
      <c r="Q168" s="112"/>
      <c r="R168" s="112"/>
      <c r="S168" s="112"/>
      <c r="T168" s="112"/>
      <c r="U168" s="112"/>
      <c r="V168" s="112"/>
      <c r="W168" s="112"/>
      <c r="X168" s="112"/>
      <c r="Y168" s="112"/>
      <c r="Z168" s="112"/>
      <c r="AA168" s="112"/>
      <c r="AB168" s="112"/>
      <c r="AC168" s="112"/>
      <c r="AD168" s="112"/>
      <c r="AE168" s="112"/>
      <c r="AF168" s="112"/>
      <c r="AG168" s="112"/>
      <c r="AH168" s="112"/>
      <c r="AI168" s="112"/>
      <c r="AJ168" s="112"/>
      <c r="AK168" s="112"/>
      <c r="AL168" s="112"/>
      <c r="AM168" s="112"/>
      <c r="AN168" s="112"/>
      <c r="AO168" s="112"/>
      <c r="AP168" s="112"/>
      <c r="AQ168" s="112"/>
      <c r="AR168" s="112"/>
      <c r="AS168" s="112"/>
      <c r="AT168" s="112"/>
      <c r="AU168" s="112"/>
      <c r="AV168" s="112"/>
      <c r="AW168" s="112"/>
      <c r="AX168" s="112"/>
      <c r="AY168" s="112"/>
      <c r="AZ168" s="112"/>
      <c r="BA168" s="112"/>
      <c r="BB168" s="112"/>
      <c r="BC168" s="112"/>
      <c r="BD168" s="112"/>
      <c r="BE168" s="112"/>
      <c r="BF168" s="112"/>
      <c r="BG168" s="112"/>
      <c r="BH168" s="112"/>
      <c r="BI168" s="112"/>
      <c r="BJ168" s="112"/>
      <c r="BK168" s="160"/>
    </row>
    <row r="169" spans="1:63" ht="18.75" customHeight="1">
      <c r="D169" s="224" t="s">
        <v>202</v>
      </c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24"/>
      <c r="S169" s="224"/>
      <c r="T169" s="224"/>
      <c r="U169" s="224"/>
      <c r="V169" s="224"/>
      <c r="W169" s="224"/>
      <c r="X169" s="224"/>
      <c r="Y169" s="224"/>
      <c r="Z169" s="224"/>
      <c r="AA169" s="224"/>
      <c r="AB169" s="224"/>
      <c r="AC169" s="224"/>
      <c r="AD169" s="224"/>
      <c r="AE169" s="224"/>
      <c r="AF169" s="224"/>
      <c r="AG169" s="224"/>
      <c r="AH169" s="224"/>
      <c r="AI169" s="224"/>
      <c r="AJ169" s="224"/>
      <c r="AK169" s="224"/>
      <c r="AL169" s="224"/>
      <c r="AM169" s="224"/>
      <c r="AN169" s="224"/>
      <c r="AO169" s="224"/>
      <c r="AP169" s="224"/>
      <c r="AQ169" s="224"/>
      <c r="AR169" s="224"/>
      <c r="AS169" s="224"/>
      <c r="AT169" s="224"/>
      <c r="AU169" s="224"/>
      <c r="AV169" s="224"/>
      <c r="AW169" s="224"/>
      <c r="AX169" s="224"/>
      <c r="AY169" s="224"/>
      <c r="AZ169" s="224"/>
      <c r="BA169" s="224"/>
      <c r="BB169" s="224"/>
      <c r="BC169" s="224"/>
      <c r="BD169" s="224"/>
      <c r="BE169" s="224"/>
      <c r="BF169" s="224"/>
      <c r="BG169" s="224"/>
      <c r="BH169" s="224"/>
      <c r="BI169" s="224"/>
      <c r="BJ169" s="224"/>
      <c r="BK169" s="224"/>
    </row>
    <row r="170" spans="1:63" ht="8.25" customHeight="1"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23"/>
      <c r="S170" s="223"/>
      <c r="T170" s="223"/>
      <c r="U170" s="223"/>
      <c r="V170" s="223"/>
      <c r="W170" s="223"/>
      <c r="X170" s="223"/>
      <c r="Y170" s="223"/>
      <c r="Z170" s="223"/>
      <c r="AA170" s="223"/>
      <c r="AB170" s="223"/>
      <c r="AC170" s="223"/>
      <c r="AD170" s="223"/>
      <c r="AE170" s="223"/>
      <c r="AF170" s="223"/>
      <c r="AG170" s="223"/>
      <c r="AH170" s="223"/>
      <c r="AI170" s="223"/>
      <c r="AJ170" s="223"/>
      <c r="AK170" s="223"/>
      <c r="AL170" s="223"/>
      <c r="AM170" s="223"/>
      <c r="AN170" s="223"/>
      <c r="AO170" s="223"/>
      <c r="AP170" s="223"/>
      <c r="AQ170" s="223"/>
      <c r="AR170" s="223"/>
      <c r="AS170" s="223"/>
      <c r="AT170" s="223"/>
      <c r="AU170" s="223"/>
      <c r="AV170" s="223"/>
      <c r="AW170" s="223"/>
      <c r="AX170" s="223"/>
      <c r="AY170" s="223"/>
      <c r="AZ170" s="223"/>
      <c r="BA170" s="223"/>
      <c r="BB170" s="223"/>
      <c r="BC170" s="223"/>
      <c r="BD170" s="223"/>
      <c r="BE170" s="223"/>
      <c r="BF170" s="223"/>
      <c r="BG170" s="223"/>
      <c r="BH170" s="174"/>
    </row>
    <row r="171" spans="1:63" s="88" customFormat="1" ht="15.75" customHeight="1">
      <c r="A171" s="66"/>
      <c r="B171" s="66"/>
      <c r="C171" s="255"/>
      <c r="D171" s="256"/>
      <c r="E171" s="256"/>
      <c r="F171" s="257"/>
      <c r="G171" s="255" t="s">
        <v>17</v>
      </c>
      <c r="H171" s="256"/>
      <c r="I171" s="256"/>
      <c r="J171" s="256"/>
      <c r="K171" s="256"/>
      <c r="L171" s="257"/>
      <c r="M171" s="258" t="s">
        <v>172</v>
      </c>
      <c r="N171" s="258"/>
      <c r="O171" s="258"/>
      <c r="P171" s="258"/>
      <c r="Q171" s="258"/>
      <c r="R171" s="258"/>
      <c r="S171" s="258"/>
      <c r="T171" s="258"/>
      <c r="U171" s="258"/>
      <c r="V171" s="258"/>
      <c r="W171" s="258"/>
      <c r="X171" s="258"/>
      <c r="Y171" s="258"/>
      <c r="Z171" s="258"/>
      <c r="AA171" s="258"/>
      <c r="AB171" s="258"/>
      <c r="AC171" s="258"/>
      <c r="AD171" s="258"/>
      <c r="AE171" s="258"/>
      <c r="AF171" s="258"/>
      <c r="AG171" s="258"/>
      <c r="AH171" s="258"/>
      <c r="AI171" s="258"/>
      <c r="AJ171" s="259" t="s">
        <v>43</v>
      </c>
      <c r="AK171" s="260"/>
      <c r="AL171" s="260"/>
      <c r="AM171" s="260"/>
      <c r="AN171" s="260"/>
      <c r="AO171" s="260"/>
      <c r="AP171" s="260"/>
      <c r="AQ171" s="260"/>
      <c r="AR171" s="260"/>
      <c r="AS171" s="260"/>
      <c r="AT171" s="260"/>
      <c r="AU171" s="260"/>
      <c r="AV171" s="260"/>
      <c r="AW171" s="260"/>
      <c r="AX171" s="260"/>
      <c r="AY171" s="260"/>
      <c r="AZ171" s="260"/>
      <c r="BA171" s="260"/>
      <c r="BB171" s="260"/>
      <c r="BC171" s="260"/>
      <c r="BD171" s="260"/>
      <c r="BE171" s="260"/>
      <c r="BF171" s="260"/>
      <c r="BG171" s="260"/>
      <c r="BH171" s="260"/>
      <c r="BI171" s="261"/>
      <c r="BJ171" s="66"/>
      <c r="BK171" s="161"/>
    </row>
    <row r="172" spans="1:63" s="88" customFormat="1" ht="15.75" customHeight="1">
      <c r="A172" s="66"/>
      <c r="B172" s="66"/>
      <c r="C172" s="628"/>
      <c r="D172" s="629"/>
      <c r="E172" s="629"/>
      <c r="F172" s="630"/>
      <c r="G172" s="631"/>
      <c r="H172" s="632"/>
      <c r="I172" s="632"/>
      <c r="J172" s="632"/>
      <c r="K172" s="632"/>
      <c r="L172" s="633"/>
      <c r="M172" s="258" t="s">
        <v>44</v>
      </c>
      <c r="N172" s="258"/>
      <c r="O172" s="258"/>
      <c r="P172" s="258" t="s">
        <v>45</v>
      </c>
      <c r="Q172" s="258"/>
      <c r="R172" s="258"/>
      <c r="S172" s="258"/>
      <c r="T172" s="258"/>
      <c r="U172" s="258"/>
      <c r="V172" s="258"/>
      <c r="W172" s="258"/>
      <c r="X172" s="258" t="s">
        <v>46</v>
      </c>
      <c r="Y172" s="258"/>
      <c r="Z172" s="258"/>
      <c r="AA172" s="258"/>
      <c r="AB172" s="258"/>
      <c r="AC172" s="258"/>
      <c r="AD172" s="258"/>
      <c r="AE172" s="258"/>
      <c r="AF172" s="258" t="s">
        <v>47</v>
      </c>
      <c r="AG172" s="258"/>
      <c r="AH172" s="258"/>
      <c r="AI172" s="258"/>
      <c r="AJ172" s="262" t="s">
        <v>48</v>
      </c>
      <c r="AK172" s="262"/>
      <c r="AL172" s="262"/>
      <c r="AM172" s="262"/>
      <c r="AN172" s="259" t="s">
        <v>44</v>
      </c>
      <c r="AO172" s="260"/>
      <c r="AP172" s="261"/>
      <c r="AQ172" s="258" t="s">
        <v>45</v>
      </c>
      <c r="AR172" s="258"/>
      <c r="AS172" s="258"/>
      <c r="AT172" s="258"/>
      <c r="AU172" s="258"/>
      <c r="AV172" s="258"/>
      <c r="AW172" s="258"/>
      <c r="AX172" s="258" t="s">
        <v>46</v>
      </c>
      <c r="AY172" s="258"/>
      <c r="AZ172" s="258"/>
      <c r="BA172" s="258"/>
      <c r="BB172" s="258"/>
      <c r="BC172" s="258"/>
      <c r="BD172" s="258"/>
      <c r="BE172" s="259" t="s">
        <v>47</v>
      </c>
      <c r="BF172" s="260"/>
      <c r="BG172" s="260"/>
      <c r="BH172" s="260"/>
      <c r="BI172" s="261"/>
      <c r="BJ172" s="66"/>
      <c r="BK172" s="161"/>
    </row>
    <row r="173" spans="1:63" s="88" customFormat="1">
      <c r="A173" s="66"/>
      <c r="B173" s="66"/>
      <c r="C173" s="225" t="s">
        <v>53</v>
      </c>
      <c r="D173" s="226"/>
      <c r="E173" s="226"/>
      <c r="F173" s="227"/>
      <c r="G173" s="231" t="s">
        <v>503</v>
      </c>
      <c r="H173" s="232"/>
      <c r="I173" s="232"/>
      <c r="J173" s="232"/>
      <c r="K173" s="232"/>
      <c r="L173" s="233"/>
      <c r="M173" s="243">
        <v>380</v>
      </c>
      <c r="N173" s="244"/>
      <c r="O173" s="245"/>
      <c r="P173" s="243" t="s">
        <v>83</v>
      </c>
      <c r="Q173" s="244"/>
      <c r="R173" s="244"/>
      <c r="S173" s="244"/>
      <c r="T173" s="244"/>
      <c r="U173" s="244"/>
      <c r="V173" s="244"/>
      <c r="W173" s="245"/>
      <c r="X173" s="249" t="s">
        <v>492</v>
      </c>
      <c r="Y173" s="250"/>
      <c r="Z173" s="250"/>
      <c r="AA173" s="250"/>
      <c r="AB173" s="250"/>
      <c r="AC173" s="250"/>
      <c r="AD173" s="250"/>
      <c r="AE173" s="251"/>
      <c r="AF173" s="243" t="s">
        <v>386</v>
      </c>
      <c r="AG173" s="244"/>
      <c r="AH173" s="244"/>
      <c r="AI173" s="245"/>
      <c r="AJ173" s="237">
        <v>1.02</v>
      </c>
      <c r="AK173" s="238"/>
      <c r="AL173" s="238"/>
      <c r="AM173" s="239"/>
      <c r="AN173" s="240">
        <v>380</v>
      </c>
      <c r="AO173" s="241"/>
      <c r="AP173" s="242"/>
      <c r="AQ173" s="240" t="s">
        <v>40</v>
      </c>
      <c r="AR173" s="241"/>
      <c r="AS173" s="241"/>
      <c r="AT173" s="241"/>
      <c r="AU173" s="241"/>
      <c r="AV173" s="241"/>
      <c r="AW173" s="242"/>
      <c r="AX173" s="240" t="s">
        <v>211</v>
      </c>
      <c r="AY173" s="241"/>
      <c r="AZ173" s="241"/>
      <c r="BA173" s="241"/>
      <c r="BB173" s="241"/>
      <c r="BC173" s="241"/>
      <c r="BD173" s="242"/>
      <c r="BE173" s="243"/>
      <c r="BF173" s="244"/>
      <c r="BG173" s="244"/>
      <c r="BH173" s="244"/>
      <c r="BI173" s="245"/>
      <c r="BJ173" s="66"/>
      <c r="BK173" s="161"/>
    </row>
    <row r="174" spans="1:63" s="88" customFormat="1">
      <c r="A174" s="66"/>
      <c r="B174" s="66"/>
      <c r="C174" s="668"/>
      <c r="D174" s="669"/>
      <c r="E174" s="669"/>
      <c r="F174" s="670"/>
      <c r="G174" s="671"/>
      <c r="H174" s="672"/>
      <c r="I174" s="672"/>
      <c r="J174" s="672"/>
      <c r="K174" s="672"/>
      <c r="L174" s="673"/>
      <c r="M174" s="246"/>
      <c r="N174" s="247"/>
      <c r="O174" s="248"/>
      <c r="P174" s="246"/>
      <c r="Q174" s="247"/>
      <c r="R174" s="247"/>
      <c r="S174" s="247"/>
      <c r="T174" s="247"/>
      <c r="U174" s="247"/>
      <c r="V174" s="247"/>
      <c r="W174" s="248"/>
      <c r="X174" s="252"/>
      <c r="Y174" s="253"/>
      <c r="Z174" s="253"/>
      <c r="AA174" s="253"/>
      <c r="AB174" s="253"/>
      <c r="AC174" s="253"/>
      <c r="AD174" s="253"/>
      <c r="AE174" s="254"/>
      <c r="AF174" s="246"/>
      <c r="AG174" s="247"/>
      <c r="AH174" s="247"/>
      <c r="AI174" s="248"/>
      <c r="AJ174" s="237">
        <v>1</v>
      </c>
      <c r="AK174" s="238"/>
      <c r="AL174" s="238"/>
      <c r="AM174" s="239"/>
      <c r="AN174" s="240">
        <v>380</v>
      </c>
      <c r="AO174" s="241"/>
      <c r="AP174" s="242"/>
      <c r="AQ174" s="240" t="s">
        <v>165</v>
      </c>
      <c r="AR174" s="241"/>
      <c r="AS174" s="241"/>
      <c r="AT174" s="241"/>
      <c r="AU174" s="241"/>
      <c r="AV174" s="241"/>
      <c r="AW174" s="242"/>
      <c r="AX174" s="240" t="s">
        <v>164</v>
      </c>
      <c r="AY174" s="241"/>
      <c r="AZ174" s="241"/>
      <c r="BA174" s="241"/>
      <c r="BB174" s="241"/>
      <c r="BC174" s="241"/>
      <c r="BD174" s="242"/>
      <c r="BE174" s="243"/>
      <c r="BF174" s="244"/>
      <c r="BG174" s="244"/>
      <c r="BH174" s="244"/>
      <c r="BI174" s="245"/>
      <c r="BJ174" s="66"/>
      <c r="BK174" s="161"/>
    </row>
    <row r="175" spans="1:63" s="88" customFormat="1" ht="39.75" customHeight="1">
      <c r="A175" s="66"/>
      <c r="B175" s="66"/>
      <c r="C175" s="228"/>
      <c r="D175" s="229"/>
      <c r="E175" s="229"/>
      <c r="F175" s="230"/>
      <c r="G175" s="234"/>
      <c r="H175" s="235"/>
      <c r="I175" s="235"/>
      <c r="J175" s="235"/>
      <c r="K175" s="235"/>
      <c r="L175" s="236"/>
      <c r="M175" s="220" t="s">
        <v>504</v>
      </c>
      <c r="N175" s="221"/>
      <c r="O175" s="221"/>
      <c r="P175" s="221"/>
      <c r="Q175" s="221"/>
      <c r="R175" s="221"/>
      <c r="S175" s="221"/>
      <c r="T175" s="221"/>
      <c r="U175" s="221"/>
      <c r="V175" s="221"/>
      <c r="W175" s="221"/>
      <c r="X175" s="221"/>
      <c r="Y175" s="221"/>
      <c r="Z175" s="221"/>
      <c r="AA175" s="221"/>
      <c r="AB175" s="221"/>
      <c r="AC175" s="221"/>
      <c r="AD175" s="221"/>
      <c r="AE175" s="221"/>
      <c r="AF175" s="221"/>
      <c r="AG175" s="221"/>
      <c r="AH175" s="221"/>
      <c r="AI175" s="221"/>
      <c r="AJ175" s="221"/>
      <c r="AK175" s="221"/>
      <c r="AL175" s="221"/>
      <c r="AM175" s="221"/>
      <c r="AN175" s="221"/>
      <c r="AO175" s="221"/>
      <c r="AP175" s="221"/>
      <c r="AQ175" s="221"/>
      <c r="AR175" s="221"/>
      <c r="AS175" s="221"/>
      <c r="AT175" s="221"/>
      <c r="AU175" s="221"/>
      <c r="AV175" s="221"/>
      <c r="AW175" s="221"/>
      <c r="AX175" s="221"/>
      <c r="AY175" s="221"/>
      <c r="AZ175" s="221"/>
      <c r="BA175" s="221"/>
      <c r="BB175" s="221"/>
      <c r="BC175" s="221"/>
      <c r="BD175" s="221"/>
      <c r="BE175" s="221"/>
      <c r="BF175" s="221"/>
      <c r="BG175" s="221"/>
      <c r="BH175" s="221"/>
      <c r="BI175" s="222"/>
      <c r="BJ175" s="66"/>
      <c r="BK175" s="161"/>
    </row>
    <row r="176" spans="1:63">
      <c r="C176" s="217" t="s">
        <v>507</v>
      </c>
      <c r="D176" s="218"/>
      <c r="E176" s="218"/>
      <c r="F176" s="218"/>
      <c r="G176" s="218"/>
      <c r="H176" s="218"/>
      <c r="I176" s="218"/>
      <c r="J176" s="218"/>
      <c r="K176" s="218"/>
      <c r="L176" s="218"/>
      <c r="M176" s="218"/>
      <c r="N176" s="218"/>
      <c r="O176" s="218"/>
      <c r="P176" s="218"/>
      <c r="Q176" s="218"/>
      <c r="R176" s="218"/>
      <c r="S176" s="218"/>
      <c r="T176" s="218"/>
      <c r="U176" s="218"/>
      <c r="V176" s="218"/>
      <c r="W176" s="218"/>
      <c r="X176" s="218"/>
      <c r="Y176" s="218"/>
      <c r="Z176" s="218"/>
      <c r="AA176" s="218"/>
      <c r="AB176" s="218"/>
      <c r="AC176" s="218"/>
      <c r="AD176" s="218"/>
      <c r="AE176" s="218"/>
      <c r="AF176" s="218"/>
      <c r="AG176" s="218"/>
      <c r="AH176" s="218"/>
      <c r="AI176" s="218"/>
      <c r="AJ176" s="218"/>
      <c r="AK176" s="218"/>
      <c r="AL176" s="218"/>
      <c r="AM176" s="218"/>
      <c r="AN176" s="218"/>
      <c r="AO176" s="218"/>
      <c r="AP176" s="218"/>
      <c r="AQ176" s="218"/>
      <c r="AR176" s="218"/>
      <c r="AS176" s="218"/>
      <c r="AT176" s="218"/>
      <c r="AU176" s="218"/>
      <c r="AV176" s="218"/>
      <c r="AW176" s="218"/>
      <c r="AX176" s="218"/>
      <c r="AY176" s="218"/>
      <c r="AZ176" s="218"/>
      <c r="BA176" s="218"/>
      <c r="BB176" s="218"/>
      <c r="BC176" s="218"/>
      <c r="BD176" s="218"/>
      <c r="BE176" s="218"/>
      <c r="BF176" s="218"/>
      <c r="BG176" s="218"/>
      <c r="BH176" s="218"/>
      <c r="BI176" s="219"/>
    </row>
    <row r="177" spans="1:67">
      <c r="C177" s="180"/>
      <c r="D177" s="198"/>
      <c r="E177" s="198"/>
      <c r="F177" s="198"/>
      <c r="G177" s="198"/>
      <c r="H177" s="198"/>
      <c r="I177" s="198"/>
      <c r="J177" s="198"/>
      <c r="K177" s="198"/>
      <c r="L177" s="198"/>
      <c r="M177" s="198"/>
      <c r="N177" s="198"/>
      <c r="O177" s="198"/>
      <c r="P177" s="198"/>
      <c r="Q177" s="198"/>
      <c r="R177" s="198"/>
      <c r="S177" s="198"/>
      <c r="T177" s="198"/>
      <c r="U177" s="198"/>
      <c r="V177" s="198"/>
      <c r="W177" s="198"/>
      <c r="X177" s="198"/>
      <c r="Y177" s="198"/>
      <c r="Z177" s="198"/>
      <c r="AA177" s="198"/>
      <c r="AB177" s="198"/>
      <c r="AC177" s="198"/>
      <c r="AD177" s="198"/>
      <c r="AE177" s="198"/>
      <c r="AF177" s="198"/>
      <c r="AG177" s="198"/>
      <c r="AH177" s="198"/>
      <c r="AI177" s="198"/>
      <c r="AJ177" s="198"/>
      <c r="AK177" s="198"/>
      <c r="AL177" s="198"/>
      <c r="AM177" s="198"/>
      <c r="AN177" s="198"/>
      <c r="AO177" s="198"/>
      <c r="AP177" s="198"/>
      <c r="AQ177" s="198"/>
      <c r="AR177" s="198"/>
      <c r="AS177" s="198"/>
      <c r="AT177" s="198"/>
      <c r="AU177" s="198"/>
      <c r="AV177" s="198"/>
      <c r="AW177" s="198"/>
      <c r="AX177" s="198"/>
      <c r="AY177" s="198"/>
      <c r="AZ177" s="198"/>
      <c r="BA177" s="198"/>
      <c r="BB177" s="198"/>
      <c r="BC177" s="198"/>
      <c r="BD177" s="198"/>
      <c r="BE177" s="198"/>
      <c r="BF177" s="198"/>
      <c r="BG177" s="198"/>
      <c r="BH177" s="198"/>
      <c r="BI177" s="180"/>
      <c r="BK177" s="66"/>
    </row>
    <row r="178" spans="1:67" ht="18.75" customHeight="1">
      <c r="D178" s="627" t="s">
        <v>63</v>
      </c>
      <c r="E178" s="627"/>
      <c r="F178" s="627"/>
      <c r="G178" s="627"/>
      <c r="H178" s="627"/>
      <c r="I178" s="627"/>
      <c r="J178" s="627"/>
      <c r="K178" s="627"/>
      <c r="L178" s="627"/>
      <c r="M178" s="627"/>
      <c r="N178" s="627"/>
      <c r="O178" s="627"/>
      <c r="P178" s="627"/>
      <c r="X178" s="78"/>
      <c r="Y178" s="78" t="s">
        <v>233</v>
      </c>
      <c r="Z178" s="78"/>
      <c r="AA178" s="78"/>
      <c r="AB178" s="78"/>
      <c r="AC178" s="78"/>
      <c r="AD178" s="78"/>
      <c r="AE178" s="78"/>
      <c r="AF178" s="78"/>
      <c r="AG178" s="78"/>
      <c r="AH178" s="78"/>
      <c r="AI178" s="78"/>
      <c r="AJ178" s="78"/>
      <c r="AK178" s="78"/>
      <c r="AL178" s="78"/>
      <c r="AM178" s="78"/>
      <c r="AN178" s="78"/>
      <c r="AO178" s="78"/>
      <c r="AP178" s="78"/>
      <c r="AQ178" s="78"/>
      <c r="AR178" s="78"/>
      <c r="AS178" s="78"/>
      <c r="AT178" s="78"/>
      <c r="AU178" s="78"/>
      <c r="AV178" s="78"/>
      <c r="AW178" s="78"/>
    </row>
    <row r="179" spans="1:67" ht="63" customHeight="1">
      <c r="D179" s="642" t="s">
        <v>69</v>
      </c>
      <c r="E179" s="642"/>
      <c r="F179" s="642"/>
      <c r="G179" s="642"/>
      <c r="H179" s="642"/>
      <c r="I179" s="642"/>
      <c r="J179" s="642"/>
      <c r="K179" s="642"/>
      <c r="L179" s="642"/>
      <c r="M179" s="642"/>
      <c r="N179" s="642"/>
      <c r="O179" s="642"/>
      <c r="P179" s="642"/>
      <c r="Q179" s="642"/>
      <c r="R179" s="642"/>
      <c r="S179" s="642"/>
      <c r="T179" s="642"/>
      <c r="U179" s="642"/>
      <c r="V179" s="642"/>
      <c r="W179" s="642"/>
      <c r="X179" s="642"/>
      <c r="Y179" s="642"/>
      <c r="Z179" s="642"/>
      <c r="AA179" s="642"/>
      <c r="AB179" s="642"/>
      <c r="AC179" s="642"/>
      <c r="AD179" s="642"/>
      <c r="AE179" s="642"/>
      <c r="AF179" s="642"/>
      <c r="AG179" s="642"/>
      <c r="AH179" s="642"/>
      <c r="AI179" s="642"/>
      <c r="AJ179" s="642"/>
      <c r="AK179" s="642"/>
      <c r="AL179" s="642"/>
      <c r="AM179" s="642"/>
      <c r="AN179" s="642"/>
      <c r="AO179" s="642"/>
      <c r="AP179" s="642"/>
      <c r="AQ179" s="642"/>
      <c r="AR179" s="642"/>
      <c r="AS179" s="642"/>
      <c r="AT179" s="642"/>
      <c r="AU179" s="642"/>
      <c r="AV179" s="642"/>
      <c r="AW179" s="642"/>
      <c r="AX179" s="642"/>
      <c r="AY179" s="642"/>
      <c r="AZ179" s="642"/>
      <c r="BA179" s="642"/>
      <c r="BB179" s="642"/>
      <c r="BC179" s="642"/>
      <c r="BD179" s="642"/>
      <c r="BE179" s="642"/>
      <c r="BF179" s="642"/>
      <c r="BG179" s="642"/>
      <c r="BH179" s="642"/>
      <c r="BL179" s="78"/>
      <c r="BM179" s="78"/>
      <c r="BN179" s="78"/>
      <c r="BO179" s="78"/>
    </row>
    <row r="180" spans="1:67" ht="6.75" customHeight="1">
      <c r="C180" s="78"/>
      <c r="D180" s="84"/>
      <c r="E180" s="84"/>
      <c r="F180" s="84"/>
      <c r="G180" s="84"/>
      <c r="H180" s="84"/>
      <c r="I180" s="84"/>
      <c r="J180" s="84"/>
      <c r="K180" s="84"/>
      <c r="L180" s="84"/>
      <c r="M180" s="84"/>
      <c r="N180" s="85"/>
      <c r="O180" s="86"/>
      <c r="P180" s="86"/>
      <c r="Q180" s="86"/>
      <c r="R180" s="86"/>
      <c r="S180" s="86"/>
      <c r="T180" s="86"/>
      <c r="U180" s="86"/>
      <c r="V180" s="86"/>
      <c r="W180" s="86"/>
      <c r="X180" s="86"/>
      <c r="Y180" s="86"/>
      <c r="Z180" s="86"/>
      <c r="AA180" s="86"/>
      <c r="AB180" s="86"/>
      <c r="AC180" s="86"/>
      <c r="AD180" s="86"/>
      <c r="AE180" s="78"/>
      <c r="AF180" s="78"/>
      <c r="AG180" s="78"/>
      <c r="BI180" s="78"/>
    </row>
    <row r="181" spans="1:67" s="113" customFormat="1" ht="12.75" customHeight="1">
      <c r="A181" s="78"/>
      <c r="B181" s="78"/>
      <c r="C181" s="66"/>
      <c r="D181" s="654" t="s">
        <v>15</v>
      </c>
      <c r="E181" s="655"/>
      <c r="F181" s="655"/>
      <c r="G181" s="655"/>
      <c r="H181" s="655"/>
      <c r="I181" s="655"/>
      <c r="J181" s="655"/>
      <c r="K181" s="655"/>
      <c r="L181" s="655"/>
      <c r="M181" s="656"/>
      <c r="N181" s="660" t="s">
        <v>123</v>
      </c>
      <c r="O181" s="661"/>
      <c r="P181" s="661"/>
      <c r="Q181" s="661"/>
      <c r="R181" s="661"/>
      <c r="S181" s="661"/>
      <c r="T181" s="661"/>
      <c r="U181" s="661"/>
      <c r="V181" s="661"/>
      <c r="W181" s="661"/>
      <c r="X181" s="661"/>
      <c r="Y181" s="661"/>
      <c r="Z181" s="661"/>
      <c r="AA181" s="661"/>
      <c r="AB181" s="661"/>
      <c r="AC181" s="661"/>
      <c r="AD181" s="662"/>
      <c r="AE181" s="66"/>
      <c r="AF181" s="66"/>
      <c r="AG181" s="66"/>
      <c r="AH181" s="663" t="s">
        <v>15</v>
      </c>
      <c r="AI181" s="663"/>
      <c r="AJ181" s="663"/>
      <c r="AK181" s="663"/>
      <c r="AL181" s="663"/>
      <c r="AM181" s="663"/>
      <c r="AN181" s="663"/>
      <c r="AO181" s="663"/>
      <c r="AP181" s="663"/>
      <c r="AQ181" s="663"/>
      <c r="AR181" s="660" t="s">
        <v>53</v>
      </c>
      <c r="AS181" s="661"/>
      <c r="AT181" s="661"/>
      <c r="AU181" s="661"/>
      <c r="AV181" s="661"/>
      <c r="AW181" s="661"/>
      <c r="AX181" s="661"/>
      <c r="AY181" s="661"/>
      <c r="AZ181" s="661"/>
      <c r="BA181" s="661"/>
      <c r="BB181" s="661"/>
      <c r="BC181" s="661"/>
      <c r="BD181" s="661"/>
      <c r="BE181" s="661"/>
      <c r="BF181" s="661"/>
      <c r="BG181" s="661"/>
      <c r="BH181" s="662"/>
      <c r="BI181" s="66"/>
      <c r="BJ181" s="66"/>
      <c r="BK181" s="66"/>
    </row>
    <row r="182" spans="1:67" s="113" customFormat="1" ht="12.75" customHeight="1">
      <c r="A182" s="78"/>
      <c r="B182" s="78"/>
      <c r="C182" s="66"/>
      <c r="D182" s="657"/>
      <c r="E182" s="658"/>
      <c r="F182" s="658"/>
      <c r="G182" s="658"/>
      <c r="H182" s="658"/>
      <c r="I182" s="658"/>
      <c r="J182" s="658"/>
      <c r="K182" s="658"/>
      <c r="L182" s="658"/>
      <c r="M182" s="659"/>
      <c r="N182" s="640" t="s">
        <v>154</v>
      </c>
      <c r="O182" s="641"/>
      <c r="P182" s="641"/>
      <c r="Q182" s="641"/>
      <c r="R182" s="641"/>
      <c r="S182" s="641"/>
      <c r="T182" s="664" t="s">
        <v>155</v>
      </c>
      <c r="U182" s="665"/>
      <c r="V182" s="665"/>
      <c r="W182" s="665"/>
      <c r="X182" s="665"/>
      <c r="Y182" s="665"/>
      <c r="Z182" s="665"/>
      <c r="AA182" s="665"/>
      <c r="AB182" s="665"/>
      <c r="AC182" s="665"/>
      <c r="AD182" s="666"/>
      <c r="AE182" s="66"/>
      <c r="AF182" s="66"/>
      <c r="AG182" s="66"/>
      <c r="AH182" s="663"/>
      <c r="AI182" s="663"/>
      <c r="AJ182" s="663"/>
      <c r="AK182" s="663"/>
      <c r="AL182" s="663"/>
      <c r="AM182" s="663"/>
      <c r="AN182" s="663"/>
      <c r="AO182" s="663"/>
      <c r="AP182" s="663"/>
      <c r="AQ182" s="663"/>
      <c r="AR182" s="640" t="s">
        <v>154</v>
      </c>
      <c r="AS182" s="641"/>
      <c r="AT182" s="641"/>
      <c r="AU182" s="641"/>
      <c r="AV182" s="641"/>
      <c r="AW182" s="641"/>
      <c r="AX182" s="664" t="s">
        <v>155</v>
      </c>
      <c r="AY182" s="665"/>
      <c r="AZ182" s="665"/>
      <c r="BA182" s="665"/>
      <c r="BB182" s="665"/>
      <c r="BC182" s="665"/>
      <c r="BD182" s="665"/>
      <c r="BE182" s="665"/>
      <c r="BF182" s="665"/>
      <c r="BG182" s="665"/>
      <c r="BH182" s="666"/>
      <c r="BI182" s="66"/>
      <c r="BJ182" s="66"/>
      <c r="BK182" s="66"/>
    </row>
    <row r="183" spans="1:67" s="113" customFormat="1" ht="12.75" customHeight="1">
      <c r="A183" s="78"/>
      <c r="B183" s="78"/>
      <c r="C183" s="66"/>
      <c r="D183" s="637" t="s">
        <v>64</v>
      </c>
      <c r="E183" s="638"/>
      <c r="F183" s="638"/>
      <c r="G183" s="638"/>
      <c r="H183" s="638"/>
      <c r="I183" s="638"/>
      <c r="J183" s="638"/>
      <c r="K183" s="638"/>
      <c r="L183" s="638"/>
      <c r="M183" s="639"/>
      <c r="N183" s="643">
        <f>IFERROR(IF(VLOOKUP("FP.AND1* FDEPHG1* 1",'N State Taps &amp; Flows'!A4:C16,2,FALSE)="inv",0,VLOOKUP("FP.AND1* FDEPHG1* 1",'N State Taps &amp; Flows'!A4:C16,2,FALSE)),"N/A")</f>
        <v>1</v>
      </c>
      <c r="O183" s="643"/>
      <c r="P183" s="643"/>
      <c r="Q183" s="643"/>
      <c r="R183" s="643"/>
      <c r="S183" s="643"/>
      <c r="T183" s="643">
        <f>IFERROR(IF(VLOOKUP("FP.AND1* FDEPHG1* 1",'N State Taps &amp; Flows'!A4:C16,3,FALSE)="Inv",0,VLOOKUP("FP.AND1* FDEPHG1* 1",'N State Taps &amp; Flows'!A4:C16,3,FALSE)),"N/A")</f>
        <v>309</v>
      </c>
      <c r="U183" s="643"/>
      <c r="V183" s="643"/>
      <c r="W183" s="643"/>
      <c r="X183" s="643"/>
      <c r="Y183" s="643"/>
      <c r="Z183" s="643"/>
      <c r="AA183" s="643"/>
      <c r="AB183" s="643"/>
      <c r="AC183" s="643"/>
      <c r="AD183" s="643"/>
      <c r="AE183" s="78"/>
      <c r="AF183" s="78"/>
      <c r="AG183" s="78"/>
      <c r="AH183" s="636" t="s">
        <v>64</v>
      </c>
      <c r="AI183" s="636"/>
      <c r="AJ183" s="636"/>
      <c r="AK183" s="636"/>
      <c r="AL183" s="636"/>
      <c r="AM183" s="636"/>
      <c r="AN183" s="636"/>
      <c r="AO183" s="636"/>
      <c r="AP183" s="636"/>
      <c r="AQ183" s="636"/>
      <c r="AR183" s="643">
        <f>IFERROR(IF(VLOOKUP("FP.AND1* FDEPHG1* 1",'N State Taps &amp; Flows'!A21:C33,2,FALSE)="inv",0,VLOOKUP("FP.AND1* FDEPHG1* 1",'N State Taps &amp; Flows'!A21:C33,2,FALSE)),"N/A")</f>
        <v>1</v>
      </c>
      <c r="AS183" s="643"/>
      <c r="AT183" s="643"/>
      <c r="AU183" s="643"/>
      <c r="AV183" s="643"/>
      <c r="AW183" s="643"/>
      <c r="AX183" s="645">
        <f>IFERROR(IF(VLOOKUP("FP.AND1* FDEPHG1* 1",'N State Taps &amp; Flows'!A21:C33,3,FALSE)="Inv",0,VLOOKUP("FP.AND1* FDEPHG1* 1",'N State Taps &amp; Flows'!A21:C33,3,FALSE)),"N/A")</f>
        <v>579</v>
      </c>
      <c r="AY183" s="646"/>
      <c r="AZ183" s="646"/>
      <c r="BA183" s="646"/>
      <c r="BB183" s="646"/>
      <c r="BC183" s="646"/>
      <c r="BD183" s="646"/>
      <c r="BE183" s="646"/>
      <c r="BF183" s="646"/>
      <c r="BG183" s="646"/>
      <c r="BH183" s="647"/>
      <c r="BI183" s="66"/>
      <c r="BJ183" s="66"/>
      <c r="BK183" s="66"/>
    </row>
    <row r="184" spans="1:67" s="113" customFormat="1" ht="12.75" customHeight="1">
      <c r="A184" s="78"/>
      <c r="B184" s="78"/>
      <c r="C184" s="66"/>
      <c r="D184" s="637" t="s">
        <v>65</v>
      </c>
      <c r="E184" s="638"/>
      <c r="F184" s="638"/>
      <c r="G184" s="638"/>
      <c r="H184" s="638"/>
      <c r="I184" s="638"/>
      <c r="J184" s="638"/>
      <c r="K184" s="638"/>
      <c r="L184" s="638"/>
      <c r="M184" s="639"/>
      <c r="N184" s="609">
        <f>IFERROR(IFERROR(VLOOKUP("IRONT113 IRONT111 1",'N State Taps &amp; Flows'!A4:C16,2,FALSE)-34,VLOOKUP("IRONT112 IRONT111 1",'N State Taps &amp; Flows'!A4:C16,2,FALSE)-34),"N/A")</f>
        <v>31</v>
      </c>
      <c r="O184" s="610"/>
      <c r="P184" s="610"/>
      <c r="Q184" s="610"/>
      <c r="R184" s="610"/>
      <c r="S184" s="611"/>
      <c r="T184" s="643">
        <f>IFERROR(IFERROR(VLOOKUP("IRONT113 IRONT111 1",'N State Taps &amp; Flows'!A4:C16,3,FALSE),VLOOKUP("IRONT112 IRONT111 1",'N State Taps &amp; Flows'!A4:C16,3,FALSE)),"N/A")</f>
        <v>596</v>
      </c>
      <c r="U184" s="643"/>
      <c r="V184" s="643"/>
      <c r="W184" s="643"/>
      <c r="X184" s="643"/>
      <c r="Y184" s="643"/>
      <c r="Z184" s="643"/>
      <c r="AA184" s="643"/>
      <c r="AB184" s="643"/>
      <c r="AC184" s="643"/>
      <c r="AD184" s="643"/>
      <c r="AE184" s="78"/>
      <c r="AF184" s="78"/>
      <c r="AG184" s="78"/>
      <c r="AH184" s="636" t="s">
        <v>65</v>
      </c>
      <c r="AI184" s="636"/>
      <c r="AJ184" s="636"/>
      <c r="AK184" s="636"/>
      <c r="AL184" s="636"/>
      <c r="AM184" s="636"/>
      <c r="AN184" s="636"/>
      <c r="AO184" s="636"/>
      <c r="AP184" s="636"/>
      <c r="AQ184" s="636"/>
      <c r="AR184" s="609">
        <f>IFERROR(IFERROR(VLOOKUP("IRONT113 IRONT111 1",'N State Taps &amp; Flows'!A21:C33,2,FALSE)-34,VLOOKUP("IRONT11Z IRONT111 1",'N State Taps &amp; Flows'!A21:C33,2,FALSE)-34),"N/A")</f>
        <v>32</v>
      </c>
      <c r="AS184" s="610"/>
      <c r="AT184" s="610"/>
      <c r="AU184" s="610"/>
      <c r="AV184" s="610"/>
      <c r="AW184" s="611"/>
      <c r="AX184" s="609">
        <f>IFERROR(IFERROR(VLOOKUP("IRONT113 IRONT111 1",'N State Taps &amp; Flows'!A21:C33,3,FALSE),VLOOKUP("IRONT11Z IRONT111 1",'N State Taps &amp; Flows'!A21:C33,3,FALSE)),"N/A")</f>
        <v>724</v>
      </c>
      <c r="AY184" s="610"/>
      <c r="AZ184" s="610"/>
      <c r="BA184" s="610"/>
      <c r="BB184" s="610"/>
      <c r="BC184" s="610"/>
      <c r="BD184" s="610"/>
      <c r="BE184" s="610"/>
      <c r="BF184" s="610"/>
      <c r="BG184" s="610"/>
      <c r="BH184" s="611"/>
      <c r="BI184" s="66"/>
      <c r="BJ184" s="66"/>
      <c r="BK184" s="66"/>
    </row>
    <row r="185" spans="1:67" s="114" customFormat="1" ht="12.75" customHeight="1">
      <c r="A185" s="66"/>
      <c r="B185" s="66"/>
      <c r="C185" s="66"/>
      <c r="D185" s="637" t="s">
        <v>66</v>
      </c>
      <c r="E185" s="638"/>
      <c r="F185" s="638"/>
      <c r="G185" s="638"/>
      <c r="H185" s="638"/>
      <c r="I185" s="638"/>
      <c r="J185" s="638"/>
      <c r="K185" s="638"/>
      <c r="L185" s="638"/>
      <c r="M185" s="639"/>
      <c r="N185" s="609">
        <f>IFERROR(IFERROR(VLOOKUP("IRONT112 IRONT111 2",'N State Taps &amp; Flows'!A4:C16,2,FALSE)-34,VLOOKUP("IRONT113 IRONT111 2",'N State Taps &amp; Flows'!A4:C16,2,FALSE)-34),"N/A")</f>
        <v>33</v>
      </c>
      <c r="O185" s="610"/>
      <c r="P185" s="610"/>
      <c r="Q185" s="610"/>
      <c r="R185" s="610"/>
      <c r="S185" s="611"/>
      <c r="T185" s="609">
        <f>IFERROR(IFERROR(VLOOKUP("IRONT112 IRONT111 2",'N State Taps &amp; Flows'!A4:C16,3,FALSE),VLOOKUP("IRONT113 IRONT111 2",'N State Taps &amp; Flows'!A4:C16,3,FALSE)),"N/A")</f>
        <v>597</v>
      </c>
      <c r="U185" s="610"/>
      <c r="V185" s="610"/>
      <c r="W185" s="610"/>
      <c r="X185" s="610"/>
      <c r="Y185" s="610"/>
      <c r="Z185" s="610"/>
      <c r="AA185" s="610"/>
      <c r="AB185" s="610"/>
      <c r="AC185" s="610"/>
      <c r="AD185" s="611"/>
      <c r="AE185" s="78"/>
      <c r="AF185" s="78"/>
      <c r="AG185" s="78"/>
      <c r="AH185" s="636" t="s">
        <v>66</v>
      </c>
      <c r="AI185" s="636"/>
      <c r="AJ185" s="636"/>
      <c r="AK185" s="636"/>
      <c r="AL185" s="636"/>
      <c r="AM185" s="636"/>
      <c r="AN185" s="636"/>
      <c r="AO185" s="636"/>
      <c r="AP185" s="636"/>
      <c r="AQ185" s="636"/>
      <c r="AR185" s="609">
        <f>IFERROR(IFERROR(VLOOKUP("IRONT112 IRONT111 2",'N State Taps &amp; Flows'!A21:C33,2,FALSE)-34,VLOOKUP("IRONT113 IRONT111 2",'N State Taps &amp; Flows'!A21:C33,2,FALSE)-34),"N/A")</f>
        <v>33</v>
      </c>
      <c r="AS185" s="610"/>
      <c r="AT185" s="610"/>
      <c r="AU185" s="610"/>
      <c r="AV185" s="610"/>
      <c r="AW185" s="611"/>
      <c r="AX185" s="609">
        <f>IFERROR(IFERROR(VLOOKUP("IRONT112 IRONT111 2",'N State Taps &amp; Flows'!A21:C33,3,FALSE),VLOOKUP("IRONT113 IRONT111 2",'N State Taps &amp; Flows'!A21:C33,3,FALSE)),"N/A")</f>
        <v>676</v>
      </c>
      <c r="AY185" s="610"/>
      <c r="AZ185" s="610"/>
      <c r="BA185" s="610"/>
      <c r="BB185" s="610"/>
      <c r="BC185" s="610"/>
      <c r="BD185" s="610"/>
      <c r="BE185" s="610"/>
      <c r="BF185" s="610"/>
      <c r="BG185" s="610"/>
      <c r="BH185" s="611"/>
      <c r="BI185" s="66"/>
      <c r="BJ185" s="66"/>
      <c r="BK185" s="66"/>
    </row>
    <row r="186" spans="1:67" s="114" customFormat="1" ht="12.75" customHeight="1">
      <c r="A186" s="66"/>
      <c r="B186" s="66"/>
      <c r="C186" s="66"/>
      <c r="D186" s="637" t="s">
        <v>328</v>
      </c>
      <c r="E186" s="638"/>
      <c r="F186" s="638"/>
      <c r="G186" s="638"/>
      <c r="H186" s="638"/>
      <c r="I186" s="638"/>
      <c r="J186" s="638"/>
      <c r="K186" s="638"/>
      <c r="L186" s="638"/>
      <c r="M186" s="639"/>
      <c r="N186" s="609">
        <f>IFERROR(VLOOKUP("ICMPTA2* ICMPTA2* 1",'N State Taps &amp; Flows'!A4:C16,2,FALSE)-33,"N/A")</f>
        <v>-10</v>
      </c>
      <c r="O186" s="610"/>
      <c r="P186" s="610"/>
      <c r="Q186" s="610"/>
      <c r="R186" s="610"/>
      <c r="S186" s="611"/>
      <c r="T186" s="609">
        <f>IFERROR(-IF(VLOOKUP("ICMPTA2* ICMPTA2* 1",'N State Taps &amp; Flows'!A4:C16,3,FALSE)="Inv",0,VLOOKUP("ICMPTA2* ICMPTA2* 1",'N State Taps &amp; Flows'!A4:C16,3,FALSE)),"N/A")</f>
        <v>199</v>
      </c>
      <c r="U186" s="610"/>
      <c r="V186" s="610"/>
      <c r="W186" s="610"/>
      <c r="X186" s="610"/>
      <c r="Y186" s="610"/>
      <c r="Z186" s="610"/>
      <c r="AA186" s="610"/>
      <c r="AB186" s="610"/>
      <c r="AC186" s="610"/>
      <c r="AD186" s="611"/>
      <c r="AE186" s="78"/>
      <c r="AF186" s="78"/>
      <c r="AG186" s="78"/>
      <c r="AH186" s="637" t="s">
        <v>328</v>
      </c>
      <c r="AI186" s="638"/>
      <c r="AJ186" s="638"/>
      <c r="AK186" s="638"/>
      <c r="AL186" s="638"/>
      <c r="AM186" s="638"/>
      <c r="AN186" s="638"/>
      <c r="AO186" s="638"/>
      <c r="AP186" s="638"/>
      <c r="AQ186" s="639"/>
      <c r="AR186" s="609">
        <f>IFERROR(VLOOKUP("ICMPTA2* ICMPTA2* 1",'N State Taps &amp; Flows'!A21:C33,2,FALSE)-33,"N/A")</f>
        <v>-15</v>
      </c>
      <c r="AS186" s="610"/>
      <c r="AT186" s="610"/>
      <c r="AU186" s="610"/>
      <c r="AV186" s="610"/>
      <c r="AW186" s="611"/>
      <c r="AX186" s="609">
        <f>IFERROR(-IF(VLOOKUP("ICMPTA2* ICMPTA2* 1",'N State Taps &amp; Flows'!A21:C33,3,FALSE)="Inv",0,VLOOKUP("ICMPTA2* ICMPTA2* 1",'N State Taps &amp; Flows'!A21:C33,3,FALSE)),"N/A")</f>
        <v>204</v>
      </c>
      <c r="AY186" s="610"/>
      <c r="AZ186" s="610"/>
      <c r="BA186" s="610"/>
      <c r="BB186" s="610"/>
      <c r="BC186" s="610"/>
      <c r="BD186" s="610"/>
      <c r="BE186" s="610"/>
      <c r="BF186" s="610"/>
      <c r="BG186" s="610"/>
      <c r="BH186" s="611"/>
      <c r="BI186" s="66"/>
      <c r="BJ186" s="66"/>
      <c r="BK186" s="66"/>
    </row>
    <row r="187" spans="1:67" s="114" customFormat="1" ht="12.75" customHeight="1">
      <c r="A187" s="66"/>
      <c r="B187" s="66"/>
      <c r="C187" s="66"/>
      <c r="D187" s="637" t="s">
        <v>327</v>
      </c>
      <c r="E187" s="638"/>
      <c r="F187" s="638"/>
      <c r="G187" s="638"/>
      <c r="H187" s="638"/>
      <c r="I187" s="638"/>
      <c r="J187" s="638"/>
      <c r="K187" s="638"/>
      <c r="L187" s="638"/>
      <c r="M187" s="639"/>
      <c r="N187" s="609">
        <f>IFERROR(IF((VLOOKUP("OLIENN2* OLIENN2* *",'N State Taps &amp; Flows'!A4:C16,2,FALSE)-33)="inv",0,VLOOKUP("OLIENN2* OLIENN2* *",'N State Taps &amp; Flows'!A4:C16,2,FALSE)-33),"N/A")</f>
        <v>-4</v>
      </c>
      <c r="O187" s="610"/>
      <c r="P187" s="610"/>
      <c r="Q187" s="610"/>
      <c r="R187" s="610"/>
      <c r="S187" s="611"/>
      <c r="T187" s="609">
        <f>IFERROR(IF(VLOOKUP("OLIENN2* OLIENN2* *",'N State Taps &amp; Flows'!A4:C16,3,FALSE)="inv",0,VLOOKUP("OLIENN2* OLIENN2* *",'N State Taps &amp; Flows'!A4:C16,3,FALSE)),"N/A")</f>
        <v>117</v>
      </c>
      <c r="U187" s="610"/>
      <c r="V187" s="610"/>
      <c r="W187" s="610"/>
      <c r="X187" s="610"/>
      <c r="Y187" s="610"/>
      <c r="Z187" s="610"/>
      <c r="AA187" s="610"/>
      <c r="AB187" s="610"/>
      <c r="AC187" s="610"/>
      <c r="AD187" s="611"/>
      <c r="AE187" s="78"/>
      <c r="AF187" s="78"/>
      <c r="AG187" s="78"/>
      <c r="AH187" s="637" t="s">
        <v>327</v>
      </c>
      <c r="AI187" s="638"/>
      <c r="AJ187" s="638"/>
      <c r="AK187" s="638"/>
      <c r="AL187" s="638"/>
      <c r="AM187" s="638"/>
      <c r="AN187" s="638"/>
      <c r="AO187" s="638"/>
      <c r="AP187" s="638"/>
      <c r="AQ187" s="639"/>
      <c r="AR187" s="609">
        <f>IFERROR(IF((VLOOKUP("OLIENN2* OLIENN2* *",'N State Taps &amp; Flows'!A21:C33,2,FALSE)-33)="inv",0,VLOOKUP("OLIENN2* OLIENN2* *",'N State Taps &amp; Flows'!A21:C33,2,FALSE)-33),"N/A")</f>
        <v>-9</v>
      </c>
      <c r="AS187" s="610"/>
      <c r="AT187" s="610"/>
      <c r="AU187" s="610"/>
      <c r="AV187" s="610"/>
      <c r="AW187" s="611"/>
      <c r="AX187" s="609">
        <f>IFERROR(IF(VLOOKUP("OLIENN2* OLIENN2* *",'N State Taps &amp; Flows'!A21:C33,3,FALSE)="inv",0,VLOOKUP("OLIENN2* OLIENN2* *",'N State Taps &amp; Flows'!A21:C33,3,FALSE)),"N/A")</f>
        <v>125</v>
      </c>
      <c r="AY187" s="610"/>
      <c r="AZ187" s="610"/>
      <c r="BA187" s="610"/>
      <c r="BB187" s="610"/>
      <c r="BC187" s="610"/>
      <c r="BD187" s="610"/>
      <c r="BE187" s="610"/>
      <c r="BF187" s="610"/>
      <c r="BG187" s="610"/>
      <c r="BH187" s="611"/>
      <c r="BI187" s="66"/>
      <c r="BJ187" s="66"/>
      <c r="BK187" s="66"/>
    </row>
    <row r="188" spans="1:67" s="114" customFormat="1" ht="12.75" customHeight="1">
      <c r="A188" s="66"/>
      <c r="B188" s="66"/>
      <c r="C188" s="66"/>
      <c r="D188" s="637" t="s">
        <v>67</v>
      </c>
      <c r="E188" s="638"/>
      <c r="F188" s="638"/>
      <c r="G188" s="638"/>
      <c r="H188" s="638"/>
      <c r="I188" s="638"/>
      <c r="J188" s="638"/>
      <c r="K188" s="638"/>
      <c r="L188" s="638"/>
      <c r="M188" s="639"/>
      <c r="N188" s="609">
        <f>IFERROR(IF(VLOOKUP("IPDRV12* IPDRV12* 1",'N State Taps &amp; Flows'!A4:C16,2,FALSE)="inv",0,VLOOKUP("IPDRV12* IPDRV12* 1",'N State Taps &amp; Flows'!A4:C16,2,FALSE)),"N/A")</f>
        <v>30</v>
      </c>
      <c r="O188" s="610"/>
      <c r="P188" s="610"/>
      <c r="Q188" s="610"/>
      <c r="R188" s="610"/>
      <c r="S188" s="611"/>
      <c r="T188" s="653">
        <f>IFERROR(-IF(VLOOKUP("IPDRV12* IPDRV12* 1",'N State Taps &amp; Flows'!A4:C16,3,FALSE)="Inv",0,VLOOKUP("IPDRV12* IPDRV12* 1",'N State Taps &amp; Flows'!A4:C16,3,FALSE)),"N/A")</f>
        <v>152</v>
      </c>
      <c r="U188" s="653"/>
      <c r="V188" s="653"/>
      <c r="W188" s="653"/>
      <c r="X188" s="653"/>
      <c r="Y188" s="653"/>
      <c r="Z188" s="653"/>
      <c r="AA188" s="653"/>
      <c r="AB188" s="653"/>
      <c r="AC188" s="653"/>
      <c r="AD188" s="653"/>
      <c r="AE188" s="78"/>
      <c r="AF188" s="78"/>
      <c r="AG188" s="78"/>
      <c r="AH188" s="636" t="s">
        <v>67</v>
      </c>
      <c r="AI188" s="636"/>
      <c r="AJ188" s="636"/>
      <c r="AK188" s="636"/>
      <c r="AL188" s="636"/>
      <c r="AM188" s="636"/>
      <c r="AN188" s="636"/>
      <c r="AO188" s="636"/>
      <c r="AP188" s="636"/>
      <c r="AQ188" s="636"/>
      <c r="AR188" s="609">
        <f>IFERROR(IF(VLOOKUP("IPDRV12* IPDRV12* 1",'N State Taps &amp; Flows'!A21:C33,2,FALSE)="inv",0,VLOOKUP("IPDRV12* IPDRV12* 1",'N State Taps &amp; Flows'!A21:C33,2,FALSE)),"N/A")</f>
        <v>21</v>
      </c>
      <c r="AS188" s="610"/>
      <c r="AT188" s="610"/>
      <c r="AU188" s="610"/>
      <c r="AV188" s="610"/>
      <c r="AW188" s="611"/>
      <c r="AX188" s="609">
        <f>IFERROR(-IF(VLOOKUP("IPDRV12* IPDRV12* 1",'N State Taps &amp; Flows'!A21:C33,3,FALSE)="Inv",0,VLOOKUP("IPDRV12* IPDRV12* 1",'N State Taps &amp; Flows'!A21:C33,3,FALSE)),"N/A")</f>
        <v>142</v>
      </c>
      <c r="AY188" s="610"/>
      <c r="AZ188" s="610"/>
      <c r="BA188" s="610"/>
      <c r="BB188" s="610"/>
      <c r="BC188" s="610"/>
      <c r="BD188" s="610"/>
      <c r="BE188" s="610"/>
      <c r="BF188" s="610"/>
      <c r="BG188" s="610"/>
      <c r="BH188" s="611"/>
      <c r="BI188" s="66"/>
      <c r="BJ188" s="66"/>
      <c r="BK188" s="66"/>
    </row>
    <row r="189" spans="1:67" s="113" customFormat="1" ht="12.75" customHeight="1">
      <c r="A189" s="66"/>
      <c r="B189" s="66"/>
      <c r="C189" s="66"/>
      <c r="D189" s="637" t="s">
        <v>68</v>
      </c>
      <c r="E189" s="638"/>
      <c r="F189" s="638"/>
      <c r="G189" s="638"/>
      <c r="H189" s="638"/>
      <c r="I189" s="638"/>
      <c r="J189" s="638"/>
      <c r="K189" s="638"/>
      <c r="L189" s="638"/>
      <c r="M189" s="639"/>
      <c r="N189" s="648">
        <f>IFERROR(VLOOKUP("LDIVAC11 LDIVAC12 1",'N State Taps &amp; Flows'!A4:C16,2,FALSE)-33,"N/A")</f>
        <v>-20</v>
      </c>
      <c r="O189" s="649"/>
      <c r="P189" s="649"/>
      <c r="Q189" s="649"/>
      <c r="R189" s="649"/>
      <c r="S189" s="650"/>
      <c r="T189" s="653">
        <f>IFERROR(IF(VLOOKUP("LDIVAC11 LDIVAC12 1",'N State Taps &amp; Flows'!A4:C16,3,FALSE)="Inv",0,VLOOKUP("LDIVAC11 LDIVAC12 1",'N State Taps &amp; Flows'!A4:C16,3,FALSE)),"N/A")</f>
        <v>637</v>
      </c>
      <c r="U189" s="653"/>
      <c r="V189" s="653"/>
      <c r="W189" s="653"/>
      <c r="X189" s="653"/>
      <c r="Y189" s="653"/>
      <c r="Z189" s="653"/>
      <c r="AA189" s="653"/>
      <c r="AB189" s="653"/>
      <c r="AC189" s="653"/>
      <c r="AD189" s="653"/>
      <c r="AE189" s="78"/>
      <c r="AF189" s="78"/>
      <c r="AG189" s="78"/>
      <c r="AH189" s="636" t="s">
        <v>68</v>
      </c>
      <c r="AI189" s="636"/>
      <c r="AJ189" s="636"/>
      <c r="AK189" s="636"/>
      <c r="AL189" s="636"/>
      <c r="AM189" s="636"/>
      <c r="AN189" s="636"/>
      <c r="AO189" s="636"/>
      <c r="AP189" s="636"/>
      <c r="AQ189" s="636"/>
      <c r="AR189" s="648">
        <f>IFERROR(VLOOKUP("LDIVAC11 LDIVAC12 1",'N State Taps &amp; Flows'!A21:C33,2,FALSE)-33,"N/A")</f>
        <v>-5</v>
      </c>
      <c r="AS189" s="649"/>
      <c r="AT189" s="649"/>
      <c r="AU189" s="649"/>
      <c r="AV189" s="649"/>
      <c r="AW189" s="650"/>
      <c r="AX189" s="609">
        <f>IFERROR(IF(VLOOKUP("LDIVAC11 LDIVAC12 1",'N State Taps &amp; Flows'!A21:C33,3,FALSE)="Inv",0,VLOOKUP("LDIVAC11 LDIVAC12 1",'N State Taps &amp; Flows'!A21:C33,3,FALSE)),"N/A")</f>
        <v>646</v>
      </c>
      <c r="AY189" s="610"/>
      <c r="AZ189" s="610"/>
      <c r="BA189" s="610"/>
      <c r="BB189" s="610"/>
      <c r="BC189" s="610"/>
      <c r="BD189" s="610"/>
      <c r="BE189" s="610"/>
      <c r="BF189" s="610"/>
      <c r="BG189" s="610"/>
      <c r="BH189" s="611"/>
      <c r="BI189" s="66"/>
      <c r="BJ189" s="66"/>
      <c r="BK189" s="66"/>
    </row>
    <row r="190" spans="1:67" ht="22.5" customHeight="1">
      <c r="C190" s="78"/>
      <c r="D190" s="84"/>
      <c r="E190" s="84"/>
      <c r="F190" s="84"/>
      <c r="G190" s="84"/>
      <c r="H190" s="84"/>
      <c r="I190" s="84"/>
      <c r="J190" s="84"/>
      <c r="K190" s="84"/>
      <c r="L190" s="84"/>
      <c r="M190" s="84"/>
      <c r="N190" s="85"/>
      <c r="O190" s="86"/>
      <c r="P190" s="86"/>
      <c r="Q190" s="86"/>
      <c r="R190" s="86"/>
      <c r="S190" s="86"/>
      <c r="T190" s="86"/>
      <c r="U190" s="86"/>
      <c r="V190" s="86"/>
      <c r="W190" s="86"/>
      <c r="X190" s="86"/>
      <c r="Y190" s="86"/>
      <c r="Z190" s="86"/>
      <c r="AA190" s="86"/>
      <c r="AB190" s="86"/>
      <c r="AC190" s="86"/>
      <c r="AD190" s="86"/>
      <c r="AE190" s="78"/>
      <c r="AF190" s="78"/>
      <c r="AG190" s="78"/>
      <c r="BI190" s="78"/>
    </row>
    <row r="191" spans="1:67" s="114" customFormat="1" ht="18.75" customHeight="1">
      <c r="A191" s="78"/>
      <c r="B191" s="78"/>
      <c r="C191" s="78"/>
      <c r="D191" s="667" t="s">
        <v>70</v>
      </c>
      <c r="E191" s="667"/>
      <c r="F191" s="667"/>
      <c r="G191" s="667"/>
      <c r="H191" s="667"/>
      <c r="I191" s="667"/>
      <c r="J191" s="667"/>
      <c r="K191" s="667"/>
      <c r="L191" s="667"/>
      <c r="M191" s="667"/>
      <c r="N191" s="78"/>
      <c r="O191" s="78"/>
      <c r="P191" s="78"/>
      <c r="Q191" s="78"/>
      <c r="R191" s="78"/>
      <c r="S191" s="78"/>
      <c r="T191" s="78"/>
      <c r="U191" s="78"/>
      <c r="V191" s="78"/>
      <c r="W191" s="78"/>
      <c r="X191" s="78"/>
      <c r="Y191" s="78"/>
      <c r="Z191" s="78"/>
      <c r="AA191" s="78"/>
      <c r="AB191" s="78"/>
      <c r="AC191" s="78"/>
      <c r="AD191" s="78"/>
      <c r="AE191" s="78"/>
      <c r="AF191" s="78"/>
      <c r="AG191" s="78"/>
      <c r="AH191" s="78"/>
      <c r="AI191" s="78"/>
      <c r="AJ191" s="78"/>
      <c r="AK191" s="78"/>
      <c r="AL191" s="78"/>
      <c r="AM191" s="78"/>
      <c r="AN191" s="78"/>
      <c r="AO191" s="78"/>
      <c r="AP191" s="78"/>
      <c r="AQ191" s="78"/>
      <c r="AR191" s="78"/>
      <c r="AS191" s="78"/>
      <c r="AT191" s="78"/>
      <c r="AU191" s="78"/>
      <c r="AV191" s="78"/>
      <c r="AW191" s="78"/>
      <c r="AX191" s="78"/>
      <c r="AY191" s="78"/>
      <c r="AZ191" s="78"/>
      <c r="BA191" s="78"/>
      <c r="BB191" s="78"/>
      <c r="BC191" s="78"/>
      <c r="BD191" s="78"/>
      <c r="BE191" s="78"/>
      <c r="BF191" s="78"/>
      <c r="BG191" s="78"/>
      <c r="BH191" s="78"/>
      <c r="BI191" s="78"/>
      <c r="BJ191" s="78"/>
      <c r="BK191" s="88"/>
    </row>
    <row r="192" spans="1:67" s="114" customFormat="1" ht="9" customHeight="1">
      <c r="A192" s="78"/>
      <c r="B192" s="78"/>
      <c r="C192" s="78"/>
      <c r="D192" s="115"/>
      <c r="E192" s="116"/>
      <c r="F192" s="116"/>
      <c r="G192" s="116"/>
      <c r="H192" s="116"/>
      <c r="I192" s="116"/>
      <c r="J192" s="116"/>
      <c r="K192" s="116"/>
      <c r="L192" s="116"/>
      <c r="M192" s="116"/>
      <c r="N192" s="116"/>
      <c r="O192" s="116"/>
      <c r="P192" s="116"/>
      <c r="Q192" s="116"/>
      <c r="R192" s="116"/>
      <c r="S192" s="116"/>
      <c r="T192" s="116"/>
      <c r="U192" s="116"/>
      <c r="V192" s="116"/>
      <c r="W192" s="116"/>
      <c r="X192" s="116"/>
      <c r="Y192" s="116"/>
      <c r="Z192" s="116"/>
      <c r="AA192" s="116"/>
      <c r="AB192" s="116"/>
      <c r="AC192" s="116"/>
      <c r="AD192" s="116"/>
      <c r="AE192" s="116"/>
      <c r="AF192" s="116"/>
      <c r="AG192" s="116"/>
      <c r="AH192" s="116"/>
      <c r="AI192" s="116"/>
      <c r="AJ192" s="116"/>
      <c r="AK192" s="116"/>
      <c r="AL192" s="116"/>
      <c r="AM192" s="116"/>
      <c r="AN192" s="116"/>
      <c r="AO192" s="116"/>
      <c r="AP192" s="116"/>
      <c r="AQ192" s="116"/>
      <c r="AR192" s="116"/>
      <c r="AS192" s="116"/>
      <c r="AT192" s="116"/>
      <c r="AU192" s="116"/>
      <c r="AV192" s="116"/>
      <c r="AW192" s="116"/>
      <c r="AX192" s="116"/>
      <c r="AY192" s="116"/>
      <c r="AZ192" s="116"/>
      <c r="BA192" s="116"/>
      <c r="BB192" s="116"/>
      <c r="BC192" s="116"/>
      <c r="BD192" s="116"/>
      <c r="BE192" s="116"/>
      <c r="BF192" s="116"/>
      <c r="BG192" s="116"/>
      <c r="BH192" s="116"/>
      <c r="BI192" s="78"/>
      <c r="BJ192" s="78"/>
      <c r="BK192" s="88"/>
    </row>
    <row r="193" spans="1:63" s="113" customFormat="1" ht="18" customHeight="1">
      <c r="A193" s="66"/>
      <c r="B193" s="66"/>
      <c r="C193" s="66"/>
      <c r="D193" s="652" t="s">
        <v>345</v>
      </c>
      <c r="E193" s="652"/>
      <c r="F193" s="652"/>
      <c r="G193" s="652"/>
      <c r="H193" s="652"/>
      <c r="I193" s="652"/>
      <c r="J193" s="652"/>
      <c r="K193" s="652"/>
      <c r="L193" s="652"/>
      <c r="M193" s="652"/>
      <c r="N193" s="652"/>
      <c r="O193" s="652"/>
      <c r="P193" s="652"/>
      <c r="Q193" s="652"/>
      <c r="R193" s="652"/>
      <c r="S193" s="652"/>
      <c r="T193" s="652"/>
      <c r="U193" s="652"/>
      <c r="V193" s="652"/>
      <c r="W193" s="652"/>
      <c r="X193" s="652"/>
      <c r="Y193" s="652"/>
      <c r="Z193" s="652"/>
      <c r="AA193" s="652"/>
      <c r="AB193" s="652"/>
      <c r="AC193" s="652"/>
      <c r="AD193" s="652"/>
      <c r="AE193" s="652"/>
      <c r="AF193" s="652"/>
      <c r="AG193" s="652"/>
      <c r="AH193" s="652"/>
      <c r="AI193" s="652"/>
      <c r="AJ193" s="652"/>
      <c r="AK193" s="652"/>
      <c r="AL193" s="652"/>
      <c r="AM193" s="652"/>
      <c r="AN193" s="652"/>
      <c r="AO193" s="652"/>
      <c r="AP193" s="652"/>
      <c r="AQ193" s="652"/>
      <c r="AR193" s="652"/>
      <c r="AS193" s="652"/>
      <c r="AT193" s="652"/>
      <c r="AU193" s="652"/>
      <c r="AV193" s="652"/>
      <c r="AW193" s="652"/>
      <c r="AX193" s="652"/>
      <c r="AY193" s="652"/>
      <c r="AZ193" s="652"/>
      <c r="BA193" s="652"/>
      <c r="BB193" s="652"/>
      <c r="BC193" s="652"/>
      <c r="BD193" s="652"/>
      <c r="BE193" s="652"/>
      <c r="BF193" s="652"/>
      <c r="BG193" s="652"/>
      <c r="BH193" s="652"/>
      <c r="BI193" s="66"/>
      <c r="BJ193" s="66"/>
      <c r="BK193" s="161"/>
    </row>
    <row r="194" spans="1:63" s="113" customFormat="1" ht="18" customHeight="1">
      <c r="A194" s="66"/>
      <c r="B194" s="66"/>
      <c r="C194" s="66"/>
      <c r="D194" s="652" t="s">
        <v>346</v>
      </c>
      <c r="E194" s="652"/>
      <c r="F194" s="652"/>
      <c r="G194" s="652"/>
      <c r="H194" s="652"/>
      <c r="I194" s="652"/>
      <c r="J194" s="652"/>
      <c r="K194" s="652"/>
      <c r="L194" s="652"/>
      <c r="M194" s="652"/>
      <c r="N194" s="652"/>
      <c r="O194" s="652"/>
      <c r="P194" s="652"/>
      <c r="Q194" s="652"/>
      <c r="R194" s="652"/>
      <c r="S194" s="652"/>
      <c r="T194" s="652"/>
      <c r="U194" s="652"/>
      <c r="V194" s="652"/>
      <c r="W194" s="652"/>
      <c r="X194" s="652"/>
      <c r="Y194" s="652"/>
      <c r="Z194" s="652"/>
      <c r="AA194" s="652"/>
      <c r="AB194" s="652"/>
      <c r="AC194" s="652"/>
      <c r="AD194" s="652"/>
      <c r="AE194" s="652"/>
      <c r="AF194" s="652"/>
      <c r="AG194" s="652"/>
      <c r="AH194" s="652"/>
      <c r="AI194" s="652"/>
      <c r="AJ194" s="652"/>
      <c r="AK194" s="652"/>
      <c r="AL194" s="652"/>
      <c r="AM194" s="652"/>
      <c r="AN194" s="652"/>
      <c r="AO194" s="652"/>
      <c r="AP194" s="652"/>
      <c r="AQ194" s="652"/>
      <c r="AR194" s="652"/>
      <c r="AS194" s="652"/>
      <c r="AT194" s="652"/>
      <c r="AU194" s="652"/>
      <c r="AV194" s="652"/>
      <c r="AW194" s="652"/>
      <c r="AX194" s="652"/>
      <c r="AY194" s="652"/>
      <c r="AZ194" s="652"/>
      <c r="BA194" s="652"/>
      <c r="BB194" s="652"/>
      <c r="BC194" s="652"/>
      <c r="BD194" s="652"/>
      <c r="BE194" s="652"/>
      <c r="BF194" s="652"/>
      <c r="BG194" s="652"/>
      <c r="BH194" s="652"/>
      <c r="BI194" s="66"/>
      <c r="BJ194" s="66"/>
      <c r="BK194" s="161"/>
    </row>
    <row r="195" spans="1:63" s="197" customFormat="1" ht="34.5" customHeight="1">
      <c r="A195" s="195"/>
      <c r="B195" s="195"/>
      <c r="C195" s="196"/>
      <c r="D195" s="651" t="s">
        <v>505</v>
      </c>
      <c r="E195" s="651"/>
      <c r="F195" s="651"/>
      <c r="G195" s="651"/>
      <c r="H195" s="651"/>
      <c r="I195" s="651"/>
      <c r="J195" s="651"/>
      <c r="K195" s="651"/>
      <c r="L195" s="651"/>
      <c r="M195" s="651"/>
      <c r="N195" s="651"/>
      <c r="O195" s="651"/>
      <c r="P195" s="651"/>
      <c r="Q195" s="651"/>
      <c r="R195" s="651"/>
      <c r="S195" s="651"/>
      <c r="T195" s="651"/>
      <c r="U195" s="651"/>
      <c r="V195" s="651"/>
      <c r="W195" s="651"/>
      <c r="X195" s="651"/>
      <c r="Y195" s="651"/>
      <c r="Z195" s="651"/>
      <c r="AA195" s="651"/>
      <c r="AB195" s="651"/>
      <c r="AC195" s="651"/>
      <c r="AD195" s="651"/>
      <c r="AE195" s="651"/>
      <c r="AF195" s="651"/>
      <c r="AG195" s="651"/>
      <c r="AH195" s="651"/>
      <c r="AI195" s="651"/>
      <c r="AJ195" s="651"/>
      <c r="AK195" s="651"/>
      <c r="AL195" s="651"/>
      <c r="AM195" s="651"/>
      <c r="AN195" s="651"/>
      <c r="AO195" s="651"/>
      <c r="AP195" s="651"/>
      <c r="AQ195" s="651"/>
      <c r="AR195" s="651"/>
      <c r="AS195" s="651"/>
      <c r="AT195" s="651"/>
      <c r="AU195" s="651"/>
      <c r="AV195" s="651"/>
      <c r="AW195" s="651"/>
      <c r="AX195" s="651"/>
      <c r="AY195" s="651"/>
      <c r="AZ195" s="651"/>
      <c r="BA195" s="651"/>
      <c r="BB195" s="651"/>
      <c r="BC195" s="651"/>
      <c r="BD195" s="651"/>
      <c r="BE195" s="651"/>
      <c r="BF195" s="651"/>
      <c r="BG195" s="651"/>
      <c r="BH195" s="651"/>
      <c r="BI195" s="196"/>
      <c r="BJ195" s="196"/>
    </row>
    <row r="196" spans="1:63">
      <c r="D196" s="214"/>
      <c r="E196" s="214"/>
      <c r="F196" s="214"/>
      <c r="G196" s="214"/>
      <c r="H196" s="214"/>
      <c r="I196" s="214"/>
      <c r="J196" s="214"/>
      <c r="K196" s="214"/>
      <c r="L196" s="214"/>
      <c r="M196" s="214"/>
      <c r="N196" s="214"/>
      <c r="O196" s="214"/>
      <c r="P196" s="214"/>
      <c r="Q196" s="214"/>
      <c r="R196" s="214"/>
      <c r="S196" s="214"/>
      <c r="T196" s="214"/>
      <c r="U196" s="214"/>
      <c r="V196" s="214"/>
      <c r="W196" s="214"/>
      <c r="X196" s="214"/>
      <c r="Y196" s="214"/>
      <c r="Z196" s="214"/>
      <c r="AA196" s="214"/>
      <c r="AB196" s="214"/>
      <c r="AC196" s="214"/>
      <c r="AD196" s="214"/>
      <c r="AE196" s="214"/>
      <c r="AF196" s="214"/>
      <c r="AG196" s="214"/>
      <c r="AH196" s="214"/>
      <c r="AI196" s="214"/>
      <c r="AJ196" s="214"/>
      <c r="AK196" s="214"/>
      <c r="AL196" s="214"/>
      <c r="AM196" s="214"/>
      <c r="AN196" s="214"/>
      <c r="AO196" s="214"/>
      <c r="AP196" s="214"/>
      <c r="AQ196" s="214"/>
      <c r="AR196" s="214"/>
      <c r="AS196" s="214"/>
      <c r="AT196" s="214"/>
      <c r="AU196" s="214"/>
      <c r="AV196" s="214"/>
      <c r="AW196" s="214"/>
      <c r="AX196" s="214"/>
      <c r="AY196" s="214"/>
      <c r="AZ196" s="214"/>
      <c r="BA196" s="214"/>
      <c r="BB196" s="214"/>
      <c r="BC196" s="214"/>
      <c r="BD196" s="214"/>
      <c r="BE196" s="214"/>
      <c r="BF196" s="214"/>
      <c r="BG196" s="214"/>
      <c r="BH196" s="214"/>
    </row>
  </sheetData>
  <sheetProtection formatCells="0" formatRows="0" insertRows="0" deleteRows="0"/>
  <mergeCells count="469">
    <mergeCell ref="AN173:AP173"/>
    <mergeCell ref="AQ173:AW173"/>
    <mergeCell ref="AV156:BC156"/>
    <mergeCell ref="X154:AE154"/>
    <mergeCell ref="AF154:AM154"/>
    <mergeCell ref="X156:AE156"/>
    <mergeCell ref="AF156:AM156"/>
    <mergeCell ref="D195:BH195"/>
    <mergeCell ref="D193:BH193"/>
    <mergeCell ref="T185:AD185"/>
    <mergeCell ref="T186:AD186"/>
    <mergeCell ref="N188:S188"/>
    <mergeCell ref="T188:AD188"/>
    <mergeCell ref="D181:M182"/>
    <mergeCell ref="N181:AD181"/>
    <mergeCell ref="AH181:AQ182"/>
    <mergeCell ref="AR181:BH181"/>
    <mergeCell ref="N182:S182"/>
    <mergeCell ref="T182:AD182"/>
    <mergeCell ref="AX182:BH182"/>
    <mergeCell ref="AH183:AQ183"/>
    <mergeCell ref="AR183:AW183"/>
    <mergeCell ref="D191:M191"/>
    <mergeCell ref="D194:BH194"/>
    <mergeCell ref="N189:S189"/>
    <mergeCell ref="T189:AD189"/>
    <mergeCell ref="AH187:AQ187"/>
    <mergeCell ref="AR187:AW187"/>
    <mergeCell ref="T187:AD187"/>
    <mergeCell ref="D188:M188"/>
    <mergeCell ref="D187:M187"/>
    <mergeCell ref="AX189:BH189"/>
    <mergeCell ref="D185:M185"/>
    <mergeCell ref="AH185:AQ185"/>
    <mergeCell ref="T184:AD184"/>
    <mergeCell ref="AH184:AQ184"/>
    <mergeCell ref="N183:S183"/>
    <mergeCell ref="AX183:BH183"/>
    <mergeCell ref="D186:M186"/>
    <mergeCell ref="AX188:BH188"/>
    <mergeCell ref="AX187:BH187"/>
    <mergeCell ref="AX186:BH186"/>
    <mergeCell ref="AX185:BH185"/>
    <mergeCell ref="N184:S184"/>
    <mergeCell ref="AR185:AW185"/>
    <mergeCell ref="D189:M189"/>
    <mergeCell ref="AH189:AQ189"/>
    <mergeCell ref="AR189:AW189"/>
    <mergeCell ref="N187:S187"/>
    <mergeCell ref="AX184:BH184"/>
    <mergeCell ref="N186:S186"/>
    <mergeCell ref="AH186:AQ186"/>
    <mergeCell ref="N185:S185"/>
    <mergeCell ref="L154:W154"/>
    <mergeCell ref="AN156:AU156"/>
    <mergeCell ref="AH188:AQ188"/>
    <mergeCell ref="AR188:AW188"/>
    <mergeCell ref="AX172:BD172"/>
    <mergeCell ref="BE172:BI172"/>
    <mergeCell ref="AF164:AI164"/>
    <mergeCell ref="X164:AE164"/>
    <mergeCell ref="P164:W164"/>
    <mergeCell ref="M164:O164"/>
    <mergeCell ref="D184:M184"/>
    <mergeCell ref="D183:M183"/>
    <mergeCell ref="AR182:AW182"/>
    <mergeCell ref="D179:BH179"/>
    <mergeCell ref="T183:AD183"/>
    <mergeCell ref="AR184:AW184"/>
    <mergeCell ref="AQ172:AW172"/>
    <mergeCell ref="AN172:AP172"/>
    <mergeCell ref="AF172:AI172"/>
    <mergeCell ref="AJ172:AM172"/>
    <mergeCell ref="X172:AE172"/>
    <mergeCell ref="AJ171:BI171"/>
    <mergeCell ref="D160:BK160"/>
    <mergeCell ref="AF163:AI163"/>
    <mergeCell ref="G152:K154"/>
    <mergeCell ref="AF152:AM152"/>
    <mergeCell ref="AN153:AU153"/>
    <mergeCell ref="L153:W153"/>
    <mergeCell ref="AN154:AU154"/>
    <mergeCell ref="AR186:AW186"/>
    <mergeCell ref="AF151:AM151"/>
    <mergeCell ref="D149:BH149"/>
    <mergeCell ref="G145:K145"/>
    <mergeCell ref="X153:AE153"/>
    <mergeCell ref="AN152:AU152"/>
    <mergeCell ref="G151:W151"/>
    <mergeCell ref="L152:W152"/>
    <mergeCell ref="AN151:AU151"/>
    <mergeCell ref="X151:AE151"/>
    <mergeCell ref="W145:AA145"/>
    <mergeCell ref="X152:AE152"/>
    <mergeCell ref="AV153:BC153"/>
    <mergeCell ref="M172:O172"/>
    <mergeCell ref="P172:W172"/>
    <mergeCell ref="D178:P178"/>
    <mergeCell ref="C171:F172"/>
    <mergeCell ref="G171:L172"/>
    <mergeCell ref="M171:AI171"/>
    <mergeCell ref="BC46:BH47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Y49:BB49"/>
    <mergeCell ref="L102:AY102"/>
    <mergeCell ref="AT109:AY109"/>
    <mergeCell ref="BC61:BH61"/>
    <mergeCell ref="D73:BH73"/>
    <mergeCell ref="D63:M63"/>
    <mergeCell ref="D56:M57"/>
    <mergeCell ref="N56:W57"/>
    <mergeCell ref="AC56:AL56"/>
    <mergeCell ref="AC52:AL52"/>
    <mergeCell ref="AC60:AL60"/>
    <mergeCell ref="AM58:AQ68"/>
    <mergeCell ref="AY60:BB60"/>
    <mergeCell ref="AR61:AX61"/>
    <mergeCell ref="AR59:AX59"/>
    <mergeCell ref="AY61:BB61"/>
    <mergeCell ref="AB83:AE83"/>
    <mergeCell ref="D69:BH69"/>
    <mergeCell ref="BC64:BH64"/>
    <mergeCell ref="AR68:AX68"/>
    <mergeCell ref="AY63:BB63"/>
    <mergeCell ref="AC68:AL68"/>
    <mergeCell ref="L91:BK91"/>
    <mergeCell ref="L89:BK89"/>
    <mergeCell ref="AR62:AX62"/>
    <mergeCell ref="D50:M51"/>
    <mergeCell ref="D48:M49"/>
    <mergeCell ref="N48:R49"/>
    <mergeCell ref="S48:W49"/>
    <mergeCell ref="AC48:AL49"/>
    <mergeCell ref="D54:M55"/>
    <mergeCell ref="D64:M64"/>
    <mergeCell ref="N64:W64"/>
    <mergeCell ref="D65:W65"/>
    <mergeCell ref="D59:M59"/>
    <mergeCell ref="N54:R55"/>
    <mergeCell ref="S54:W55"/>
    <mergeCell ref="AC54:AL55"/>
    <mergeCell ref="D60:M60"/>
    <mergeCell ref="D61:W61"/>
    <mergeCell ref="AC64:AL64"/>
    <mergeCell ref="AC61:AL61"/>
    <mergeCell ref="E10:BG11"/>
    <mergeCell ref="K20:BG20"/>
    <mergeCell ref="K33:BG33"/>
    <mergeCell ref="L35:BG35"/>
    <mergeCell ref="K31:BG31"/>
    <mergeCell ref="L34:BG34"/>
    <mergeCell ref="D46:W47"/>
    <mergeCell ref="K37:BG37"/>
    <mergeCell ref="E14:BG15"/>
    <mergeCell ref="K21:BG21"/>
    <mergeCell ref="D43:U43"/>
    <mergeCell ref="K17:BG17"/>
    <mergeCell ref="K18:BG18"/>
    <mergeCell ref="X45:BH45"/>
    <mergeCell ref="K23:BG23"/>
    <mergeCell ref="K24:BG24"/>
    <mergeCell ref="K25:BG25"/>
    <mergeCell ref="K22:BG22"/>
    <mergeCell ref="L26:BG26"/>
    <mergeCell ref="AR46:AX46"/>
    <mergeCell ref="K32:BG32"/>
    <mergeCell ref="L28:BG28"/>
    <mergeCell ref="L36:BG36"/>
    <mergeCell ref="D45:W45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E12:BG13"/>
    <mergeCell ref="K19:BG19"/>
    <mergeCell ref="L27:BG27"/>
    <mergeCell ref="L30:BG30"/>
    <mergeCell ref="L29:BG29"/>
    <mergeCell ref="AR60:AX60"/>
    <mergeCell ref="D66:W66"/>
    <mergeCell ref="AR67:AX67"/>
    <mergeCell ref="D62:W62"/>
    <mergeCell ref="BC52:BH52"/>
    <mergeCell ref="AY52:BB52"/>
    <mergeCell ref="BC53:BH53"/>
    <mergeCell ref="BC67:BH67"/>
    <mergeCell ref="AC53:AL53"/>
    <mergeCell ref="D52:W53"/>
    <mergeCell ref="AC58:AL58"/>
    <mergeCell ref="AR53:AX53"/>
    <mergeCell ref="AY53:BB53"/>
    <mergeCell ref="AC57:AL57"/>
    <mergeCell ref="AR54:AX54"/>
    <mergeCell ref="AM52:AQ57"/>
    <mergeCell ref="AR52:AX52"/>
    <mergeCell ref="D58:W58"/>
    <mergeCell ref="X52:AB57"/>
    <mergeCell ref="AY62:BB62"/>
    <mergeCell ref="L90:BK90"/>
    <mergeCell ref="D67:M67"/>
    <mergeCell ref="X58:AB68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BC62:BH62"/>
    <mergeCell ref="N60:W60"/>
    <mergeCell ref="BC59:BH59"/>
    <mergeCell ref="BC58:BH58"/>
    <mergeCell ref="AR58:AX58"/>
    <mergeCell ref="BC60:BH60"/>
    <mergeCell ref="N63:R63"/>
    <mergeCell ref="L94:BK94"/>
    <mergeCell ref="X108:AM108"/>
    <mergeCell ref="AN104:AS104"/>
    <mergeCell ref="AL126:AR126"/>
    <mergeCell ref="X106:AM106"/>
    <mergeCell ref="AN105:AS105"/>
    <mergeCell ref="AT110:AY110"/>
    <mergeCell ref="X110:AM110"/>
    <mergeCell ref="L113:BK113"/>
    <mergeCell ref="AT107:AY107"/>
    <mergeCell ref="Q106:W108"/>
    <mergeCell ref="AN106:AS106"/>
    <mergeCell ref="AS125:BF125"/>
    <mergeCell ref="N125:AD126"/>
    <mergeCell ref="Q109:W112"/>
    <mergeCell ref="AT111:AY111"/>
    <mergeCell ref="L96:BK96"/>
    <mergeCell ref="AT103:AY103"/>
    <mergeCell ref="AN103:AS103"/>
    <mergeCell ref="L104:P112"/>
    <mergeCell ref="D100:R100"/>
    <mergeCell ref="X109:AM109"/>
    <mergeCell ref="AZ126:BF126"/>
    <mergeCell ref="AT112:AY112"/>
    <mergeCell ref="X107:AM107"/>
    <mergeCell ref="AT105:AY105"/>
    <mergeCell ref="L95:BK95"/>
    <mergeCell ref="D125:G126"/>
    <mergeCell ref="L103:AM103"/>
    <mergeCell ref="H125:M126"/>
    <mergeCell ref="AN110:AS110"/>
    <mergeCell ref="AN111:AS111"/>
    <mergeCell ref="X111:AM111"/>
    <mergeCell ref="AS126:AY126"/>
    <mergeCell ref="AN112:AS112"/>
    <mergeCell ref="X104:AM104"/>
    <mergeCell ref="AN107:AS107"/>
    <mergeCell ref="AE126:AK126"/>
    <mergeCell ref="AT108:AY108"/>
    <mergeCell ref="AN108:AS108"/>
    <mergeCell ref="AN109:AS109"/>
    <mergeCell ref="AT106:AY106"/>
    <mergeCell ref="AT104:AY104"/>
    <mergeCell ref="AE125:AR125"/>
    <mergeCell ref="X112:AM112"/>
    <mergeCell ref="Q104:W105"/>
    <mergeCell ref="X105:AM105"/>
    <mergeCell ref="L97:BK97"/>
    <mergeCell ref="AR55:AX55"/>
    <mergeCell ref="S59:W59"/>
    <mergeCell ref="BC56:BH56"/>
    <mergeCell ref="AY57:BB57"/>
    <mergeCell ref="AY54:BB54"/>
    <mergeCell ref="AY55:BB55"/>
    <mergeCell ref="AY59:BB59"/>
    <mergeCell ref="AY58:BB58"/>
    <mergeCell ref="N59:R59"/>
    <mergeCell ref="AC59:AL59"/>
    <mergeCell ref="BC54:BH55"/>
    <mergeCell ref="AR56:AX56"/>
    <mergeCell ref="AR57:AX57"/>
    <mergeCell ref="AY56:BB56"/>
    <mergeCell ref="BC57:BH57"/>
    <mergeCell ref="A73:C73"/>
    <mergeCell ref="L88:BK88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84:AC84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84:Y84"/>
    <mergeCell ref="AR66:AX66"/>
    <mergeCell ref="L83:AA83"/>
    <mergeCell ref="H87:L87"/>
    <mergeCell ref="D70:BH70"/>
    <mergeCell ref="N133:AD133"/>
    <mergeCell ref="AZ130:BF130"/>
    <mergeCell ref="AL133:AR133"/>
    <mergeCell ref="AZ127:BF127"/>
    <mergeCell ref="AS127:AY127"/>
    <mergeCell ref="AE133:AK133"/>
    <mergeCell ref="AS130:AY130"/>
    <mergeCell ref="AZ131:BF131"/>
    <mergeCell ref="AZ133:BF133"/>
    <mergeCell ref="AS131:AY131"/>
    <mergeCell ref="AS132:AY132"/>
    <mergeCell ref="AE132:AK132"/>
    <mergeCell ref="AZ128:BF128"/>
    <mergeCell ref="AZ129:BF129"/>
    <mergeCell ref="AS133:AY133"/>
    <mergeCell ref="AS128:AY128"/>
    <mergeCell ref="N142:AD142"/>
    <mergeCell ref="AL136:AR136"/>
    <mergeCell ref="AS138:AY138"/>
    <mergeCell ref="AS140:AY140"/>
    <mergeCell ref="N134:AD134"/>
    <mergeCell ref="AL135:AR135"/>
    <mergeCell ref="AZ137:BF137"/>
    <mergeCell ref="AZ138:BF138"/>
    <mergeCell ref="AZ140:BF140"/>
    <mergeCell ref="AZ142:BF142"/>
    <mergeCell ref="AS136:AY136"/>
    <mergeCell ref="AS139:AY139"/>
    <mergeCell ref="AE140:AK140"/>
    <mergeCell ref="AE142:AK142"/>
    <mergeCell ref="AL142:AR142"/>
    <mergeCell ref="AE137:AK137"/>
    <mergeCell ref="AL137:AR137"/>
    <mergeCell ref="AL138:AR138"/>
    <mergeCell ref="N137:AD137"/>
    <mergeCell ref="N135:AD135"/>
    <mergeCell ref="N136:AD136"/>
    <mergeCell ref="AZ141:BF141"/>
    <mergeCell ref="AL139:AR139"/>
    <mergeCell ref="AS141:AY141"/>
    <mergeCell ref="AL141:AR141"/>
    <mergeCell ref="AZ134:BF134"/>
    <mergeCell ref="AS129:AY129"/>
    <mergeCell ref="AL129:AR129"/>
    <mergeCell ref="AL132:AR132"/>
    <mergeCell ref="AE131:AK131"/>
    <mergeCell ref="AE129:AK129"/>
    <mergeCell ref="AZ135:BF135"/>
    <mergeCell ref="AE134:AK134"/>
    <mergeCell ref="AS137:AY137"/>
    <mergeCell ref="AZ132:BF132"/>
    <mergeCell ref="AS134:AY134"/>
    <mergeCell ref="AZ136:BF136"/>
    <mergeCell ref="AS135:AY135"/>
    <mergeCell ref="AZ139:BF139"/>
    <mergeCell ref="L157:W157"/>
    <mergeCell ref="X157:AE157"/>
    <mergeCell ref="L156:W156"/>
    <mergeCell ref="BE163:BI163"/>
    <mergeCell ref="AF157:AM157"/>
    <mergeCell ref="H136:M142"/>
    <mergeCell ref="H127:M135"/>
    <mergeCell ref="N141:AD141"/>
    <mergeCell ref="AL127:AR127"/>
    <mergeCell ref="AE139:AK139"/>
    <mergeCell ref="N132:AD132"/>
    <mergeCell ref="N127:AD127"/>
    <mergeCell ref="N129:AD129"/>
    <mergeCell ref="N128:AD128"/>
    <mergeCell ref="AL140:AR140"/>
    <mergeCell ref="N139:AD139"/>
    <mergeCell ref="N130:AD130"/>
    <mergeCell ref="AL134:AR134"/>
    <mergeCell ref="AE128:AK128"/>
    <mergeCell ref="AE127:AK127"/>
    <mergeCell ref="AL128:AR128"/>
    <mergeCell ref="N138:AD138"/>
    <mergeCell ref="G162:L163"/>
    <mergeCell ref="M162:AI162"/>
    <mergeCell ref="D127:G142"/>
    <mergeCell ref="AL131:AR131"/>
    <mergeCell ref="AE130:AK130"/>
    <mergeCell ref="AE136:AK136"/>
    <mergeCell ref="AV155:BC155"/>
    <mergeCell ref="AS142:AY142"/>
    <mergeCell ref="AV151:BC151"/>
    <mergeCell ref="N131:AD131"/>
    <mergeCell ref="AQ145:AU145"/>
    <mergeCell ref="AE138:AK138"/>
    <mergeCell ref="G155:K157"/>
    <mergeCell ref="AN157:AU157"/>
    <mergeCell ref="L155:W155"/>
    <mergeCell ref="AV157:BC157"/>
    <mergeCell ref="AV154:BC154"/>
    <mergeCell ref="X155:AE155"/>
    <mergeCell ref="AF153:AM153"/>
    <mergeCell ref="AV152:BC152"/>
    <mergeCell ref="AN155:AU155"/>
    <mergeCell ref="AF155:AM155"/>
    <mergeCell ref="N140:AD140"/>
    <mergeCell ref="AE141:AK141"/>
    <mergeCell ref="AL130:AR130"/>
    <mergeCell ref="AE135:AK135"/>
    <mergeCell ref="AJ162:BI162"/>
    <mergeCell ref="M163:O163"/>
    <mergeCell ref="P163:W163"/>
    <mergeCell ref="X163:AE163"/>
    <mergeCell ref="AN163:AP163"/>
    <mergeCell ref="AJ163:AM163"/>
    <mergeCell ref="AQ163:AW163"/>
    <mergeCell ref="AX163:BD163"/>
    <mergeCell ref="AX164:BD164"/>
    <mergeCell ref="BE164:BI164"/>
    <mergeCell ref="C176:BI176"/>
    <mergeCell ref="M165:BI165"/>
    <mergeCell ref="C170:BG170"/>
    <mergeCell ref="D169:BK169"/>
    <mergeCell ref="C164:F165"/>
    <mergeCell ref="G164:L165"/>
    <mergeCell ref="AJ164:AM164"/>
    <mergeCell ref="AN164:AP164"/>
    <mergeCell ref="AQ164:AW164"/>
    <mergeCell ref="AJ174:AM174"/>
    <mergeCell ref="AN174:AP174"/>
    <mergeCell ref="AQ174:AW174"/>
    <mergeCell ref="AX174:BD174"/>
    <mergeCell ref="BE174:BI174"/>
    <mergeCell ref="M173:O174"/>
    <mergeCell ref="P173:W174"/>
    <mergeCell ref="X173:AE174"/>
    <mergeCell ref="AF173:AI174"/>
    <mergeCell ref="AX173:BD173"/>
    <mergeCell ref="BE173:BI173"/>
    <mergeCell ref="M175:BI175"/>
    <mergeCell ref="C173:F175"/>
    <mergeCell ref="G173:L175"/>
    <mergeCell ref="AJ173:AM173"/>
  </mergeCells>
  <conditionalFormatting sqref="AY46:BB50 AY54:BB54 AY56:BB57 AY59:BB59 AY61:BB62 AY64:BB64 AY66:BB66">
    <cfRule type="cellIs" dxfId="1734" priority="931" operator="notEqual">
      <formula>2</formula>
    </cfRule>
  </conditionalFormatting>
  <conditionalFormatting sqref="AY51:BB51">
    <cfRule type="cellIs" dxfId="1733" priority="930" operator="notEqual">
      <formula>3</formula>
    </cfRule>
  </conditionalFormatting>
  <conditionalFormatting sqref="AY52:BB52 AY55:BB55">
    <cfRule type="cellIs" dxfId="1732" priority="929" operator="notEqual">
      <formula>1</formula>
    </cfRule>
  </conditionalFormatting>
  <conditionalFormatting sqref="AY53:BB53 AY58:BB58">
    <cfRule type="cellIs" dxfId="1731" priority="928" operator="notEqual">
      <formula>6</formula>
    </cfRule>
  </conditionalFormatting>
  <conditionalFormatting sqref="AY60:BB60 AY65:BB65 AY63:BB63 AY67:BB68">
    <cfRule type="cellIs" dxfId="1730" priority="927" operator="notEqual">
      <formula>4</formula>
    </cfRule>
  </conditionalFormatting>
  <conditionalFormatting sqref="D200:D203 AH181 AH183:AH189 AF191:AF194 D179:D181 D183:D195 D148:D149 H82 L83:L85 H86:H99">
    <cfRule type="cellIs" dxfId="1729" priority="923" operator="equal">
      <formula>"50HzT"</formula>
    </cfRule>
    <cfRule type="cellIs" dxfId="1728" priority="924" operator="equal">
      <formula>"TERNA"</formula>
    </cfRule>
    <cfRule type="cellIs" dxfId="1727" priority="925" operator="equal">
      <formula>"RTE"</formula>
    </cfRule>
    <cfRule type="cellIs" dxfId="1726" priority="926" operator="equal">
      <formula>"ELIA"</formula>
    </cfRule>
  </conditionalFormatting>
  <conditionalFormatting sqref="AG191:AG194 E191:E194 L152:L158 L113 L88:L91 L94:L99">
    <cfRule type="cellIs" dxfId="1725" priority="919" operator="equal">
      <formula>"Transformer"</formula>
    </cfRule>
    <cfRule type="cellIs" dxfId="1724" priority="920" operator="equal">
      <formula>"Fossil.Gen"</formula>
    </cfRule>
    <cfRule type="cellIs" dxfId="1723" priority="921" operator="equal">
      <formula>"Hydro.Gen"</formula>
    </cfRule>
    <cfRule type="cellIs" dxfId="1722" priority="922" operator="equal">
      <formula>"Nuc.Gen"</formula>
    </cfRule>
  </conditionalFormatting>
  <conditionalFormatting sqref="AL127:AL142 AZ127:AZ142">
    <cfRule type="cellIs" dxfId="1721" priority="914" operator="greaterThan">
      <formula>75</formula>
    </cfRule>
    <cfRule type="cellIs" dxfId="1720" priority="915" operator="between">
      <formula>50</formula>
      <formula>75</formula>
    </cfRule>
    <cfRule type="cellIs" dxfId="1719" priority="916" operator="lessThan">
      <formula>50</formula>
    </cfRule>
  </conditionalFormatting>
  <conditionalFormatting sqref="AL127:AL142 AZ127:AZ142">
    <cfRule type="cellIs" dxfId="1718" priority="894" operator="greaterThan">
      <formula>75</formula>
    </cfRule>
    <cfRule type="cellIs" dxfId="1717" priority="895" operator="between">
      <formula>50</formula>
      <formula>75</formula>
    </cfRule>
    <cfRule type="cellIs" priority="896" operator="lessThan">
      <formula>50</formula>
    </cfRule>
  </conditionalFormatting>
  <conditionalFormatting sqref="AF151">
    <cfRule type="timePeriod" dxfId="1716" priority="828" timePeriod="tomorrow">
      <formula>FLOOR(AF151,1)=TODAY()+1</formula>
    </cfRule>
  </conditionalFormatting>
  <conditionalFormatting sqref="AN151">
    <cfRule type="timePeriod" dxfId="1715" priority="827" timePeriod="tomorrow">
      <formula>FLOOR(AN151,1)=TODAY()+1</formula>
    </cfRule>
  </conditionalFormatting>
  <conditionalFormatting sqref="AN104:AY104">
    <cfRule type="uniqueValues" dxfId="1714" priority="1044"/>
  </conditionalFormatting>
  <conditionalFormatting sqref="AN105:AY105">
    <cfRule type="uniqueValues" dxfId="1713" priority="1046"/>
  </conditionalFormatting>
  <conditionalFormatting sqref="AN106:AY106">
    <cfRule type="uniqueValues" dxfId="1712" priority="1048"/>
  </conditionalFormatting>
  <conditionalFormatting sqref="AN108:AY108">
    <cfRule type="uniqueValues" dxfId="1711" priority="1050"/>
  </conditionalFormatting>
  <conditionalFormatting sqref="AN109:AY109">
    <cfRule type="uniqueValues" dxfId="1710" priority="1056"/>
  </conditionalFormatting>
  <conditionalFormatting sqref="AN110:AY110">
    <cfRule type="uniqueValues" dxfId="1709" priority="1058"/>
  </conditionalFormatting>
  <conditionalFormatting sqref="AN111:AY111">
    <cfRule type="uniqueValues" dxfId="1708" priority="1060"/>
  </conditionalFormatting>
  <conditionalFormatting sqref="AN112:AY112">
    <cfRule type="uniqueValues" dxfId="1707" priority="1062"/>
  </conditionalFormatting>
  <conditionalFormatting sqref="AN107:AY107">
    <cfRule type="uniqueValues" dxfId="1706" priority="1064"/>
  </conditionalFormatting>
  <conditionalFormatting sqref="N64:W64 N68:W68">
    <cfRule type="cellIs" dxfId="1705" priority="7" operator="equal">
      <formula>"Insufficient"</formula>
    </cfRule>
    <cfRule type="cellIs" dxfId="1704" priority="8" operator="equal">
      <formula>"Tight"</formula>
    </cfRule>
    <cfRule type="cellIs" dxfId="1703" priority="9" operator="equal">
      <formula>"Sufficient"</formula>
    </cfRule>
  </conditionalFormatting>
  <conditionalFormatting sqref="N68:W68">
    <cfRule type="cellIs" dxfId="1702" priority="4" operator="equal">
      <formula>"Red"</formula>
    </cfRule>
    <cfRule type="cellIs" dxfId="1701" priority="5" operator="equal">
      <formula>"Orange"</formula>
    </cfRule>
    <cfRule type="cellIs" dxfId="1700" priority="6" operator="equal">
      <formula>"Green"</formula>
    </cfRule>
  </conditionalFormatting>
  <dataValidations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14/01/2018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F3" sqref="F3:I35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76" t="s">
        <v>90</v>
      </c>
      <c r="B2" s="677"/>
      <c r="C2" s="677"/>
      <c r="D2" s="678"/>
      <c r="E2" s="7"/>
      <c r="F2" s="676" t="s">
        <v>91</v>
      </c>
      <c r="G2" s="679"/>
      <c r="H2" s="679"/>
      <c r="I2" s="680"/>
    </row>
    <row r="3" spans="1:12">
      <c r="A3" s="186" t="s">
        <v>354</v>
      </c>
      <c r="B3" s="186" t="s">
        <v>35</v>
      </c>
      <c r="C3" s="186" t="s">
        <v>36</v>
      </c>
      <c r="D3" s="186" t="s">
        <v>37</v>
      </c>
      <c r="E3" s="39"/>
      <c r="F3" s="178" t="s">
        <v>354</v>
      </c>
      <c r="G3" s="178" t="s">
        <v>35</v>
      </c>
      <c r="H3" s="178" t="s">
        <v>36</v>
      </c>
      <c r="I3" s="178" t="s">
        <v>37</v>
      </c>
      <c r="J3" s="9" t="s">
        <v>491</v>
      </c>
    </row>
    <row r="4" spans="1:12">
      <c r="A4" s="186" t="s">
        <v>429</v>
      </c>
      <c r="B4" s="186">
        <v>635</v>
      </c>
      <c r="C4" s="186">
        <v>33</v>
      </c>
      <c r="D4" s="186">
        <v>2700</v>
      </c>
      <c r="E4" s="177"/>
      <c r="F4" s="178" t="s">
        <v>429</v>
      </c>
      <c r="G4" s="178">
        <v>638</v>
      </c>
      <c r="H4" s="178">
        <v>34</v>
      </c>
      <c r="I4" s="178">
        <v>2700</v>
      </c>
      <c r="J4" s="9">
        <v>566</v>
      </c>
    </row>
    <row r="5" spans="1:12">
      <c r="A5" s="186" t="s">
        <v>430</v>
      </c>
      <c r="B5" s="186">
        <v>152</v>
      </c>
      <c r="C5" s="186">
        <v>39</v>
      </c>
      <c r="D5" s="186">
        <v>960</v>
      </c>
      <c r="E5" s="177"/>
      <c r="F5" s="178" t="s">
        <v>430</v>
      </c>
      <c r="G5" s="178">
        <v>141</v>
      </c>
      <c r="H5" s="178">
        <v>37</v>
      </c>
      <c r="I5" s="178">
        <v>960</v>
      </c>
      <c r="J5" s="9">
        <v>-193</v>
      </c>
    </row>
    <row r="6" spans="1:12">
      <c r="A6" s="186" t="s">
        <v>431</v>
      </c>
      <c r="B6" s="186">
        <v>116</v>
      </c>
      <c r="C6" s="186">
        <v>38</v>
      </c>
      <c r="D6" s="186">
        <v>750</v>
      </c>
      <c r="E6" s="177"/>
      <c r="F6" s="178" t="s">
        <v>431</v>
      </c>
      <c r="G6" s="178">
        <v>120</v>
      </c>
      <c r="H6" s="178">
        <v>40</v>
      </c>
      <c r="I6" s="178">
        <v>750</v>
      </c>
      <c r="J6" s="9">
        <v>-298</v>
      </c>
    </row>
    <row r="7" spans="1:12">
      <c r="A7" s="186" t="s">
        <v>432</v>
      </c>
      <c r="B7" s="186">
        <v>662</v>
      </c>
      <c r="C7" s="186">
        <v>41</v>
      </c>
      <c r="D7" s="186">
        <v>2270</v>
      </c>
      <c r="E7" s="177"/>
      <c r="F7" s="178" t="s">
        <v>432</v>
      </c>
      <c r="G7" s="178">
        <v>1070</v>
      </c>
      <c r="H7" s="178">
        <v>69</v>
      </c>
      <c r="I7" s="178">
        <v>2270</v>
      </c>
      <c r="J7" s="101">
        <v>918</v>
      </c>
    </row>
    <row r="8" spans="1:12">
      <c r="A8" s="186" t="s">
        <v>433</v>
      </c>
      <c r="B8" s="186">
        <v>154</v>
      </c>
      <c r="C8" s="186">
        <v>26</v>
      </c>
      <c r="D8" s="186">
        <v>855</v>
      </c>
      <c r="E8" s="177"/>
      <c r="F8" s="178" t="s">
        <v>433</v>
      </c>
      <c r="G8" s="178">
        <v>216</v>
      </c>
      <c r="H8" s="178">
        <v>38</v>
      </c>
      <c r="I8" s="178">
        <v>855</v>
      </c>
      <c r="J8" s="9">
        <v>978</v>
      </c>
      <c r="L8" s="102"/>
    </row>
    <row r="9" spans="1:12">
      <c r="A9" s="186" t="s">
        <v>434</v>
      </c>
      <c r="B9" s="186">
        <v>35</v>
      </c>
      <c r="C9" s="186">
        <v>9</v>
      </c>
      <c r="D9" s="186">
        <v>1010</v>
      </c>
      <c r="E9" s="177"/>
      <c r="F9" s="178" t="s">
        <v>434</v>
      </c>
      <c r="G9" s="178">
        <v>120</v>
      </c>
      <c r="H9" s="178">
        <v>29</v>
      </c>
      <c r="I9" s="178">
        <v>1010</v>
      </c>
      <c r="J9" s="9">
        <v>855</v>
      </c>
      <c r="K9" s="9" t="s">
        <v>193</v>
      </c>
      <c r="L9" s="102" t="s">
        <v>194</v>
      </c>
    </row>
    <row r="10" spans="1:12">
      <c r="A10" s="186" t="s">
        <v>435</v>
      </c>
      <c r="B10" s="186">
        <v>42</v>
      </c>
      <c r="C10" s="186">
        <v>11</v>
      </c>
      <c r="D10" s="186">
        <v>1010</v>
      </c>
      <c r="E10" s="177"/>
      <c r="F10" s="178" t="s">
        <v>435</v>
      </c>
      <c r="G10" s="178">
        <v>139</v>
      </c>
      <c r="H10" s="178">
        <v>34</v>
      </c>
      <c r="I10" s="178">
        <v>1010</v>
      </c>
      <c r="J10" s="9">
        <v>237</v>
      </c>
    </row>
    <row r="11" spans="1:12">
      <c r="A11" s="186" t="s">
        <v>436</v>
      </c>
      <c r="B11" s="186">
        <v>414</v>
      </c>
      <c r="C11" s="186">
        <v>23</v>
      </c>
      <c r="D11" s="186">
        <v>2530</v>
      </c>
      <c r="E11" s="177"/>
      <c r="F11" s="178" t="s">
        <v>436</v>
      </c>
      <c r="G11" s="178">
        <v>892</v>
      </c>
      <c r="H11" s="178">
        <v>52</v>
      </c>
      <c r="I11" s="178">
        <v>2530</v>
      </c>
      <c r="J11" s="9">
        <v>258</v>
      </c>
    </row>
    <row r="12" spans="1:12">
      <c r="A12" s="186" t="s">
        <v>437</v>
      </c>
      <c r="B12" s="186">
        <v>707</v>
      </c>
      <c r="C12" s="186">
        <v>40</v>
      </c>
      <c r="D12" s="186">
        <v>2530</v>
      </c>
      <c r="E12" s="177"/>
      <c r="F12" s="178" t="s">
        <v>437</v>
      </c>
      <c r="G12" s="178">
        <v>1192</v>
      </c>
      <c r="H12" s="178">
        <v>69</v>
      </c>
      <c r="I12" s="178">
        <v>2530</v>
      </c>
      <c r="J12" s="9">
        <v>-293</v>
      </c>
    </row>
    <row r="13" spans="1:12">
      <c r="A13" s="186" t="s">
        <v>438</v>
      </c>
      <c r="B13" s="186">
        <v>98</v>
      </c>
      <c r="C13" s="186">
        <v>30</v>
      </c>
      <c r="D13" s="186">
        <v>900</v>
      </c>
      <c r="E13" s="177"/>
      <c r="F13" s="178" t="s">
        <v>438</v>
      </c>
      <c r="G13" s="178">
        <v>147</v>
      </c>
      <c r="H13" s="178">
        <v>40</v>
      </c>
      <c r="I13" s="178">
        <v>900</v>
      </c>
      <c r="J13" s="9">
        <v>-190</v>
      </c>
    </row>
    <row r="14" spans="1:12">
      <c r="A14" s="186" t="s">
        <v>439</v>
      </c>
      <c r="B14" s="186">
        <v>403</v>
      </c>
      <c r="C14" s="186">
        <v>26</v>
      </c>
      <c r="D14" s="186">
        <v>2300</v>
      </c>
      <c r="E14" s="177"/>
      <c r="F14" s="178" t="s">
        <v>439</v>
      </c>
      <c r="G14" s="178">
        <v>806</v>
      </c>
      <c r="H14" s="178">
        <v>51</v>
      </c>
      <c r="I14" s="178">
        <v>2300</v>
      </c>
      <c r="J14" s="9">
        <v>-244</v>
      </c>
    </row>
    <row r="15" spans="1:12">
      <c r="A15" s="186" t="s">
        <v>440</v>
      </c>
      <c r="B15" s="186">
        <v>54</v>
      </c>
      <c r="C15" s="186">
        <v>16</v>
      </c>
      <c r="D15" s="186">
        <v>900</v>
      </c>
      <c r="E15" s="177"/>
      <c r="F15" s="178" t="s">
        <v>440</v>
      </c>
      <c r="G15" s="178">
        <v>42</v>
      </c>
      <c r="H15" s="178">
        <v>12</v>
      </c>
      <c r="I15" s="178">
        <v>900</v>
      </c>
      <c r="J15" s="9">
        <v>928</v>
      </c>
    </row>
    <row r="16" spans="1:12">
      <c r="A16" s="186" t="s">
        <v>441</v>
      </c>
      <c r="B16" s="186">
        <v>54</v>
      </c>
      <c r="C16" s="186">
        <v>16</v>
      </c>
      <c r="D16" s="186">
        <v>900</v>
      </c>
      <c r="E16" s="177"/>
      <c r="F16" s="178" t="s">
        <v>441</v>
      </c>
      <c r="G16" s="178">
        <v>42</v>
      </c>
      <c r="H16" s="178">
        <v>12</v>
      </c>
      <c r="I16" s="178">
        <v>900</v>
      </c>
      <c r="J16" s="9">
        <v>562</v>
      </c>
    </row>
    <row r="17" spans="1:9">
      <c r="A17" s="186" t="s">
        <v>442</v>
      </c>
      <c r="B17" s="186">
        <v>-601</v>
      </c>
      <c r="C17" s="186">
        <v>37</v>
      </c>
      <c r="D17" s="186">
        <v>2370</v>
      </c>
      <c r="E17" s="177"/>
      <c r="F17" s="178" t="s">
        <v>442</v>
      </c>
      <c r="G17" s="178">
        <v>-679</v>
      </c>
      <c r="H17" s="178">
        <v>43</v>
      </c>
      <c r="I17" s="178">
        <v>2370</v>
      </c>
    </row>
    <row r="18" spans="1:9">
      <c r="A18" s="186" t="s">
        <v>443</v>
      </c>
      <c r="B18" s="186">
        <v>601</v>
      </c>
      <c r="C18" s="186">
        <v>37</v>
      </c>
      <c r="D18" s="186">
        <v>2370</v>
      </c>
      <c r="E18" s="177"/>
      <c r="F18" s="178" t="s">
        <v>443</v>
      </c>
      <c r="G18" s="178">
        <v>679</v>
      </c>
      <c r="H18" s="178">
        <v>43</v>
      </c>
      <c r="I18" s="178">
        <v>2370</v>
      </c>
    </row>
    <row r="19" spans="1:9">
      <c r="A19" s="186" t="s">
        <v>444</v>
      </c>
      <c r="B19" s="186">
        <v>-600</v>
      </c>
      <c r="C19" s="186">
        <v>37</v>
      </c>
      <c r="D19" s="186">
        <v>2370</v>
      </c>
      <c r="E19" s="177"/>
      <c r="F19" s="178" t="s">
        <v>444</v>
      </c>
      <c r="G19" s="178">
        <v>-727</v>
      </c>
      <c r="H19" s="178">
        <v>45</v>
      </c>
      <c r="I19" s="178">
        <v>2370</v>
      </c>
    </row>
    <row r="20" spans="1:9">
      <c r="A20" s="186" t="s">
        <v>445</v>
      </c>
      <c r="B20" s="186">
        <v>600</v>
      </c>
      <c r="C20" s="186">
        <v>37</v>
      </c>
      <c r="D20" s="186">
        <v>2370</v>
      </c>
      <c r="E20" s="177"/>
      <c r="F20" s="178" t="s">
        <v>445</v>
      </c>
      <c r="G20" s="178">
        <v>727</v>
      </c>
      <c r="H20" s="178">
        <v>45</v>
      </c>
      <c r="I20" s="178">
        <v>2370</v>
      </c>
    </row>
    <row r="21" spans="1:9">
      <c r="A21" s="186" t="s">
        <v>446</v>
      </c>
      <c r="B21" s="186">
        <v>-199</v>
      </c>
      <c r="C21" s="186">
        <v>41</v>
      </c>
      <c r="D21" s="186">
        <v>1165</v>
      </c>
      <c r="E21" s="177"/>
      <c r="F21" s="178" t="s">
        <v>446</v>
      </c>
      <c r="G21" s="178">
        <v>-203</v>
      </c>
      <c r="H21" s="178">
        <v>45</v>
      </c>
      <c r="I21" s="178">
        <v>1165</v>
      </c>
    </row>
    <row r="22" spans="1:9">
      <c r="A22" s="186" t="s">
        <v>447</v>
      </c>
      <c r="B22" s="186">
        <v>199</v>
      </c>
      <c r="C22" s="186">
        <v>41</v>
      </c>
      <c r="D22" s="186">
        <v>1165</v>
      </c>
      <c r="E22" s="177"/>
      <c r="F22" s="178" t="s">
        <v>447</v>
      </c>
      <c r="G22" s="178">
        <v>203</v>
      </c>
      <c r="H22" s="178">
        <v>45</v>
      </c>
      <c r="I22" s="178">
        <v>1165</v>
      </c>
    </row>
    <row r="23" spans="1:9">
      <c r="A23" s="186" t="s">
        <v>448</v>
      </c>
      <c r="B23" s="186">
        <v>662</v>
      </c>
      <c r="C23" s="186">
        <v>41</v>
      </c>
      <c r="D23" s="186">
        <v>2270</v>
      </c>
      <c r="E23" s="177"/>
      <c r="F23" s="178" t="s">
        <v>448</v>
      </c>
      <c r="G23" s="178">
        <v>1070</v>
      </c>
      <c r="H23" s="178">
        <v>69</v>
      </c>
      <c r="I23" s="178">
        <v>2270</v>
      </c>
    </row>
    <row r="24" spans="1:9">
      <c r="A24" s="186" t="s">
        <v>449</v>
      </c>
      <c r="B24" s="186">
        <v>116</v>
      </c>
      <c r="C24" s="186">
        <v>41</v>
      </c>
      <c r="D24" s="186">
        <v>704</v>
      </c>
      <c r="E24" s="177"/>
      <c r="F24" s="178" t="s">
        <v>449</v>
      </c>
      <c r="G24" s="178">
        <v>120</v>
      </c>
      <c r="H24" s="178">
        <v>42</v>
      </c>
      <c r="I24" s="178">
        <v>704</v>
      </c>
    </row>
    <row r="25" spans="1:9">
      <c r="A25" s="186" t="s">
        <v>450</v>
      </c>
      <c r="B25" s="186">
        <v>154</v>
      </c>
      <c r="C25" s="186">
        <v>26</v>
      </c>
      <c r="D25" s="186">
        <v>855</v>
      </c>
      <c r="E25" s="177"/>
      <c r="F25" s="178" t="s">
        <v>450</v>
      </c>
      <c r="G25" s="178">
        <v>216</v>
      </c>
      <c r="H25" s="178">
        <v>38</v>
      </c>
      <c r="I25" s="178">
        <v>855</v>
      </c>
    </row>
    <row r="26" spans="1:9">
      <c r="A26" s="186" t="s">
        <v>451</v>
      </c>
      <c r="B26" s="186">
        <v>152</v>
      </c>
      <c r="C26" s="186">
        <v>39</v>
      </c>
      <c r="D26" s="186">
        <v>960</v>
      </c>
      <c r="E26" s="177"/>
      <c r="F26" s="178" t="s">
        <v>451</v>
      </c>
      <c r="G26" s="178">
        <v>141</v>
      </c>
      <c r="H26" s="178">
        <v>37</v>
      </c>
      <c r="I26" s="178">
        <v>960</v>
      </c>
    </row>
    <row r="27" spans="1:9">
      <c r="A27" s="186" t="s">
        <v>452</v>
      </c>
      <c r="B27" s="186">
        <v>635</v>
      </c>
      <c r="C27" s="186">
        <v>37</v>
      </c>
      <c r="D27" s="186">
        <v>2450</v>
      </c>
      <c r="E27" s="177"/>
      <c r="F27" s="178" t="s">
        <v>452</v>
      </c>
      <c r="G27" s="178">
        <v>638</v>
      </c>
      <c r="H27" s="178">
        <v>38</v>
      </c>
      <c r="I27" s="178">
        <v>2450</v>
      </c>
    </row>
    <row r="28" spans="1:9">
      <c r="A28" s="186" t="s">
        <v>453</v>
      </c>
      <c r="B28" s="186">
        <v>35</v>
      </c>
      <c r="C28" s="186">
        <v>9</v>
      </c>
      <c r="D28" s="186">
        <v>1010</v>
      </c>
      <c r="E28" s="177"/>
      <c r="F28" s="178" t="s">
        <v>453</v>
      </c>
      <c r="G28" s="178">
        <v>120</v>
      </c>
      <c r="H28" s="178">
        <v>29</v>
      </c>
      <c r="I28" s="178">
        <v>1010</v>
      </c>
    </row>
    <row r="29" spans="1:9">
      <c r="A29" s="186" t="s">
        <v>454</v>
      </c>
      <c r="B29" s="186">
        <v>42</v>
      </c>
      <c r="C29" s="186">
        <v>11</v>
      </c>
      <c r="D29" s="186">
        <v>1010</v>
      </c>
      <c r="E29" s="177"/>
      <c r="F29" s="178" t="s">
        <v>454</v>
      </c>
      <c r="G29" s="178">
        <v>139</v>
      </c>
      <c r="H29" s="178">
        <v>34</v>
      </c>
      <c r="I29" s="178">
        <v>1010</v>
      </c>
    </row>
    <row r="30" spans="1:9">
      <c r="A30" s="186" t="s">
        <v>455</v>
      </c>
      <c r="B30" s="186">
        <v>707</v>
      </c>
      <c r="C30" s="186">
        <v>40</v>
      </c>
      <c r="D30" s="186">
        <v>2530</v>
      </c>
      <c r="E30" s="177"/>
      <c r="F30" s="178" t="s">
        <v>455</v>
      </c>
      <c r="G30" s="178">
        <v>1192</v>
      </c>
      <c r="H30" s="178">
        <v>69</v>
      </c>
      <c r="I30" s="178">
        <v>2530</v>
      </c>
    </row>
    <row r="31" spans="1:9">
      <c r="A31" s="186" t="s">
        <v>456</v>
      </c>
      <c r="B31" s="186">
        <v>414</v>
      </c>
      <c r="C31" s="186">
        <v>23</v>
      </c>
      <c r="D31" s="186">
        <v>2530</v>
      </c>
      <c r="E31" s="177"/>
      <c r="F31" s="178" t="s">
        <v>456</v>
      </c>
      <c r="G31" s="178">
        <v>892</v>
      </c>
      <c r="H31" s="178">
        <v>52</v>
      </c>
      <c r="I31" s="178">
        <v>2530</v>
      </c>
    </row>
    <row r="32" spans="1:9">
      <c r="A32" s="186" t="s">
        <v>457</v>
      </c>
      <c r="B32" s="186">
        <v>98</v>
      </c>
      <c r="C32" s="186">
        <v>30</v>
      </c>
      <c r="D32" s="186">
        <v>900</v>
      </c>
      <c r="E32" s="177"/>
      <c r="F32" s="178" t="s">
        <v>457</v>
      </c>
      <c r="G32" s="178">
        <v>147</v>
      </c>
      <c r="H32" s="178">
        <v>40</v>
      </c>
      <c r="I32" s="178">
        <v>900</v>
      </c>
    </row>
    <row r="33" spans="1:9">
      <c r="A33" s="186" t="s">
        <v>458</v>
      </c>
      <c r="B33" s="186">
        <v>403</v>
      </c>
      <c r="C33" s="186">
        <v>26</v>
      </c>
      <c r="D33" s="186">
        <v>2300</v>
      </c>
      <c r="E33" s="177"/>
      <c r="F33" s="178" t="s">
        <v>458</v>
      </c>
      <c r="G33" s="178">
        <v>806</v>
      </c>
      <c r="H33" s="178">
        <v>51</v>
      </c>
      <c r="I33" s="178">
        <v>2300</v>
      </c>
    </row>
    <row r="34" spans="1:9">
      <c r="A34" s="186" t="s">
        <v>459</v>
      </c>
      <c r="B34" s="186">
        <v>-307</v>
      </c>
      <c r="C34" s="186">
        <v>17</v>
      </c>
      <c r="D34" s="186">
        <v>2715</v>
      </c>
      <c r="E34" s="177"/>
      <c r="F34" s="178" t="s">
        <v>459</v>
      </c>
      <c r="G34" s="178">
        <v>-791</v>
      </c>
      <c r="H34" s="178">
        <v>42</v>
      </c>
      <c r="I34" s="178">
        <v>2715</v>
      </c>
    </row>
    <row r="35" spans="1:9">
      <c r="A35" s="186" t="s">
        <v>460</v>
      </c>
      <c r="B35" s="186">
        <v>307</v>
      </c>
      <c r="C35" s="186">
        <v>17</v>
      </c>
      <c r="D35" s="186">
        <v>2715</v>
      </c>
      <c r="E35" s="177"/>
      <c r="F35" s="178" t="s">
        <v>460</v>
      </c>
      <c r="G35" s="178">
        <v>791</v>
      </c>
      <c r="H35" s="178">
        <v>42</v>
      </c>
      <c r="I35" s="178">
        <v>2715</v>
      </c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14/01/2018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C8" sqref="C8"/>
    </sheetView>
  </sheetViews>
  <sheetFormatPr defaultColWidth="9.140625" defaultRowHeight="15"/>
  <cols>
    <col min="1" max="1" width="8.5703125" style="133" bestFit="1" customWidth="1"/>
    <col min="2" max="2" width="12.7109375" customWidth="1"/>
    <col min="3" max="6" width="10.85546875" customWidth="1"/>
  </cols>
  <sheetData>
    <row r="2" spans="1:59">
      <c r="A2" s="131"/>
      <c r="C2" s="1"/>
      <c r="D2" s="1"/>
      <c r="E2" s="1"/>
      <c r="F2" s="1"/>
    </row>
    <row r="3" spans="1:59">
      <c r="A3" s="132"/>
      <c r="B3" s="12"/>
      <c r="C3" s="12"/>
      <c r="D3" s="12"/>
      <c r="E3" s="12"/>
      <c r="F3" s="12"/>
      <c r="G3" s="13"/>
      <c r="H3" s="13"/>
    </row>
    <row r="4" spans="1:59" ht="22.5" customHeight="1">
      <c r="A4" s="681"/>
      <c r="B4" s="682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83" t="s">
        <v>54</v>
      </c>
      <c r="B5" s="44" t="s">
        <v>55</v>
      </c>
      <c r="C5" s="183">
        <v>2401</v>
      </c>
      <c r="D5" s="183">
        <v>4673</v>
      </c>
      <c r="E5" s="183">
        <v>120</v>
      </c>
      <c r="F5" s="183">
        <v>779</v>
      </c>
      <c r="G5" s="46">
        <f>SUM(C5:F5)</f>
        <v>7973</v>
      </c>
      <c r="H5" s="40">
        <f>G5-G6</f>
        <v>1038</v>
      </c>
    </row>
    <row r="6" spans="1:59" ht="22.5" customHeight="1">
      <c r="A6" s="684"/>
      <c r="B6" s="15" t="s">
        <v>56</v>
      </c>
      <c r="C6" s="184">
        <v>2122</v>
      </c>
      <c r="D6" s="184">
        <v>4105</v>
      </c>
      <c r="E6" s="184">
        <v>81</v>
      </c>
      <c r="F6" s="184">
        <v>627</v>
      </c>
      <c r="G6" s="46">
        <f>SUM(C6:F6)</f>
        <v>6935</v>
      </c>
      <c r="H6" s="18"/>
    </row>
    <row r="7" spans="1:59" ht="22.5" customHeight="1">
      <c r="A7" s="683" t="s">
        <v>157</v>
      </c>
      <c r="B7" s="14" t="s">
        <v>55</v>
      </c>
      <c r="C7" s="183">
        <v>1708</v>
      </c>
      <c r="D7" s="183">
        <v>2607</v>
      </c>
      <c r="E7" s="183">
        <v>116</v>
      </c>
      <c r="F7" s="183">
        <v>787</v>
      </c>
      <c r="G7" s="46">
        <f>SUM(C7:F7)</f>
        <v>5218</v>
      </c>
      <c r="H7" s="111">
        <f>G7-G8</f>
        <v>1018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84"/>
      <c r="B8" s="15" t="s">
        <v>56</v>
      </c>
      <c r="C8" s="184">
        <v>1450</v>
      </c>
      <c r="D8" s="184">
        <v>2030</v>
      </c>
      <c r="E8" s="184">
        <v>79</v>
      </c>
      <c r="F8" s="184">
        <v>641</v>
      </c>
      <c r="G8" s="14">
        <f>SUM(C8:F8)</f>
        <v>4200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3" t="s">
        <v>290</v>
      </c>
      <c r="B9" s="6"/>
      <c r="C9" s="180"/>
      <c r="D9" s="179"/>
      <c r="E9" s="179"/>
      <c r="F9" s="180"/>
      <c r="G9" s="11"/>
      <c r="H9" s="11"/>
    </row>
    <row r="10" spans="1:59">
      <c r="A10" s="132"/>
      <c r="B10" s="6"/>
      <c r="C10" s="180"/>
      <c r="D10" s="179"/>
      <c r="E10" s="179"/>
      <c r="F10" s="180"/>
      <c r="G10" s="11"/>
      <c r="H10" s="11"/>
    </row>
    <row r="11" spans="1:59" ht="24.75" customHeight="1">
      <c r="A11" s="132"/>
      <c r="B11" s="11"/>
      <c r="C11" s="182" t="s">
        <v>59</v>
      </c>
      <c r="D11" s="182" t="s">
        <v>60</v>
      </c>
      <c r="E11" s="182" t="s">
        <v>61</v>
      </c>
      <c r="F11" s="182" t="s">
        <v>62</v>
      </c>
      <c r="G11" s="10" t="s">
        <v>57</v>
      </c>
      <c r="H11" s="11"/>
    </row>
    <row r="12" spans="1:59" ht="24.75" customHeight="1">
      <c r="A12" s="134"/>
      <c r="B12" s="16" t="s">
        <v>58</v>
      </c>
      <c r="C12" s="181">
        <v>3245</v>
      </c>
      <c r="D12" s="181">
        <v>3990</v>
      </c>
      <c r="E12" s="181">
        <v>295</v>
      </c>
      <c r="F12" s="181">
        <v>672</v>
      </c>
      <c r="G12" s="16">
        <f>SUM(C12:F12)</f>
        <v>8202</v>
      </c>
      <c r="H12" s="11"/>
    </row>
    <row r="13" spans="1:59" ht="24.75" customHeight="1">
      <c r="A13" s="141"/>
      <c r="B13" s="45" t="s">
        <v>156</v>
      </c>
      <c r="C13" s="185">
        <v>2241</v>
      </c>
      <c r="D13" s="185">
        <v>3016</v>
      </c>
      <c r="E13" s="185">
        <v>224</v>
      </c>
      <c r="F13" s="185">
        <v>519</v>
      </c>
      <c r="G13" s="16">
        <f>SUM(C13:F13)</f>
        <v>6000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4"/>
      <c r="B14" s="6"/>
      <c r="C14" s="6"/>
      <c r="D14" s="5"/>
      <c r="E14" s="5"/>
      <c r="F14" s="6"/>
      <c r="G14" s="11"/>
      <c r="H14" s="11"/>
    </row>
    <row r="15" spans="1:59">
      <c r="A15" s="141"/>
      <c r="B15" s="2"/>
      <c r="C15" s="3"/>
      <c r="D15" s="4"/>
      <c r="E15" s="4"/>
      <c r="F15" s="3"/>
    </row>
    <row r="16" spans="1:59">
      <c r="A16" s="141"/>
      <c r="B16" s="2"/>
      <c r="C16" s="3"/>
      <c r="D16" s="4"/>
      <c r="E16" s="4"/>
      <c r="F16" s="3"/>
    </row>
    <row r="17" spans="1:12" ht="24.75" customHeight="1">
      <c r="A17" s="134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1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4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1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4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1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1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1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1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4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4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4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4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4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4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4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4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4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4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4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4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4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4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4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4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4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4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4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4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4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4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4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4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4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4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4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4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4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4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4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4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4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4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4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4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4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4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4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4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4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4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4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4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4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4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4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4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4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4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4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4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4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4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4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4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4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4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4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4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4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4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4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4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4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4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4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4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4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4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4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4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4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4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4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4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4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4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4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4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4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4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4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4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4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4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4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4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4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4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4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4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4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4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4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4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4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4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4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4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4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4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4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4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4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4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4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4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4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4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4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4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4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4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4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4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4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4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4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4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4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4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4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4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4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4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4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4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4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4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699" priority="2467" operator="equal">
      <formula>"50HzT"</formula>
    </cfRule>
    <cfRule type="cellIs" dxfId="1698" priority="2468" operator="equal">
      <formula>"TERNA"</formula>
    </cfRule>
    <cfRule type="cellIs" dxfId="1697" priority="2469" operator="equal">
      <formula>"RTE"</formula>
    </cfRule>
    <cfRule type="cellIs" dxfId="1696" priority="2470" operator="equal">
      <formula>"ELIA"</formula>
    </cfRule>
  </conditionalFormatting>
  <conditionalFormatting sqref="B9:B10 C11:C13 B4:B6 B14:B16">
    <cfRule type="cellIs" dxfId="1695" priority="2463" operator="equal">
      <formula>"Transformer"</formula>
    </cfRule>
    <cfRule type="cellIs" dxfId="1694" priority="2464" operator="equal">
      <formula>"Fossil.Gen"</formula>
    </cfRule>
    <cfRule type="cellIs" dxfId="1693" priority="2465" operator="equal">
      <formula>"Hydro.Gen"</formula>
    </cfRule>
    <cfRule type="cellIs" dxfId="1692" priority="2466" operator="equal">
      <formula>"Nuc.Gen"</formula>
    </cfRule>
  </conditionalFormatting>
  <conditionalFormatting sqref="D9:D10 D4:D6 E11:E13 D14:D16">
    <cfRule type="timePeriod" dxfId="1691" priority="2462" timePeriod="tomorrow">
      <formula>FLOOR(D4,1)=TODAY()+1</formula>
    </cfRule>
  </conditionalFormatting>
  <conditionalFormatting sqref="E9:E10 E4:E6 E14:E16 F11:F13">
    <cfRule type="timePeriod" dxfId="1690" priority="2461" timePeriod="tomorrow">
      <formula>FLOOR(E4,1)=TODAY()+1</formula>
    </cfRule>
  </conditionalFormatting>
  <conditionalFormatting sqref="B13">
    <cfRule type="cellIs" dxfId="1689" priority="1937" operator="equal">
      <formula>"50HzT"</formula>
    </cfRule>
    <cfRule type="cellIs" dxfId="1688" priority="1938" operator="equal">
      <formula>"TERNA"</formula>
    </cfRule>
    <cfRule type="cellIs" dxfId="1687" priority="1939" operator="equal">
      <formula>"RTE"</formula>
    </cfRule>
    <cfRule type="cellIs" dxfId="1686" priority="1940" operator="equal">
      <formula>"ELIA"</formula>
    </cfRule>
  </conditionalFormatting>
  <conditionalFormatting sqref="C13">
    <cfRule type="cellIs" dxfId="1685" priority="1933" operator="equal">
      <formula>"Transformer"</formula>
    </cfRule>
    <cfRule type="cellIs" dxfId="1684" priority="1934" operator="equal">
      <formula>"Fossil.Gen"</formula>
    </cfRule>
    <cfRule type="cellIs" dxfId="1683" priority="1935" operator="equal">
      <formula>"Hydro.Gen"</formula>
    </cfRule>
    <cfRule type="cellIs" dxfId="1682" priority="1936" operator="equal">
      <formula>"Nuc.Gen"</formula>
    </cfRule>
  </conditionalFormatting>
  <conditionalFormatting sqref="E13">
    <cfRule type="timePeriod" dxfId="1681" priority="1932" timePeriod="tomorrow">
      <formula>FLOOR(E13,1)=TODAY()+1</formula>
    </cfRule>
  </conditionalFormatting>
  <conditionalFormatting sqref="F13">
    <cfRule type="timePeriod" dxfId="1680" priority="1931" timePeriod="tomorrow">
      <formula>FLOOR(F13,1)=TODAY()+1</formula>
    </cfRule>
  </conditionalFormatting>
  <conditionalFormatting sqref="A7">
    <cfRule type="cellIs" dxfId="1679" priority="1927" operator="equal">
      <formula>"50HzT"</formula>
    </cfRule>
    <cfRule type="cellIs" dxfId="1678" priority="1928" operator="equal">
      <formula>"TERNA"</formula>
    </cfRule>
    <cfRule type="cellIs" dxfId="1677" priority="1929" operator="equal">
      <formula>"RTE"</formula>
    </cfRule>
    <cfRule type="cellIs" dxfId="1676" priority="1930" operator="equal">
      <formula>"ELIA"</formula>
    </cfRule>
  </conditionalFormatting>
  <conditionalFormatting sqref="B7:B8">
    <cfRule type="cellIs" dxfId="1675" priority="1923" operator="equal">
      <formula>"Transformer"</formula>
    </cfRule>
    <cfRule type="cellIs" dxfId="1674" priority="1924" operator="equal">
      <formula>"Fossil.Gen"</formula>
    </cfRule>
    <cfRule type="cellIs" dxfId="1673" priority="1925" operator="equal">
      <formula>"Hydro.Gen"</formula>
    </cfRule>
    <cfRule type="cellIs" dxfId="1672" priority="1926" operator="equal">
      <formula>"Nuc.Gen"</formula>
    </cfRule>
  </conditionalFormatting>
  <conditionalFormatting sqref="D7:D8">
    <cfRule type="timePeriod" dxfId="1671" priority="1922" timePeriod="tomorrow">
      <formula>FLOOR(D7,1)=TODAY()+1</formula>
    </cfRule>
  </conditionalFormatting>
  <conditionalFormatting sqref="E7:E8">
    <cfRule type="timePeriod" dxfId="1670" priority="1921" timePeriod="tomorrow">
      <formula>FLOOR(E7,1)=TODAY()+1</formula>
    </cfRule>
  </conditionalFormatting>
  <conditionalFormatting sqref="A7">
    <cfRule type="cellIs" dxfId="1669" priority="1917" operator="equal">
      <formula>"50HzT"</formula>
    </cfRule>
    <cfRule type="cellIs" dxfId="1668" priority="1918" operator="equal">
      <formula>"TERNA"</formula>
    </cfRule>
    <cfRule type="cellIs" dxfId="1667" priority="1919" operator="equal">
      <formula>"RTE"</formula>
    </cfRule>
    <cfRule type="cellIs" dxfId="1666" priority="1920" operator="equal">
      <formula>"ELIA"</formula>
    </cfRule>
  </conditionalFormatting>
  <conditionalFormatting sqref="B7:B8">
    <cfRule type="cellIs" dxfId="1665" priority="1913" operator="equal">
      <formula>"Transformer"</formula>
    </cfRule>
    <cfRule type="cellIs" dxfId="1664" priority="1914" operator="equal">
      <formula>"Fossil.Gen"</formula>
    </cfRule>
    <cfRule type="cellIs" dxfId="1663" priority="1915" operator="equal">
      <formula>"Hydro.Gen"</formula>
    </cfRule>
    <cfRule type="cellIs" dxfId="1662" priority="1916" operator="equal">
      <formula>"Nuc.Gen"</formula>
    </cfRule>
  </conditionalFormatting>
  <conditionalFormatting sqref="D7:D8">
    <cfRule type="timePeriod" dxfId="1661" priority="1912" timePeriod="tomorrow">
      <formula>FLOOR(D7,1)=TODAY()+1</formula>
    </cfRule>
  </conditionalFormatting>
  <conditionalFormatting sqref="E7:E8">
    <cfRule type="timePeriod" dxfId="1660" priority="1911" timePeriod="tomorrow">
      <formula>FLOOR(E7,1)=TODAY()+1</formula>
    </cfRule>
  </conditionalFormatting>
  <conditionalFormatting sqref="B13">
    <cfRule type="cellIs" dxfId="1659" priority="1907" operator="equal">
      <formula>"50HzT"</formula>
    </cfRule>
    <cfRule type="cellIs" dxfId="1658" priority="1908" operator="equal">
      <formula>"TERNA"</formula>
    </cfRule>
    <cfRule type="cellIs" dxfId="1657" priority="1909" operator="equal">
      <formula>"RTE"</formula>
    </cfRule>
    <cfRule type="cellIs" dxfId="1656" priority="1910" operator="equal">
      <formula>"ELIA"</formula>
    </cfRule>
  </conditionalFormatting>
  <conditionalFormatting sqref="C13">
    <cfRule type="cellIs" dxfId="1655" priority="1903" operator="equal">
      <formula>"Transformer"</formula>
    </cfRule>
    <cfRule type="cellIs" dxfId="1654" priority="1904" operator="equal">
      <formula>"Fossil.Gen"</formula>
    </cfRule>
    <cfRule type="cellIs" dxfId="1653" priority="1905" operator="equal">
      <formula>"Hydro.Gen"</formula>
    </cfRule>
    <cfRule type="cellIs" dxfId="1652" priority="1906" operator="equal">
      <formula>"Nuc.Gen"</formula>
    </cfRule>
  </conditionalFormatting>
  <conditionalFormatting sqref="E13">
    <cfRule type="timePeriod" dxfId="1651" priority="1902" timePeriod="tomorrow">
      <formula>FLOOR(E13,1)=TODAY()+1</formula>
    </cfRule>
  </conditionalFormatting>
  <conditionalFormatting sqref="F13">
    <cfRule type="timePeriod" dxfId="1650" priority="1901" timePeriod="tomorrow">
      <formula>FLOOR(F13,1)=TODAY()+1</formula>
    </cfRule>
  </conditionalFormatting>
  <conditionalFormatting sqref="A7">
    <cfRule type="cellIs" dxfId="1649" priority="1897" operator="equal">
      <formula>"50HzT"</formula>
    </cfRule>
    <cfRule type="cellIs" dxfId="1648" priority="1898" operator="equal">
      <formula>"TERNA"</formula>
    </cfRule>
    <cfRule type="cellIs" dxfId="1647" priority="1899" operator="equal">
      <formula>"RTE"</formula>
    </cfRule>
    <cfRule type="cellIs" dxfId="1646" priority="1900" operator="equal">
      <formula>"ELIA"</formula>
    </cfRule>
  </conditionalFormatting>
  <conditionalFormatting sqref="B7:B8">
    <cfRule type="cellIs" dxfId="1645" priority="1893" operator="equal">
      <formula>"Transformer"</formula>
    </cfRule>
    <cfRule type="cellIs" dxfId="1644" priority="1894" operator="equal">
      <formula>"Fossil.Gen"</formula>
    </cfRule>
    <cfRule type="cellIs" dxfId="1643" priority="1895" operator="equal">
      <formula>"Hydro.Gen"</formula>
    </cfRule>
    <cfRule type="cellIs" dxfId="1642" priority="1896" operator="equal">
      <formula>"Nuc.Gen"</formula>
    </cfRule>
  </conditionalFormatting>
  <conditionalFormatting sqref="D7:D8">
    <cfRule type="timePeriod" dxfId="1641" priority="1892" timePeriod="tomorrow">
      <formula>FLOOR(D7,1)=TODAY()+1</formula>
    </cfRule>
  </conditionalFormatting>
  <conditionalFormatting sqref="E7:E8">
    <cfRule type="timePeriod" dxfId="1640" priority="1891" timePeriod="tomorrow">
      <formula>FLOOR(E7,1)=TODAY()+1</formula>
    </cfRule>
  </conditionalFormatting>
  <conditionalFormatting sqref="B13">
    <cfRule type="cellIs" dxfId="1639" priority="1887" operator="equal">
      <formula>"50HzT"</formula>
    </cfRule>
    <cfRule type="cellIs" dxfId="1638" priority="1888" operator="equal">
      <formula>"TERNA"</formula>
    </cfRule>
    <cfRule type="cellIs" dxfId="1637" priority="1889" operator="equal">
      <formula>"RTE"</formula>
    </cfRule>
    <cfRule type="cellIs" dxfId="1636" priority="1890" operator="equal">
      <formula>"ELIA"</formula>
    </cfRule>
  </conditionalFormatting>
  <conditionalFormatting sqref="C13">
    <cfRule type="cellIs" dxfId="1635" priority="1883" operator="equal">
      <formula>"Transformer"</formula>
    </cfRule>
    <cfRule type="cellIs" dxfId="1634" priority="1884" operator="equal">
      <formula>"Fossil.Gen"</formula>
    </cfRule>
    <cfRule type="cellIs" dxfId="1633" priority="1885" operator="equal">
      <formula>"Hydro.Gen"</formula>
    </cfRule>
    <cfRule type="cellIs" dxfId="1632" priority="1886" operator="equal">
      <formula>"Nuc.Gen"</formula>
    </cfRule>
  </conditionalFormatting>
  <conditionalFormatting sqref="E13">
    <cfRule type="timePeriod" dxfId="1631" priority="1882" timePeriod="tomorrow">
      <formula>FLOOR(E13,1)=TODAY()+1</formula>
    </cfRule>
  </conditionalFormatting>
  <conditionalFormatting sqref="F13">
    <cfRule type="timePeriod" dxfId="1630" priority="1881" timePeriod="tomorrow">
      <formula>FLOOR(F13,1)=TODAY()+1</formula>
    </cfRule>
  </conditionalFormatting>
  <conditionalFormatting sqref="A7">
    <cfRule type="cellIs" dxfId="1629" priority="1877" operator="equal">
      <formula>"50HzT"</formula>
    </cfRule>
    <cfRule type="cellIs" dxfId="1628" priority="1878" operator="equal">
      <formula>"TERNA"</formula>
    </cfRule>
    <cfRule type="cellIs" dxfId="1627" priority="1879" operator="equal">
      <formula>"RTE"</formula>
    </cfRule>
    <cfRule type="cellIs" dxfId="1626" priority="1880" operator="equal">
      <formula>"ELIA"</formula>
    </cfRule>
  </conditionalFormatting>
  <conditionalFormatting sqref="B7:B8">
    <cfRule type="cellIs" dxfId="1625" priority="1873" operator="equal">
      <formula>"Transformer"</formula>
    </cfRule>
    <cfRule type="cellIs" dxfId="1624" priority="1874" operator="equal">
      <formula>"Fossil.Gen"</formula>
    </cfRule>
    <cfRule type="cellIs" dxfId="1623" priority="1875" operator="equal">
      <formula>"Hydro.Gen"</formula>
    </cfRule>
    <cfRule type="cellIs" dxfId="1622" priority="1876" operator="equal">
      <formula>"Nuc.Gen"</formula>
    </cfRule>
  </conditionalFormatting>
  <conditionalFormatting sqref="D7:D8">
    <cfRule type="timePeriod" dxfId="1621" priority="1872" timePeriod="tomorrow">
      <formula>FLOOR(D7,1)=TODAY()+1</formula>
    </cfRule>
  </conditionalFormatting>
  <conditionalFormatting sqref="E7:E8">
    <cfRule type="timePeriod" dxfId="1620" priority="1871" timePeriod="tomorrow">
      <formula>FLOOR(E7,1)=TODAY()+1</formula>
    </cfRule>
  </conditionalFormatting>
  <conditionalFormatting sqref="B13">
    <cfRule type="cellIs" dxfId="1619" priority="1867" operator="equal">
      <formula>"50HzT"</formula>
    </cfRule>
    <cfRule type="cellIs" dxfId="1618" priority="1868" operator="equal">
      <formula>"TERNA"</formula>
    </cfRule>
    <cfRule type="cellIs" dxfId="1617" priority="1869" operator="equal">
      <formula>"RTE"</formula>
    </cfRule>
    <cfRule type="cellIs" dxfId="1616" priority="1870" operator="equal">
      <formula>"ELIA"</formula>
    </cfRule>
  </conditionalFormatting>
  <conditionalFormatting sqref="C13">
    <cfRule type="cellIs" dxfId="1615" priority="1863" operator="equal">
      <formula>"Transformer"</formula>
    </cfRule>
    <cfRule type="cellIs" dxfId="1614" priority="1864" operator="equal">
      <formula>"Fossil.Gen"</formula>
    </cfRule>
    <cfRule type="cellIs" dxfId="1613" priority="1865" operator="equal">
      <formula>"Hydro.Gen"</formula>
    </cfRule>
    <cfRule type="cellIs" dxfId="1612" priority="1866" operator="equal">
      <formula>"Nuc.Gen"</formula>
    </cfRule>
  </conditionalFormatting>
  <conditionalFormatting sqref="E13">
    <cfRule type="timePeriod" dxfId="1611" priority="1862" timePeriod="tomorrow">
      <formula>FLOOR(E13,1)=TODAY()+1</formula>
    </cfRule>
  </conditionalFormatting>
  <conditionalFormatting sqref="F13">
    <cfRule type="timePeriod" dxfId="1610" priority="1861" timePeriod="tomorrow">
      <formula>FLOOR(F13,1)=TODAY()+1</formula>
    </cfRule>
  </conditionalFormatting>
  <conditionalFormatting sqref="A7">
    <cfRule type="cellIs" dxfId="1609" priority="1857" operator="equal">
      <formula>"50HzT"</formula>
    </cfRule>
    <cfRule type="cellIs" dxfId="1608" priority="1858" operator="equal">
      <formula>"TERNA"</formula>
    </cfRule>
    <cfRule type="cellIs" dxfId="1607" priority="1859" operator="equal">
      <formula>"RTE"</formula>
    </cfRule>
    <cfRule type="cellIs" dxfId="1606" priority="1860" operator="equal">
      <formula>"ELIA"</formula>
    </cfRule>
  </conditionalFormatting>
  <conditionalFormatting sqref="B7:B8">
    <cfRule type="cellIs" dxfId="1605" priority="1853" operator="equal">
      <formula>"Transformer"</formula>
    </cfRule>
    <cfRule type="cellIs" dxfId="1604" priority="1854" operator="equal">
      <formula>"Fossil.Gen"</formula>
    </cfRule>
    <cfRule type="cellIs" dxfId="1603" priority="1855" operator="equal">
      <formula>"Hydro.Gen"</formula>
    </cfRule>
    <cfRule type="cellIs" dxfId="1602" priority="1856" operator="equal">
      <formula>"Nuc.Gen"</formula>
    </cfRule>
  </conditionalFormatting>
  <conditionalFormatting sqref="D7:D8">
    <cfRule type="timePeriod" dxfId="1601" priority="1852" timePeriod="tomorrow">
      <formula>FLOOR(D7,1)=TODAY()+1</formula>
    </cfRule>
  </conditionalFormatting>
  <conditionalFormatting sqref="E7:E8">
    <cfRule type="timePeriod" dxfId="1600" priority="1851" timePeriod="tomorrow">
      <formula>FLOOR(E7,1)=TODAY()+1</formula>
    </cfRule>
  </conditionalFormatting>
  <conditionalFormatting sqref="B13">
    <cfRule type="cellIs" dxfId="1599" priority="1847" operator="equal">
      <formula>"50HzT"</formula>
    </cfRule>
    <cfRule type="cellIs" dxfId="1598" priority="1848" operator="equal">
      <formula>"TERNA"</formula>
    </cfRule>
    <cfRule type="cellIs" dxfId="1597" priority="1849" operator="equal">
      <formula>"RTE"</formula>
    </cfRule>
    <cfRule type="cellIs" dxfId="1596" priority="1850" operator="equal">
      <formula>"ELIA"</formula>
    </cfRule>
  </conditionalFormatting>
  <conditionalFormatting sqref="C13">
    <cfRule type="cellIs" dxfId="1595" priority="1843" operator="equal">
      <formula>"Transformer"</formula>
    </cfRule>
    <cfRule type="cellIs" dxfId="1594" priority="1844" operator="equal">
      <formula>"Fossil.Gen"</formula>
    </cfRule>
    <cfRule type="cellIs" dxfId="1593" priority="1845" operator="equal">
      <formula>"Hydro.Gen"</formula>
    </cfRule>
    <cfRule type="cellIs" dxfId="1592" priority="1846" operator="equal">
      <formula>"Nuc.Gen"</formula>
    </cfRule>
  </conditionalFormatting>
  <conditionalFormatting sqref="E13">
    <cfRule type="timePeriod" dxfId="1591" priority="1842" timePeriod="tomorrow">
      <formula>FLOOR(E13,1)=TODAY()+1</formula>
    </cfRule>
  </conditionalFormatting>
  <conditionalFormatting sqref="F13">
    <cfRule type="timePeriod" dxfId="1590" priority="1841" timePeriod="tomorrow">
      <formula>FLOOR(F13,1)=TODAY()+1</formula>
    </cfRule>
  </conditionalFormatting>
  <conditionalFormatting sqref="A7">
    <cfRule type="cellIs" dxfId="1589" priority="1837" operator="equal">
      <formula>"50HzT"</formula>
    </cfRule>
    <cfRule type="cellIs" dxfId="1588" priority="1838" operator="equal">
      <formula>"TERNA"</formula>
    </cfRule>
    <cfRule type="cellIs" dxfId="1587" priority="1839" operator="equal">
      <formula>"RTE"</formula>
    </cfRule>
    <cfRule type="cellIs" dxfId="1586" priority="1840" operator="equal">
      <formula>"ELIA"</formula>
    </cfRule>
  </conditionalFormatting>
  <conditionalFormatting sqref="B7:B8">
    <cfRule type="cellIs" dxfId="1585" priority="1833" operator="equal">
      <formula>"Transformer"</formula>
    </cfRule>
    <cfRule type="cellIs" dxfId="1584" priority="1834" operator="equal">
      <formula>"Fossil.Gen"</formula>
    </cfRule>
    <cfRule type="cellIs" dxfId="1583" priority="1835" operator="equal">
      <formula>"Hydro.Gen"</formula>
    </cfRule>
    <cfRule type="cellIs" dxfId="1582" priority="1836" operator="equal">
      <formula>"Nuc.Gen"</formula>
    </cfRule>
  </conditionalFormatting>
  <conditionalFormatting sqref="D7:D8">
    <cfRule type="timePeriod" dxfId="1581" priority="1832" timePeriod="tomorrow">
      <formula>FLOOR(D7,1)=TODAY()+1</formula>
    </cfRule>
  </conditionalFormatting>
  <conditionalFormatting sqref="E7:E8">
    <cfRule type="timePeriod" dxfId="1580" priority="1831" timePeriod="tomorrow">
      <formula>FLOOR(E7,1)=TODAY()+1</formula>
    </cfRule>
  </conditionalFormatting>
  <conditionalFormatting sqref="B13">
    <cfRule type="cellIs" dxfId="1579" priority="1827" operator="equal">
      <formula>"50HzT"</formula>
    </cfRule>
    <cfRule type="cellIs" dxfId="1578" priority="1828" operator="equal">
      <formula>"TERNA"</formula>
    </cfRule>
    <cfRule type="cellIs" dxfId="1577" priority="1829" operator="equal">
      <formula>"RTE"</formula>
    </cfRule>
    <cfRule type="cellIs" dxfId="1576" priority="1830" operator="equal">
      <formula>"ELIA"</formula>
    </cfRule>
  </conditionalFormatting>
  <conditionalFormatting sqref="C13">
    <cfRule type="cellIs" dxfId="1575" priority="1823" operator="equal">
      <formula>"Transformer"</formula>
    </cfRule>
    <cfRule type="cellIs" dxfId="1574" priority="1824" operator="equal">
      <formula>"Fossil.Gen"</formula>
    </cfRule>
    <cfRule type="cellIs" dxfId="1573" priority="1825" operator="equal">
      <formula>"Hydro.Gen"</formula>
    </cfRule>
    <cfRule type="cellIs" dxfId="1572" priority="1826" operator="equal">
      <formula>"Nuc.Gen"</formula>
    </cfRule>
  </conditionalFormatting>
  <conditionalFormatting sqref="E13">
    <cfRule type="timePeriod" dxfId="1571" priority="1822" timePeriod="tomorrow">
      <formula>FLOOR(E13,1)=TODAY()+1</formula>
    </cfRule>
  </conditionalFormatting>
  <conditionalFormatting sqref="F13">
    <cfRule type="timePeriod" dxfId="1570" priority="1821" timePeriod="tomorrow">
      <formula>FLOOR(F13,1)=TODAY()+1</formula>
    </cfRule>
  </conditionalFormatting>
  <conditionalFormatting sqref="A7">
    <cfRule type="cellIs" dxfId="1569" priority="1817" operator="equal">
      <formula>"50HzT"</formula>
    </cfRule>
    <cfRule type="cellIs" dxfId="1568" priority="1818" operator="equal">
      <formula>"TERNA"</formula>
    </cfRule>
    <cfRule type="cellIs" dxfId="1567" priority="1819" operator="equal">
      <formula>"RTE"</formula>
    </cfRule>
    <cfRule type="cellIs" dxfId="1566" priority="1820" operator="equal">
      <formula>"ELIA"</formula>
    </cfRule>
  </conditionalFormatting>
  <conditionalFormatting sqref="B7:B8">
    <cfRule type="cellIs" dxfId="1565" priority="1813" operator="equal">
      <formula>"Transformer"</formula>
    </cfRule>
    <cfRule type="cellIs" dxfId="1564" priority="1814" operator="equal">
      <formula>"Fossil.Gen"</formula>
    </cfRule>
    <cfRule type="cellIs" dxfId="1563" priority="1815" operator="equal">
      <formula>"Hydro.Gen"</formula>
    </cfRule>
    <cfRule type="cellIs" dxfId="1562" priority="1816" operator="equal">
      <formula>"Nuc.Gen"</formula>
    </cfRule>
  </conditionalFormatting>
  <conditionalFormatting sqref="D7:D8">
    <cfRule type="timePeriod" dxfId="1561" priority="1812" timePeriod="tomorrow">
      <formula>FLOOR(D7,1)=TODAY()+1</formula>
    </cfRule>
  </conditionalFormatting>
  <conditionalFormatting sqref="E7:E8">
    <cfRule type="timePeriod" dxfId="1560" priority="1811" timePeriod="tomorrow">
      <formula>FLOOR(E7,1)=TODAY()+1</formula>
    </cfRule>
  </conditionalFormatting>
  <conditionalFormatting sqref="B13">
    <cfRule type="cellIs" dxfId="1559" priority="1807" operator="equal">
      <formula>"50HzT"</formula>
    </cfRule>
    <cfRule type="cellIs" dxfId="1558" priority="1808" operator="equal">
      <formula>"TERNA"</formula>
    </cfRule>
    <cfRule type="cellIs" dxfId="1557" priority="1809" operator="equal">
      <formula>"RTE"</formula>
    </cfRule>
    <cfRule type="cellIs" dxfId="1556" priority="1810" operator="equal">
      <formula>"ELIA"</formula>
    </cfRule>
  </conditionalFormatting>
  <conditionalFormatting sqref="C13">
    <cfRule type="cellIs" dxfId="1555" priority="1803" operator="equal">
      <formula>"Transformer"</formula>
    </cfRule>
    <cfRule type="cellIs" dxfId="1554" priority="1804" operator="equal">
      <formula>"Fossil.Gen"</formula>
    </cfRule>
    <cfRule type="cellIs" dxfId="1553" priority="1805" operator="equal">
      <formula>"Hydro.Gen"</formula>
    </cfRule>
    <cfRule type="cellIs" dxfId="1552" priority="1806" operator="equal">
      <formula>"Nuc.Gen"</formula>
    </cfRule>
  </conditionalFormatting>
  <conditionalFormatting sqref="E13">
    <cfRule type="timePeriod" dxfId="1551" priority="1802" timePeriod="tomorrow">
      <formula>FLOOR(E13,1)=TODAY()+1</formula>
    </cfRule>
  </conditionalFormatting>
  <conditionalFormatting sqref="F13">
    <cfRule type="timePeriod" dxfId="1550" priority="1801" timePeriod="tomorrow">
      <formula>FLOOR(F13,1)=TODAY()+1</formula>
    </cfRule>
  </conditionalFormatting>
  <conditionalFormatting sqref="A7">
    <cfRule type="cellIs" dxfId="1549" priority="1797" operator="equal">
      <formula>"50HzT"</formula>
    </cfRule>
    <cfRule type="cellIs" dxfId="1548" priority="1798" operator="equal">
      <formula>"TERNA"</formula>
    </cfRule>
    <cfRule type="cellIs" dxfId="1547" priority="1799" operator="equal">
      <formula>"RTE"</formula>
    </cfRule>
    <cfRule type="cellIs" dxfId="1546" priority="1800" operator="equal">
      <formula>"ELIA"</formula>
    </cfRule>
  </conditionalFormatting>
  <conditionalFormatting sqref="B7:B8">
    <cfRule type="cellIs" dxfId="1545" priority="1793" operator="equal">
      <formula>"Transformer"</formula>
    </cfRule>
    <cfRule type="cellIs" dxfId="1544" priority="1794" operator="equal">
      <formula>"Fossil.Gen"</formula>
    </cfRule>
    <cfRule type="cellIs" dxfId="1543" priority="1795" operator="equal">
      <formula>"Hydro.Gen"</formula>
    </cfRule>
    <cfRule type="cellIs" dxfId="1542" priority="1796" operator="equal">
      <formula>"Nuc.Gen"</formula>
    </cfRule>
  </conditionalFormatting>
  <conditionalFormatting sqref="D7:D8">
    <cfRule type="timePeriod" dxfId="1541" priority="1792" timePeriod="tomorrow">
      <formula>FLOOR(D7,1)=TODAY()+1</formula>
    </cfRule>
  </conditionalFormatting>
  <conditionalFormatting sqref="E7:E8">
    <cfRule type="timePeriod" dxfId="1540" priority="1791" timePeriod="tomorrow">
      <formula>FLOOR(E7,1)=TODAY()+1</formula>
    </cfRule>
  </conditionalFormatting>
  <conditionalFormatting sqref="B13">
    <cfRule type="cellIs" dxfId="1539" priority="1787" operator="equal">
      <formula>"50HzT"</formula>
    </cfRule>
    <cfRule type="cellIs" dxfId="1538" priority="1788" operator="equal">
      <formula>"TERNA"</formula>
    </cfRule>
    <cfRule type="cellIs" dxfId="1537" priority="1789" operator="equal">
      <formula>"RTE"</formula>
    </cfRule>
    <cfRule type="cellIs" dxfId="1536" priority="1790" operator="equal">
      <formula>"ELIA"</formula>
    </cfRule>
  </conditionalFormatting>
  <conditionalFormatting sqref="C13">
    <cfRule type="cellIs" dxfId="1535" priority="1783" operator="equal">
      <formula>"Transformer"</formula>
    </cfRule>
    <cfRule type="cellIs" dxfId="1534" priority="1784" operator="equal">
      <formula>"Fossil.Gen"</formula>
    </cfRule>
    <cfRule type="cellIs" dxfId="1533" priority="1785" operator="equal">
      <formula>"Hydro.Gen"</formula>
    </cfRule>
    <cfRule type="cellIs" dxfId="1532" priority="1786" operator="equal">
      <formula>"Nuc.Gen"</formula>
    </cfRule>
  </conditionalFormatting>
  <conditionalFormatting sqref="E13">
    <cfRule type="timePeriod" dxfId="1531" priority="1782" timePeriod="tomorrow">
      <formula>FLOOR(E13,1)=TODAY()+1</formula>
    </cfRule>
  </conditionalFormatting>
  <conditionalFormatting sqref="F13">
    <cfRule type="timePeriod" dxfId="1530" priority="1781" timePeriod="tomorrow">
      <formula>FLOOR(F13,1)=TODAY()+1</formula>
    </cfRule>
  </conditionalFormatting>
  <conditionalFormatting sqref="A7">
    <cfRule type="cellIs" dxfId="1529" priority="1777" operator="equal">
      <formula>"50HzT"</formula>
    </cfRule>
    <cfRule type="cellIs" dxfId="1528" priority="1778" operator="equal">
      <formula>"TERNA"</formula>
    </cfRule>
    <cfRule type="cellIs" dxfId="1527" priority="1779" operator="equal">
      <formula>"RTE"</formula>
    </cfRule>
    <cfRule type="cellIs" dxfId="1526" priority="1780" operator="equal">
      <formula>"ELIA"</formula>
    </cfRule>
  </conditionalFormatting>
  <conditionalFormatting sqref="B7:B8">
    <cfRule type="cellIs" dxfId="1525" priority="1773" operator="equal">
      <formula>"Transformer"</formula>
    </cfRule>
    <cfRule type="cellIs" dxfId="1524" priority="1774" operator="equal">
      <formula>"Fossil.Gen"</formula>
    </cfRule>
    <cfRule type="cellIs" dxfId="1523" priority="1775" operator="equal">
      <formula>"Hydro.Gen"</formula>
    </cfRule>
    <cfRule type="cellIs" dxfId="1522" priority="1776" operator="equal">
      <formula>"Nuc.Gen"</formula>
    </cfRule>
  </conditionalFormatting>
  <conditionalFormatting sqref="D7:D8">
    <cfRule type="timePeriod" dxfId="1521" priority="1772" timePeriod="tomorrow">
      <formula>FLOOR(D7,1)=TODAY()+1</formula>
    </cfRule>
  </conditionalFormatting>
  <conditionalFormatting sqref="E7:E8">
    <cfRule type="timePeriod" dxfId="1520" priority="1771" timePeriod="tomorrow">
      <formula>FLOOR(E7,1)=TODAY()+1</formula>
    </cfRule>
  </conditionalFormatting>
  <conditionalFormatting sqref="B13">
    <cfRule type="cellIs" dxfId="1519" priority="1767" operator="equal">
      <formula>"50HzT"</formula>
    </cfRule>
    <cfRule type="cellIs" dxfId="1518" priority="1768" operator="equal">
      <formula>"TERNA"</formula>
    </cfRule>
    <cfRule type="cellIs" dxfId="1517" priority="1769" operator="equal">
      <formula>"RTE"</formula>
    </cfRule>
    <cfRule type="cellIs" dxfId="1516" priority="1770" operator="equal">
      <formula>"ELIA"</formula>
    </cfRule>
  </conditionalFormatting>
  <conditionalFormatting sqref="C13">
    <cfRule type="cellIs" dxfId="1515" priority="1763" operator="equal">
      <formula>"Transformer"</formula>
    </cfRule>
    <cfRule type="cellIs" dxfId="1514" priority="1764" operator="equal">
      <formula>"Fossil.Gen"</formula>
    </cfRule>
    <cfRule type="cellIs" dxfId="1513" priority="1765" operator="equal">
      <formula>"Hydro.Gen"</formula>
    </cfRule>
    <cfRule type="cellIs" dxfId="1512" priority="1766" operator="equal">
      <formula>"Nuc.Gen"</formula>
    </cfRule>
  </conditionalFormatting>
  <conditionalFormatting sqref="E13">
    <cfRule type="timePeriod" dxfId="1511" priority="1762" timePeriod="tomorrow">
      <formula>FLOOR(E13,1)=TODAY()+1</formula>
    </cfRule>
  </conditionalFormatting>
  <conditionalFormatting sqref="F13">
    <cfRule type="timePeriod" dxfId="1510" priority="1761" timePeriod="tomorrow">
      <formula>FLOOR(F13,1)=TODAY()+1</formula>
    </cfRule>
  </conditionalFormatting>
  <conditionalFormatting sqref="A7">
    <cfRule type="cellIs" dxfId="1509" priority="1757" operator="equal">
      <formula>"50HzT"</formula>
    </cfRule>
    <cfRule type="cellIs" dxfId="1508" priority="1758" operator="equal">
      <formula>"TERNA"</formula>
    </cfRule>
    <cfRule type="cellIs" dxfId="1507" priority="1759" operator="equal">
      <formula>"RTE"</formula>
    </cfRule>
    <cfRule type="cellIs" dxfId="1506" priority="1760" operator="equal">
      <formula>"ELIA"</formula>
    </cfRule>
  </conditionalFormatting>
  <conditionalFormatting sqref="B7:B8">
    <cfRule type="cellIs" dxfId="1505" priority="1753" operator="equal">
      <formula>"Transformer"</formula>
    </cfRule>
    <cfRule type="cellIs" dxfId="1504" priority="1754" operator="equal">
      <formula>"Fossil.Gen"</formula>
    </cfRule>
    <cfRule type="cellIs" dxfId="1503" priority="1755" operator="equal">
      <formula>"Hydro.Gen"</formula>
    </cfRule>
    <cfRule type="cellIs" dxfId="1502" priority="1756" operator="equal">
      <formula>"Nuc.Gen"</formula>
    </cfRule>
  </conditionalFormatting>
  <conditionalFormatting sqref="D7:D8">
    <cfRule type="timePeriod" dxfId="1501" priority="1752" timePeriod="tomorrow">
      <formula>FLOOR(D7,1)=TODAY()+1</formula>
    </cfRule>
  </conditionalFormatting>
  <conditionalFormatting sqref="E7:E8">
    <cfRule type="timePeriod" dxfId="1500" priority="1751" timePeriod="tomorrow">
      <formula>FLOOR(E7,1)=TODAY()+1</formula>
    </cfRule>
  </conditionalFormatting>
  <conditionalFormatting sqref="B13">
    <cfRule type="cellIs" dxfId="1499" priority="1747" operator="equal">
      <formula>"50HzT"</formula>
    </cfRule>
    <cfRule type="cellIs" dxfId="1498" priority="1748" operator="equal">
      <formula>"TERNA"</formula>
    </cfRule>
    <cfRule type="cellIs" dxfId="1497" priority="1749" operator="equal">
      <formula>"RTE"</formula>
    </cfRule>
    <cfRule type="cellIs" dxfId="1496" priority="1750" operator="equal">
      <formula>"ELIA"</formula>
    </cfRule>
  </conditionalFormatting>
  <conditionalFormatting sqref="C13">
    <cfRule type="cellIs" dxfId="1495" priority="1743" operator="equal">
      <formula>"Transformer"</formula>
    </cfRule>
    <cfRule type="cellIs" dxfId="1494" priority="1744" operator="equal">
      <formula>"Fossil.Gen"</formula>
    </cfRule>
    <cfRule type="cellIs" dxfId="1493" priority="1745" operator="equal">
      <formula>"Hydro.Gen"</formula>
    </cfRule>
    <cfRule type="cellIs" dxfId="1492" priority="1746" operator="equal">
      <formula>"Nuc.Gen"</formula>
    </cfRule>
  </conditionalFormatting>
  <conditionalFormatting sqref="E13">
    <cfRule type="timePeriod" dxfId="1491" priority="1742" timePeriod="tomorrow">
      <formula>FLOOR(E13,1)=TODAY()+1</formula>
    </cfRule>
  </conditionalFormatting>
  <conditionalFormatting sqref="F13">
    <cfRule type="timePeriod" dxfId="1490" priority="1741" timePeriod="tomorrow">
      <formula>FLOOR(F13,1)=TODAY()+1</formula>
    </cfRule>
  </conditionalFormatting>
  <conditionalFormatting sqref="A7">
    <cfRule type="cellIs" dxfId="1489" priority="1737" operator="equal">
      <formula>"50HzT"</formula>
    </cfRule>
    <cfRule type="cellIs" dxfId="1488" priority="1738" operator="equal">
      <formula>"TERNA"</formula>
    </cfRule>
    <cfRule type="cellIs" dxfId="1487" priority="1739" operator="equal">
      <formula>"RTE"</formula>
    </cfRule>
    <cfRule type="cellIs" dxfId="1486" priority="1740" operator="equal">
      <formula>"ELIA"</formula>
    </cfRule>
  </conditionalFormatting>
  <conditionalFormatting sqref="B7:B8">
    <cfRule type="cellIs" dxfId="1485" priority="1733" operator="equal">
      <formula>"Transformer"</formula>
    </cfRule>
    <cfRule type="cellIs" dxfId="1484" priority="1734" operator="equal">
      <formula>"Fossil.Gen"</formula>
    </cfRule>
    <cfRule type="cellIs" dxfId="1483" priority="1735" operator="equal">
      <formula>"Hydro.Gen"</formula>
    </cfRule>
    <cfRule type="cellIs" dxfId="1482" priority="1736" operator="equal">
      <formula>"Nuc.Gen"</formula>
    </cfRule>
  </conditionalFormatting>
  <conditionalFormatting sqref="D7:D8">
    <cfRule type="timePeriod" dxfId="1481" priority="1732" timePeriod="tomorrow">
      <formula>FLOOR(D7,1)=TODAY()+1</formula>
    </cfRule>
  </conditionalFormatting>
  <conditionalFormatting sqref="E7:E8">
    <cfRule type="timePeriod" dxfId="1480" priority="1731" timePeriod="tomorrow">
      <formula>FLOOR(E7,1)=TODAY()+1</formula>
    </cfRule>
  </conditionalFormatting>
  <conditionalFormatting sqref="B13">
    <cfRule type="cellIs" dxfId="1479" priority="1727" operator="equal">
      <formula>"50HzT"</formula>
    </cfRule>
    <cfRule type="cellIs" dxfId="1478" priority="1728" operator="equal">
      <formula>"TERNA"</formula>
    </cfRule>
    <cfRule type="cellIs" dxfId="1477" priority="1729" operator="equal">
      <formula>"RTE"</formula>
    </cfRule>
    <cfRule type="cellIs" dxfId="1476" priority="1730" operator="equal">
      <formula>"ELIA"</formula>
    </cfRule>
  </conditionalFormatting>
  <conditionalFormatting sqref="C13">
    <cfRule type="cellIs" dxfId="1475" priority="1723" operator="equal">
      <formula>"Transformer"</formula>
    </cfRule>
    <cfRule type="cellIs" dxfId="1474" priority="1724" operator="equal">
      <formula>"Fossil.Gen"</formula>
    </cfRule>
    <cfRule type="cellIs" dxfId="1473" priority="1725" operator="equal">
      <formula>"Hydro.Gen"</formula>
    </cfRule>
    <cfRule type="cellIs" dxfId="1472" priority="1726" operator="equal">
      <formula>"Nuc.Gen"</formula>
    </cfRule>
  </conditionalFormatting>
  <conditionalFormatting sqref="E13">
    <cfRule type="timePeriod" dxfId="1471" priority="1722" timePeriod="tomorrow">
      <formula>FLOOR(E13,1)=TODAY()+1</formula>
    </cfRule>
  </conditionalFormatting>
  <conditionalFormatting sqref="F13">
    <cfRule type="timePeriod" dxfId="1470" priority="1721" timePeriod="tomorrow">
      <formula>FLOOR(F13,1)=TODAY()+1</formula>
    </cfRule>
  </conditionalFormatting>
  <conditionalFormatting sqref="A7">
    <cfRule type="cellIs" dxfId="1469" priority="1717" operator="equal">
      <formula>"50HzT"</formula>
    </cfRule>
    <cfRule type="cellIs" dxfId="1468" priority="1718" operator="equal">
      <formula>"TERNA"</formula>
    </cfRule>
    <cfRule type="cellIs" dxfId="1467" priority="1719" operator="equal">
      <formula>"RTE"</formula>
    </cfRule>
    <cfRule type="cellIs" dxfId="1466" priority="1720" operator="equal">
      <formula>"ELIA"</formula>
    </cfRule>
  </conditionalFormatting>
  <conditionalFormatting sqref="B7:B8">
    <cfRule type="cellIs" dxfId="1465" priority="1713" operator="equal">
      <formula>"Transformer"</formula>
    </cfRule>
    <cfRule type="cellIs" dxfId="1464" priority="1714" operator="equal">
      <formula>"Fossil.Gen"</formula>
    </cfRule>
    <cfRule type="cellIs" dxfId="1463" priority="1715" operator="equal">
      <formula>"Hydro.Gen"</formula>
    </cfRule>
    <cfRule type="cellIs" dxfId="1462" priority="1716" operator="equal">
      <formula>"Nuc.Gen"</formula>
    </cfRule>
  </conditionalFormatting>
  <conditionalFormatting sqref="D7:D8">
    <cfRule type="timePeriod" dxfId="1461" priority="1712" timePeriod="tomorrow">
      <formula>FLOOR(D7,1)=TODAY()+1</formula>
    </cfRule>
  </conditionalFormatting>
  <conditionalFormatting sqref="E7:E8">
    <cfRule type="timePeriod" dxfId="1460" priority="1711" timePeriod="tomorrow">
      <formula>FLOOR(E7,1)=TODAY()+1</formula>
    </cfRule>
  </conditionalFormatting>
  <conditionalFormatting sqref="B13">
    <cfRule type="cellIs" dxfId="1459" priority="1707" operator="equal">
      <formula>"50HzT"</formula>
    </cfRule>
    <cfRule type="cellIs" dxfId="1458" priority="1708" operator="equal">
      <formula>"TERNA"</formula>
    </cfRule>
    <cfRule type="cellIs" dxfId="1457" priority="1709" operator="equal">
      <formula>"RTE"</formula>
    </cfRule>
    <cfRule type="cellIs" dxfId="1456" priority="1710" operator="equal">
      <formula>"ELIA"</formula>
    </cfRule>
  </conditionalFormatting>
  <conditionalFormatting sqref="C13">
    <cfRule type="cellIs" dxfId="1455" priority="1703" operator="equal">
      <formula>"Transformer"</formula>
    </cfRule>
    <cfRule type="cellIs" dxfId="1454" priority="1704" operator="equal">
      <formula>"Fossil.Gen"</formula>
    </cfRule>
    <cfRule type="cellIs" dxfId="1453" priority="1705" operator="equal">
      <formula>"Hydro.Gen"</formula>
    </cfRule>
    <cfRule type="cellIs" dxfId="1452" priority="1706" operator="equal">
      <formula>"Nuc.Gen"</formula>
    </cfRule>
  </conditionalFormatting>
  <conditionalFormatting sqref="E13">
    <cfRule type="timePeriod" dxfId="1451" priority="1702" timePeriod="tomorrow">
      <formula>FLOOR(E13,1)=TODAY()+1</formula>
    </cfRule>
  </conditionalFormatting>
  <conditionalFormatting sqref="F13">
    <cfRule type="timePeriod" dxfId="1450" priority="1701" timePeriod="tomorrow">
      <formula>FLOOR(F13,1)=TODAY()+1</formula>
    </cfRule>
  </conditionalFormatting>
  <conditionalFormatting sqref="A7">
    <cfRule type="cellIs" dxfId="1449" priority="1697" operator="equal">
      <formula>"50HzT"</formula>
    </cfRule>
    <cfRule type="cellIs" dxfId="1448" priority="1698" operator="equal">
      <formula>"TERNA"</formula>
    </cfRule>
    <cfRule type="cellIs" dxfId="1447" priority="1699" operator="equal">
      <formula>"RTE"</formula>
    </cfRule>
    <cfRule type="cellIs" dxfId="1446" priority="1700" operator="equal">
      <formula>"ELIA"</formula>
    </cfRule>
  </conditionalFormatting>
  <conditionalFormatting sqref="B7:B8">
    <cfRule type="cellIs" dxfId="1445" priority="1693" operator="equal">
      <formula>"Transformer"</formula>
    </cfRule>
    <cfRule type="cellIs" dxfId="1444" priority="1694" operator="equal">
      <formula>"Fossil.Gen"</formula>
    </cfRule>
    <cfRule type="cellIs" dxfId="1443" priority="1695" operator="equal">
      <formula>"Hydro.Gen"</formula>
    </cfRule>
    <cfRule type="cellIs" dxfId="1442" priority="1696" operator="equal">
      <formula>"Nuc.Gen"</formula>
    </cfRule>
  </conditionalFormatting>
  <conditionalFormatting sqref="D7:D8">
    <cfRule type="timePeriod" dxfId="1441" priority="1692" timePeriod="tomorrow">
      <formula>FLOOR(D7,1)=TODAY()+1</formula>
    </cfRule>
  </conditionalFormatting>
  <conditionalFormatting sqref="E7:E8">
    <cfRule type="timePeriod" dxfId="1440" priority="1691" timePeriod="tomorrow">
      <formula>FLOOR(E7,1)=TODAY()+1</formula>
    </cfRule>
  </conditionalFormatting>
  <conditionalFormatting sqref="B13">
    <cfRule type="cellIs" dxfId="1439" priority="1687" operator="equal">
      <formula>"50HzT"</formula>
    </cfRule>
    <cfRule type="cellIs" dxfId="1438" priority="1688" operator="equal">
      <formula>"TERNA"</formula>
    </cfRule>
    <cfRule type="cellIs" dxfId="1437" priority="1689" operator="equal">
      <formula>"RTE"</formula>
    </cfRule>
    <cfRule type="cellIs" dxfId="1436" priority="1690" operator="equal">
      <formula>"ELIA"</formula>
    </cfRule>
  </conditionalFormatting>
  <conditionalFormatting sqref="C13">
    <cfRule type="cellIs" dxfId="1435" priority="1683" operator="equal">
      <formula>"Transformer"</formula>
    </cfRule>
    <cfRule type="cellIs" dxfId="1434" priority="1684" operator="equal">
      <formula>"Fossil.Gen"</formula>
    </cfRule>
    <cfRule type="cellIs" dxfId="1433" priority="1685" operator="equal">
      <formula>"Hydro.Gen"</formula>
    </cfRule>
    <cfRule type="cellIs" dxfId="1432" priority="1686" operator="equal">
      <formula>"Nuc.Gen"</formula>
    </cfRule>
  </conditionalFormatting>
  <conditionalFormatting sqref="E13">
    <cfRule type="timePeriod" dxfId="1431" priority="1682" timePeriod="tomorrow">
      <formula>FLOOR(E13,1)=TODAY()+1</formula>
    </cfRule>
  </conditionalFormatting>
  <conditionalFormatting sqref="F13">
    <cfRule type="timePeriod" dxfId="1430" priority="1681" timePeriod="tomorrow">
      <formula>FLOOR(F13,1)=TODAY()+1</formula>
    </cfRule>
  </conditionalFormatting>
  <conditionalFormatting sqref="A7">
    <cfRule type="cellIs" dxfId="1429" priority="1677" operator="equal">
      <formula>"50HzT"</formula>
    </cfRule>
    <cfRule type="cellIs" dxfId="1428" priority="1678" operator="equal">
      <formula>"TERNA"</formula>
    </cfRule>
    <cfRule type="cellIs" dxfId="1427" priority="1679" operator="equal">
      <formula>"RTE"</formula>
    </cfRule>
    <cfRule type="cellIs" dxfId="1426" priority="1680" operator="equal">
      <formula>"ELIA"</formula>
    </cfRule>
  </conditionalFormatting>
  <conditionalFormatting sqref="B7:B8">
    <cfRule type="cellIs" dxfId="1425" priority="1673" operator="equal">
      <formula>"Transformer"</formula>
    </cfRule>
    <cfRule type="cellIs" dxfId="1424" priority="1674" operator="equal">
      <formula>"Fossil.Gen"</formula>
    </cfRule>
    <cfRule type="cellIs" dxfId="1423" priority="1675" operator="equal">
      <formula>"Hydro.Gen"</formula>
    </cfRule>
    <cfRule type="cellIs" dxfId="1422" priority="1676" operator="equal">
      <formula>"Nuc.Gen"</formula>
    </cfRule>
  </conditionalFormatting>
  <conditionalFormatting sqref="D7:D8">
    <cfRule type="timePeriod" dxfId="1421" priority="1672" timePeriod="tomorrow">
      <formula>FLOOR(D7,1)=TODAY()+1</formula>
    </cfRule>
  </conditionalFormatting>
  <conditionalFormatting sqref="E7:E8">
    <cfRule type="timePeriod" dxfId="1420" priority="1671" timePeriod="tomorrow">
      <formula>FLOOR(E7,1)=TODAY()+1</formula>
    </cfRule>
  </conditionalFormatting>
  <conditionalFormatting sqref="B13">
    <cfRule type="cellIs" dxfId="1419" priority="1667" operator="equal">
      <formula>"50HzT"</formula>
    </cfRule>
    <cfRule type="cellIs" dxfId="1418" priority="1668" operator="equal">
      <formula>"TERNA"</formula>
    </cfRule>
    <cfRule type="cellIs" dxfId="1417" priority="1669" operator="equal">
      <formula>"RTE"</formula>
    </cfRule>
    <cfRule type="cellIs" dxfId="1416" priority="1670" operator="equal">
      <formula>"ELIA"</formula>
    </cfRule>
  </conditionalFormatting>
  <conditionalFormatting sqref="C13">
    <cfRule type="cellIs" dxfId="1415" priority="1663" operator="equal">
      <formula>"Transformer"</formula>
    </cfRule>
    <cfRule type="cellIs" dxfId="1414" priority="1664" operator="equal">
      <formula>"Fossil.Gen"</formula>
    </cfRule>
    <cfRule type="cellIs" dxfId="1413" priority="1665" operator="equal">
      <formula>"Hydro.Gen"</formula>
    </cfRule>
    <cfRule type="cellIs" dxfId="1412" priority="1666" operator="equal">
      <formula>"Nuc.Gen"</formula>
    </cfRule>
  </conditionalFormatting>
  <conditionalFormatting sqref="E13">
    <cfRule type="timePeriod" dxfId="1411" priority="1662" timePeriod="tomorrow">
      <formula>FLOOR(E13,1)=TODAY()+1</formula>
    </cfRule>
  </conditionalFormatting>
  <conditionalFormatting sqref="F13">
    <cfRule type="timePeriod" dxfId="1410" priority="1661" timePeriod="tomorrow">
      <formula>FLOOR(F13,1)=TODAY()+1</formula>
    </cfRule>
  </conditionalFormatting>
  <conditionalFormatting sqref="A7">
    <cfRule type="cellIs" dxfId="1409" priority="1657" operator="equal">
      <formula>"50HzT"</formula>
    </cfRule>
    <cfRule type="cellIs" dxfId="1408" priority="1658" operator="equal">
      <formula>"TERNA"</formula>
    </cfRule>
    <cfRule type="cellIs" dxfId="1407" priority="1659" operator="equal">
      <formula>"RTE"</formula>
    </cfRule>
    <cfRule type="cellIs" dxfId="1406" priority="1660" operator="equal">
      <formula>"ELIA"</formula>
    </cfRule>
  </conditionalFormatting>
  <conditionalFormatting sqref="B7:B8">
    <cfRule type="cellIs" dxfId="1405" priority="1653" operator="equal">
      <formula>"Transformer"</formula>
    </cfRule>
    <cfRule type="cellIs" dxfId="1404" priority="1654" operator="equal">
      <formula>"Fossil.Gen"</formula>
    </cfRule>
    <cfRule type="cellIs" dxfId="1403" priority="1655" operator="equal">
      <formula>"Hydro.Gen"</formula>
    </cfRule>
    <cfRule type="cellIs" dxfId="1402" priority="1656" operator="equal">
      <formula>"Nuc.Gen"</formula>
    </cfRule>
  </conditionalFormatting>
  <conditionalFormatting sqref="D7:D8">
    <cfRule type="timePeriod" dxfId="1401" priority="1652" timePeriod="tomorrow">
      <formula>FLOOR(D7,1)=TODAY()+1</formula>
    </cfRule>
  </conditionalFormatting>
  <conditionalFormatting sqref="E7:E8">
    <cfRule type="timePeriod" dxfId="1400" priority="1651" timePeriod="tomorrow">
      <formula>FLOOR(E7,1)=TODAY()+1</formula>
    </cfRule>
  </conditionalFormatting>
  <conditionalFormatting sqref="B13">
    <cfRule type="cellIs" dxfId="1399" priority="1647" operator="equal">
      <formula>"50HzT"</formula>
    </cfRule>
    <cfRule type="cellIs" dxfId="1398" priority="1648" operator="equal">
      <formula>"TERNA"</formula>
    </cfRule>
    <cfRule type="cellIs" dxfId="1397" priority="1649" operator="equal">
      <formula>"RTE"</formula>
    </cfRule>
    <cfRule type="cellIs" dxfId="1396" priority="1650" operator="equal">
      <formula>"ELIA"</formula>
    </cfRule>
  </conditionalFormatting>
  <conditionalFormatting sqref="C13">
    <cfRule type="cellIs" dxfId="1395" priority="1643" operator="equal">
      <formula>"Transformer"</formula>
    </cfRule>
    <cfRule type="cellIs" dxfId="1394" priority="1644" operator="equal">
      <formula>"Fossil.Gen"</formula>
    </cfRule>
    <cfRule type="cellIs" dxfId="1393" priority="1645" operator="equal">
      <formula>"Hydro.Gen"</formula>
    </cfRule>
    <cfRule type="cellIs" dxfId="1392" priority="1646" operator="equal">
      <formula>"Nuc.Gen"</formula>
    </cfRule>
  </conditionalFormatting>
  <conditionalFormatting sqref="E13">
    <cfRule type="timePeriod" dxfId="1391" priority="1642" timePeriod="tomorrow">
      <formula>FLOOR(E13,1)=TODAY()+1</formula>
    </cfRule>
  </conditionalFormatting>
  <conditionalFormatting sqref="F13">
    <cfRule type="timePeriod" dxfId="1390" priority="1641" timePeriod="tomorrow">
      <formula>FLOOR(F13,1)=TODAY()+1</formula>
    </cfRule>
  </conditionalFormatting>
  <conditionalFormatting sqref="A7">
    <cfRule type="cellIs" dxfId="1389" priority="1637" operator="equal">
      <formula>"50HzT"</formula>
    </cfRule>
    <cfRule type="cellIs" dxfId="1388" priority="1638" operator="equal">
      <formula>"TERNA"</formula>
    </cfRule>
    <cfRule type="cellIs" dxfId="1387" priority="1639" operator="equal">
      <formula>"RTE"</formula>
    </cfRule>
    <cfRule type="cellIs" dxfId="1386" priority="1640" operator="equal">
      <formula>"ELIA"</formula>
    </cfRule>
  </conditionalFormatting>
  <conditionalFormatting sqref="B7:B8">
    <cfRule type="cellIs" dxfId="1385" priority="1633" operator="equal">
      <formula>"Transformer"</formula>
    </cfRule>
    <cfRule type="cellIs" dxfId="1384" priority="1634" operator="equal">
      <formula>"Fossil.Gen"</formula>
    </cfRule>
    <cfRule type="cellIs" dxfId="1383" priority="1635" operator="equal">
      <formula>"Hydro.Gen"</formula>
    </cfRule>
    <cfRule type="cellIs" dxfId="1382" priority="1636" operator="equal">
      <formula>"Nuc.Gen"</formula>
    </cfRule>
  </conditionalFormatting>
  <conditionalFormatting sqref="D7:D8">
    <cfRule type="timePeriod" dxfId="1381" priority="1632" timePeriod="tomorrow">
      <formula>FLOOR(D7,1)=TODAY()+1</formula>
    </cfRule>
  </conditionalFormatting>
  <conditionalFormatting sqref="E7:E8">
    <cfRule type="timePeriod" dxfId="1380" priority="1631" timePeriod="tomorrow">
      <formula>FLOOR(E7,1)=TODAY()+1</formula>
    </cfRule>
  </conditionalFormatting>
  <conditionalFormatting sqref="B13">
    <cfRule type="cellIs" dxfId="1379" priority="1627" operator="equal">
      <formula>"50HzT"</formula>
    </cfRule>
    <cfRule type="cellIs" dxfId="1378" priority="1628" operator="equal">
      <formula>"TERNA"</formula>
    </cfRule>
    <cfRule type="cellIs" dxfId="1377" priority="1629" operator="equal">
      <formula>"RTE"</formula>
    </cfRule>
    <cfRule type="cellIs" dxfId="1376" priority="1630" operator="equal">
      <formula>"ELIA"</formula>
    </cfRule>
  </conditionalFormatting>
  <conditionalFormatting sqref="C13">
    <cfRule type="cellIs" dxfId="1375" priority="1623" operator="equal">
      <formula>"Transformer"</formula>
    </cfRule>
    <cfRule type="cellIs" dxfId="1374" priority="1624" operator="equal">
      <formula>"Fossil.Gen"</formula>
    </cfRule>
    <cfRule type="cellIs" dxfId="1373" priority="1625" operator="equal">
      <formula>"Hydro.Gen"</formula>
    </cfRule>
    <cfRule type="cellIs" dxfId="1372" priority="1626" operator="equal">
      <formula>"Nuc.Gen"</formula>
    </cfRule>
  </conditionalFormatting>
  <conditionalFormatting sqref="E13">
    <cfRule type="timePeriod" dxfId="1371" priority="1622" timePeriod="tomorrow">
      <formula>FLOOR(E13,1)=TODAY()+1</formula>
    </cfRule>
  </conditionalFormatting>
  <conditionalFormatting sqref="F13">
    <cfRule type="timePeriod" dxfId="1370" priority="1621" timePeriod="tomorrow">
      <formula>FLOOR(F13,1)=TODAY()+1</formula>
    </cfRule>
  </conditionalFormatting>
  <conditionalFormatting sqref="A7">
    <cfRule type="cellIs" dxfId="1369" priority="1617" operator="equal">
      <formula>"50HzT"</formula>
    </cfRule>
    <cfRule type="cellIs" dxfId="1368" priority="1618" operator="equal">
      <formula>"TERNA"</formula>
    </cfRule>
    <cfRule type="cellIs" dxfId="1367" priority="1619" operator="equal">
      <formula>"RTE"</formula>
    </cfRule>
    <cfRule type="cellIs" dxfId="1366" priority="1620" operator="equal">
      <formula>"ELIA"</formula>
    </cfRule>
  </conditionalFormatting>
  <conditionalFormatting sqref="B7:B8">
    <cfRule type="cellIs" dxfId="1365" priority="1613" operator="equal">
      <formula>"Transformer"</formula>
    </cfRule>
    <cfRule type="cellIs" dxfId="1364" priority="1614" operator="equal">
      <formula>"Fossil.Gen"</formula>
    </cfRule>
    <cfRule type="cellIs" dxfId="1363" priority="1615" operator="equal">
      <formula>"Hydro.Gen"</formula>
    </cfRule>
    <cfRule type="cellIs" dxfId="1362" priority="1616" operator="equal">
      <formula>"Nuc.Gen"</formula>
    </cfRule>
  </conditionalFormatting>
  <conditionalFormatting sqref="D7:D8">
    <cfRule type="timePeriod" dxfId="1361" priority="1612" timePeriod="tomorrow">
      <formula>FLOOR(D7,1)=TODAY()+1</formula>
    </cfRule>
  </conditionalFormatting>
  <conditionalFormatting sqref="E7:E8">
    <cfRule type="timePeriod" dxfId="1360" priority="1611" timePeriod="tomorrow">
      <formula>FLOOR(E7,1)=TODAY()+1</formula>
    </cfRule>
  </conditionalFormatting>
  <conditionalFormatting sqref="B13">
    <cfRule type="cellIs" dxfId="1359" priority="1607" operator="equal">
      <formula>"50HzT"</formula>
    </cfRule>
    <cfRule type="cellIs" dxfId="1358" priority="1608" operator="equal">
      <formula>"TERNA"</formula>
    </cfRule>
    <cfRule type="cellIs" dxfId="1357" priority="1609" operator="equal">
      <formula>"RTE"</formula>
    </cfRule>
    <cfRule type="cellIs" dxfId="1356" priority="1610" operator="equal">
      <formula>"ELIA"</formula>
    </cfRule>
  </conditionalFormatting>
  <conditionalFormatting sqref="C13">
    <cfRule type="cellIs" dxfId="1355" priority="1603" operator="equal">
      <formula>"Transformer"</formula>
    </cfRule>
    <cfRule type="cellIs" dxfId="1354" priority="1604" operator="equal">
      <formula>"Fossil.Gen"</formula>
    </cfRule>
    <cfRule type="cellIs" dxfId="1353" priority="1605" operator="equal">
      <formula>"Hydro.Gen"</formula>
    </cfRule>
    <cfRule type="cellIs" dxfId="1352" priority="1606" operator="equal">
      <formula>"Nuc.Gen"</formula>
    </cfRule>
  </conditionalFormatting>
  <conditionalFormatting sqref="E13">
    <cfRule type="timePeriod" dxfId="1351" priority="1602" timePeriod="tomorrow">
      <formula>FLOOR(E13,1)=TODAY()+1</formula>
    </cfRule>
  </conditionalFormatting>
  <conditionalFormatting sqref="F13">
    <cfRule type="timePeriod" dxfId="1350" priority="1601" timePeriod="tomorrow">
      <formula>FLOOR(F13,1)=TODAY()+1</formula>
    </cfRule>
  </conditionalFormatting>
  <conditionalFormatting sqref="A7">
    <cfRule type="cellIs" dxfId="1349" priority="1597" operator="equal">
      <formula>"50HzT"</formula>
    </cfRule>
    <cfRule type="cellIs" dxfId="1348" priority="1598" operator="equal">
      <formula>"TERNA"</formula>
    </cfRule>
    <cfRule type="cellIs" dxfId="1347" priority="1599" operator="equal">
      <formula>"RTE"</formula>
    </cfRule>
    <cfRule type="cellIs" dxfId="1346" priority="1600" operator="equal">
      <formula>"ELIA"</formula>
    </cfRule>
  </conditionalFormatting>
  <conditionalFormatting sqref="B7:B8">
    <cfRule type="cellIs" dxfId="1345" priority="1593" operator="equal">
      <formula>"Transformer"</formula>
    </cfRule>
    <cfRule type="cellIs" dxfId="1344" priority="1594" operator="equal">
      <formula>"Fossil.Gen"</formula>
    </cfRule>
    <cfRule type="cellIs" dxfId="1343" priority="1595" operator="equal">
      <formula>"Hydro.Gen"</formula>
    </cfRule>
    <cfRule type="cellIs" dxfId="1342" priority="1596" operator="equal">
      <formula>"Nuc.Gen"</formula>
    </cfRule>
  </conditionalFormatting>
  <conditionalFormatting sqref="D7:D8">
    <cfRule type="timePeriod" dxfId="1341" priority="1592" timePeriod="tomorrow">
      <formula>FLOOR(D7,1)=TODAY()+1</formula>
    </cfRule>
  </conditionalFormatting>
  <conditionalFormatting sqref="E7:E8">
    <cfRule type="timePeriod" dxfId="1340" priority="1591" timePeriod="tomorrow">
      <formula>FLOOR(E7,1)=TODAY()+1</formula>
    </cfRule>
  </conditionalFormatting>
  <conditionalFormatting sqref="B13">
    <cfRule type="cellIs" dxfId="1339" priority="1587" operator="equal">
      <formula>"50HzT"</formula>
    </cfRule>
    <cfRule type="cellIs" dxfId="1338" priority="1588" operator="equal">
      <formula>"TERNA"</formula>
    </cfRule>
    <cfRule type="cellIs" dxfId="1337" priority="1589" operator="equal">
      <formula>"RTE"</formula>
    </cfRule>
    <cfRule type="cellIs" dxfId="1336" priority="1590" operator="equal">
      <formula>"ELIA"</formula>
    </cfRule>
  </conditionalFormatting>
  <conditionalFormatting sqref="C13">
    <cfRule type="cellIs" dxfId="1335" priority="1583" operator="equal">
      <formula>"Transformer"</formula>
    </cfRule>
    <cfRule type="cellIs" dxfId="1334" priority="1584" operator="equal">
      <formula>"Fossil.Gen"</formula>
    </cfRule>
    <cfRule type="cellIs" dxfId="1333" priority="1585" operator="equal">
      <formula>"Hydro.Gen"</formula>
    </cfRule>
    <cfRule type="cellIs" dxfId="1332" priority="1586" operator="equal">
      <formula>"Nuc.Gen"</formula>
    </cfRule>
  </conditionalFormatting>
  <conditionalFormatting sqref="E13">
    <cfRule type="timePeriod" dxfId="1331" priority="1582" timePeriod="tomorrow">
      <formula>FLOOR(E13,1)=TODAY()+1</formula>
    </cfRule>
  </conditionalFormatting>
  <conditionalFormatting sqref="F13">
    <cfRule type="timePeriod" dxfId="1330" priority="1581" timePeriod="tomorrow">
      <formula>FLOOR(F13,1)=TODAY()+1</formula>
    </cfRule>
  </conditionalFormatting>
  <conditionalFormatting sqref="A7">
    <cfRule type="cellIs" dxfId="1329" priority="1577" operator="equal">
      <formula>"50HzT"</formula>
    </cfRule>
    <cfRule type="cellIs" dxfId="1328" priority="1578" operator="equal">
      <formula>"TERNA"</formula>
    </cfRule>
    <cfRule type="cellIs" dxfId="1327" priority="1579" operator="equal">
      <formula>"RTE"</formula>
    </cfRule>
    <cfRule type="cellIs" dxfId="1326" priority="1580" operator="equal">
      <formula>"ELIA"</formula>
    </cfRule>
  </conditionalFormatting>
  <conditionalFormatting sqref="B7:B8">
    <cfRule type="cellIs" dxfId="1325" priority="1573" operator="equal">
      <formula>"Transformer"</formula>
    </cfRule>
    <cfRule type="cellIs" dxfId="1324" priority="1574" operator="equal">
      <formula>"Fossil.Gen"</formula>
    </cfRule>
    <cfRule type="cellIs" dxfId="1323" priority="1575" operator="equal">
      <formula>"Hydro.Gen"</formula>
    </cfRule>
    <cfRule type="cellIs" dxfId="1322" priority="1576" operator="equal">
      <formula>"Nuc.Gen"</formula>
    </cfRule>
  </conditionalFormatting>
  <conditionalFormatting sqref="D7:D8">
    <cfRule type="timePeriod" dxfId="1321" priority="1572" timePeriod="tomorrow">
      <formula>FLOOR(D7,1)=TODAY()+1</formula>
    </cfRule>
  </conditionalFormatting>
  <conditionalFormatting sqref="E7:E8">
    <cfRule type="timePeriod" dxfId="1320" priority="1571" timePeriod="tomorrow">
      <formula>FLOOR(E7,1)=TODAY()+1</formula>
    </cfRule>
  </conditionalFormatting>
  <conditionalFormatting sqref="B13">
    <cfRule type="cellIs" dxfId="1319" priority="1567" operator="equal">
      <formula>"50HzT"</formula>
    </cfRule>
    <cfRule type="cellIs" dxfId="1318" priority="1568" operator="equal">
      <formula>"TERNA"</formula>
    </cfRule>
    <cfRule type="cellIs" dxfId="1317" priority="1569" operator="equal">
      <formula>"RTE"</formula>
    </cfRule>
    <cfRule type="cellIs" dxfId="1316" priority="1570" operator="equal">
      <formula>"ELIA"</formula>
    </cfRule>
  </conditionalFormatting>
  <conditionalFormatting sqref="C13">
    <cfRule type="cellIs" dxfId="1315" priority="1563" operator="equal">
      <formula>"Transformer"</formula>
    </cfRule>
    <cfRule type="cellIs" dxfId="1314" priority="1564" operator="equal">
      <formula>"Fossil.Gen"</formula>
    </cfRule>
    <cfRule type="cellIs" dxfId="1313" priority="1565" operator="equal">
      <formula>"Hydro.Gen"</formula>
    </cfRule>
    <cfRule type="cellIs" dxfId="1312" priority="1566" operator="equal">
      <formula>"Nuc.Gen"</formula>
    </cfRule>
  </conditionalFormatting>
  <conditionalFormatting sqref="E13">
    <cfRule type="timePeriod" dxfId="1311" priority="1562" timePeriod="tomorrow">
      <formula>FLOOR(E13,1)=TODAY()+1</formula>
    </cfRule>
  </conditionalFormatting>
  <conditionalFormatting sqref="F13">
    <cfRule type="timePeriod" dxfId="1310" priority="1561" timePeriod="tomorrow">
      <formula>FLOOR(F13,1)=TODAY()+1</formula>
    </cfRule>
  </conditionalFormatting>
  <conditionalFormatting sqref="A7">
    <cfRule type="cellIs" dxfId="1309" priority="1557" operator="equal">
      <formula>"50HzT"</formula>
    </cfRule>
    <cfRule type="cellIs" dxfId="1308" priority="1558" operator="equal">
      <formula>"TERNA"</formula>
    </cfRule>
    <cfRule type="cellIs" dxfId="1307" priority="1559" operator="equal">
      <formula>"RTE"</formula>
    </cfRule>
    <cfRule type="cellIs" dxfId="1306" priority="1560" operator="equal">
      <formula>"ELIA"</formula>
    </cfRule>
  </conditionalFormatting>
  <conditionalFormatting sqref="B7:B8">
    <cfRule type="cellIs" dxfId="1305" priority="1553" operator="equal">
      <formula>"Transformer"</formula>
    </cfRule>
    <cfRule type="cellIs" dxfId="1304" priority="1554" operator="equal">
      <formula>"Fossil.Gen"</formula>
    </cfRule>
    <cfRule type="cellIs" dxfId="1303" priority="1555" operator="equal">
      <formula>"Hydro.Gen"</formula>
    </cfRule>
    <cfRule type="cellIs" dxfId="1302" priority="1556" operator="equal">
      <formula>"Nuc.Gen"</formula>
    </cfRule>
  </conditionalFormatting>
  <conditionalFormatting sqref="D7:D8">
    <cfRule type="timePeriod" dxfId="1301" priority="1552" timePeriod="tomorrow">
      <formula>FLOOR(D7,1)=TODAY()+1</formula>
    </cfRule>
  </conditionalFormatting>
  <conditionalFormatting sqref="E7:E8">
    <cfRule type="timePeriod" dxfId="1300" priority="1551" timePeriod="tomorrow">
      <formula>FLOOR(E7,1)=TODAY()+1</formula>
    </cfRule>
  </conditionalFormatting>
  <conditionalFormatting sqref="B13">
    <cfRule type="cellIs" dxfId="1299" priority="1547" operator="equal">
      <formula>"50HzT"</formula>
    </cfRule>
    <cfRule type="cellIs" dxfId="1298" priority="1548" operator="equal">
      <formula>"TERNA"</formula>
    </cfRule>
    <cfRule type="cellIs" dxfId="1297" priority="1549" operator="equal">
      <formula>"RTE"</formula>
    </cfRule>
    <cfRule type="cellIs" dxfId="1296" priority="1550" operator="equal">
      <formula>"ELIA"</formula>
    </cfRule>
  </conditionalFormatting>
  <conditionalFormatting sqref="C13">
    <cfRule type="cellIs" dxfId="1295" priority="1543" operator="equal">
      <formula>"Transformer"</formula>
    </cfRule>
    <cfRule type="cellIs" dxfId="1294" priority="1544" operator="equal">
      <formula>"Fossil.Gen"</formula>
    </cfRule>
    <cfRule type="cellIs" dxfId="1293" priority="1545" operator="equal">
      <formula>"Hydro.Gen"</formula>
    </cfRule>
    <cfRule type="cellIs" dxfId="1292" priority="1546" operator="equal">
      <formula>"Nuc.Gen"</formula>
    </cfRule>
  </conditionalFormatting>
  <conditionalFormatting sqref="E13">
    <cfRule type="timePeriod" dxfId="1291" priority="1542" timePeriod="tomorrow">
      <formula>FLOOR(E13,1)=TODAY()+1</formula>
    </cfRule>
  </conditionalFormatting>
  <conditionalFormatting sqref="F13">
    <cfRule type="timePeriod" dxfId="1290" priority="1541" timePeriod="tomorrow">
      <formula>FLOOR(F13,1)=TODAY()+1</formula>
    </cfRule>
  </conditionalFormatting>
  <conditionalFormatting sqref="A7">
    <cfRule type="cellIs" dxfId="1289" priority="1537" operator="equal">
      <formula>"50HzT"</formula>
    </cfRule>
    <cfRule type="cellIs" dxfId="1288" priority="1538" operator="equal">
      <formula>"TERNA"</formula>
    </cfRule>
    <cfRule type="cellIs" dxfId="1287" priority="1539" operator="equal">
      <formula>"RTE"</formula>
    </cfRule>
    <cfRule type="cellIs" dxfId="1286" priority="1540" operator="equal">
      <formula>"ELIA"</formula>
    </cfRule>
  </conditionalFormatting>
  <conditionalFormatting sqref="B7:B8">
    <cfRule type="cellIs" dxfId="1285" priority="1533" operator="equal">
      <formula>"Transformer"</formula>
    </cfRule>
    <cfRule type="cellIs" dxfId="1284" priority="1534" operator="equal">
      <formula>"Fossil.Gen"</formula>
    </cfRule>
    <cfRule type="cellIs" dxfId="1283" priority="1535" operator="equal">
      <formula>"Hydro.Gen"</formula>
    </cfRule>
    <cfRule type="cellIs" dxfId="1282" priority="1536" operator="equal">
      <formula>"Nuc.Gen"</formula>
    </cfRule>
  </conditionalFormatting>
  <conditionalFormatting sqref="D7:D8">
    <cfRule type="timePeriod" dxfId="1281" priority="1532" timePeriod="tomorrow">
      <formula>FLOOR(D7,1)=TODAY()+1</formula>
    </cfRule>
  </conditionalFormatting>
  <conditionalFormatting sqref="E7:E8">
    <cfRule type="timePeriod" dxfId="1280" priority="1531" timePeriod="tomorrow">
      <formula>FLOOR(E7,1)=TODAY()+1</formula>
    </cfRule>
  </conditionalFormatting>
  <conditionalFormatting sqref="B13">
    <cfRule type="cellIs" dxfId="1279" priority="1527" operator="equal">
      <formula>"50HzT"</formula>
    </cfRule>
    <cfRule type="cellIs" dxfId="1278" priority="1528" operator="equal">
      <formula>"TERNA"</formula>
    </cfRule>
    <cfRule type="cellIs" dxfId="1277" priority="1529" operator="equal">
      <formula>"RTE"</formula>
    </cfRule>
    <cfRule type="cellIs" dxfId="1276" priority="1530" operator="equal">
      <formula>"ELIA"</formula>
    </cfRule>
  </conditionalFormatting>
  <conditionalFormatting sqref="C13">
    <cfRule type="cellIs" dxfId="1275" priority="1523" operator="equal">
      <formula>"Transformer"</formula>
    </cfRule>
    <cfRule type="cellIs" dxfId="1274" priority="1524" operator="equal">
      <formula>"Fossil.Gen"</formula>
    </cfRule>
    <cfRule type="cellIs" dxfId="1273" priority="1525" operator="equal">
      <formula>"Hydro.Gen"</formula>
    </cfRule>
    <cfRule type="cellIs" dxfId="1272" priority="1526" operator="equal">
      <formula>"Nuc.Gen"</formula>
    </cfRule>
  </conditionalFormatting>
  <conditionalFormatting sqref="E13">
    <cfRule type="timePeriod" dxfId="1271" priority="1522" timePeriod="tomorrow">
      <formula>FLOOR(E13,1)=TODAY()+1</formula>
    </cfRule>
  </conditionalFormatting>
  <conditionalFormatting sqref="F13">
    <cfRule type="timePeriod" dxfId="1270" priority="1521" timePeriod="tomorrow">
      <formula>FLOOR(F13,1)=TODAY()+1</formula>
    </cfRule>
  </conditionalFormatting>
  <conditionalFormatting sqref="A7">
    <cfRule type="cellIs" dxfId="1269" priority="1517" operator="equal">
      <formula>"50HzT"</formula>
    </cfRule>
    <cfRule type="cellIs" dxfId="1268" priority="1518" operator="equal">
      <formula>"TERNA"</formula>
    </cfRule>
    <cfRule type="cellIs" dxfId="1267" priority="1519" operator="equal">
      <formula>"RTE"</formula>
    </cfRule>
    <cfRule type="cellIs" dxfId="1266" priority="1520" operator="equal">
      <formula>"ELIA"</formula>
    </cfRule>
  </conditionalFormatting>
  <conditionalFormatting sqref="B7:B8">
    <cfRule type="cellIs" dxfId="1265" priority="1513" operator="equal">
      <formula>"Transformer"</formula>
    </cfRule>
    <cfRule type="cellIs" dxfId="1264" priority="1514" operator="equal">
      <formula>"Fossil.Gen"</formula>
    </cfRule>
    <cfRule type="cellIs" dxfId="1263" priority="1515" operator="equal">
      <formula>"Hydro.Gen"</formula>
    </cfRule>
    <cfRule type="cellIs" dxfId="1262" priority="1516" operator="equal">
      <formula>"Nuc.Gen"</formula>
    </cfRule>
  </conditionalFormatting>
  <conditionalFormatting sqref="D7:D8">
    <cfRule type="timePeriod" dxfId="1261" priority="1512" timePeriod="tomorrow">
      <formula>FLOOR(D7,1)=TODAY()+1</formula>
    </cfRule>
  </conditionalFormatting>
  <conditionalFormatting sqref="E7:E8">
    <cfRule type="timePeriod" dxfId="1260" priority="1511" timePeriod="tomorrow">
      <formula>FLOOR(E7,1)=TODAY()+1</formula>
    </cfRule>
  </conditionalFormatting>
  <conditionalFormatting sqref="B13">
    <cfRule type="cellIs" dxfId="1259" priority="1507" operator="equal">
      <formula>"50HzT"</formula>
    </cfRule>
    <cfRule type="cellIs" dxfId="1258" priority="1508" operator="equal">
      <formula>"TERNA"</formula>
    </cfRule>
    <cfRule type="cellIs" dxfId="1257" priority="1509" operator="equal">
      <formula>"RTE"</formula>
    </cfRule>
    <cfRule type="cellIs" dxfId="1256" priority="1510" operator="equal">
      <formula>"ELIA"</formula>
    </cfRule>
  </conditionalFormatting>
  <conditionalFormatting sqref="C13">
    <cfRule type="cellIs" dxfId="1255" priority="1503" operator="equal">
      <formula>"Transformer"</formula>
    </cfRule>
    <cfRule type="cellIs" dxfId="1254" priority="1504" operator="equal">
      <formula>"Fossil.Gen"</formula>
    </cfRule>
    <cfRule type="cellIs" dxfId="1253" priority="1505" operator="equal">
      <formula>"Hydro.Gen"</formula>
    </cfRule>
    <cfRule type="cellIs" dxfId="1252" priority="1506" operator="equal">
      <formula>"Nuc.Gen"</formula>
    </cfRule>
  </conditionalFormatting>
  <conditionalFormatting sqref="E13">
    <cfRule type="timePeriod" dxfId="1251" priority="1502" timePeriod="tomorrow">
      <formula>FLOOR(E13,1)=TODAY()+1</formula>
    </cfRule>
  </conditionalFormatting>
  <conditionalFormatting sqref="F13">
    <cfRule type="timePeriod" dxfId="1250" priority="1501" timePeriod="tomorrow">
      <formula>FLOOR(F13,1)=TODAY()+1</formula>
    </cfRule>
  </conditionalFormatting>
  <conditionalFormatting sqref="A7">
    <cfRule type="cellIs" dxfId="1249" priority="1497" operator="equal">
      <formula>"50HzT"</formula>
    </cfRule>
    <cfRule type="cellIs" dxfId="1248" priority="1498" operator="equal">
      <formula>"TERNA"</formula>
    </cfRule>
    <cfRule type="cellIs" dxfId="1247" priority="1499" operator="equal">
      <formula>"RTE"</formula>
    </cfRule>
    <cfRule type="cellIs" dxfId="1246" priority="1500" operator="equal">
      <formula>"ELIA"</formula>
    </cfRule>
  </conditionalFormatting>
  <conditionalFormatting sqref="B7:B8">
    <cfRule type="cellIs" dxfId="1245" priority="1493" operator="equal">
      <formula>"Transformer"</formula>
    </cfRule>
    <cfRule type="cellIs" dxfId="1244" priority="1494" operator="equal">
      <formula>"Fossil.Gen"</formula>
    </cfRule>
    <cfRule type="cellIs" dxfId="1243" priority="1495" operator="equal">
      <formula>"Hydro.Gen"</formula>
    </cfRule>
    <cfRule type="cellIs" dxfId="1242" priority="1496" operator="equal">
      <formula>"Nuc.Gen"</formula>
    </cfRule>
  </conditionalFormatting>
  <conditionalFormatting sqref="D7:D8">
    <cfRule type="timePeriod" dxfId="1241" priority="1492" timePeriod="tomorrow">
      <formula>FLOOR(D7,1)=TODAY()+1</formula>
    </cfRule>
  </conditionalFormatting>
  <conditionalFormatting sqref="E7:E8">
    <cfRule type="timePeriod" dxfId="1240" priority="1491" timePeriod="tomorrow">
      <formula>FLOOR(E7,1)=TODAY()+1</formula>
    </cfRule>
  </conditionalFormatting>
  <conditionalFormatting sqref="B13">
    <cfRule type="cellIs" dxfId="1239" priority="1487" operator="equal">
      <formula>"50HzT"</formula>
    </cfRule>
    <cfRule type="cellIs" dxfId="1238" priority="1488" operator="equal">
      <formula>"TERNA"</formula>
    </cfRule>
    <cfRule type="cellIs" dxfId="1237" priority="1489" operator="equal">
      <formula>"RTE"</formula>
    </cfRule>
    <cfRule type="cellIs" dxfId="1236" priority="1490" operator="equal">
      <formula>"ELIA"</formula>
    </cfRule>
  </conditionalFormatting>
  <conditionalFormatting sqref="C13">
    <cfRule type="cellIs" dxfId="1235" priority="1483" operator="equal">
      <formula>"Transformer"</formula>
    </cfRule>
    <cfRule type="cellIs" dxfId="1234" priority="1484" operator="equal">
      <formula>"Fossil.Gen"</formula>
    </cfRule>
    <cfRule type="cellIs" dxfId="1233" priority="1485" operator="equal">
      <formula>"Hydro.Gen"</formula>
    </cfRule>
    <cfRule type="cellIs" dxfId="1232" priority="1486" operator="equal">
      <formula>"Nuc.Gen"</formula>
    </cfRule>
  </conditionalFormatting>
  <conditionalFormatting sqref="E13">
    <cfRule type="timePeriod" dxfId="1231" priority="1482" timePeriod="tomorrow">
      <formula>FLOOR(E13,1)=TODAY()+1</formula>
    </cfRule>
  </conditionalFormatting>
  <conditionalFormatting sqref="F13">
    <cfRule type="timePeriod" dxfId="1230" priority="1481" timePeriod="tomorrow">
      <formula>FLOOR(F13,1)=TODAY()+1</formula>
    </cfRule>
  </conditionalFormatting>
  <conditionalFormatting sqref="A7">
    <cfRule type="cellIs" dxfId="1229" priority="1477" operator="equal">
      <formula>"50HzT"</formula>
    </cfRule>
    <cfRule type="cellIs" dxfId="1228" priority="1478" operator="equal">
      <formula>"TERNA"</formula>
    </cfRule>
    <cfRule type="cellIs" dxfId="1227" priority="1479" operator="equal">
      <formula>"RTE"</formula>
    </cfRule>
    <cfRule type="cellIs" dxfId="1226" priority="1480" operator="equal">
      <formula>"ELIA"</formula>
    </cfRule>
  </conditionalFormatting>
  <conditionalFormatting sqref="B7:B8">
    <cfRule type="cellIs" dxfId="1225" priority="1473" operator="equal">
      <formula>"Transformer"</formula>
    </cfRule>
    <cfRule type="cellIs" dxfId="1224" priority="1474" operator="equal">
      <formula>"Fossil.Gen"</formula>
    </cfRule>
    <cfRule type="cellIs" dxfId="1223" priority="1475" operator="equal">
      <formula>"Hydro.Gen"</formula>
    </cfRule>
    <cfRule type="cellIs" dxfId="1222" priority="1476" operator="equal">
      <formula>"Nuc.Gen"</formula>
    </cfRule>
  </conditionalFormatting>
  <conditionalFormatting sqref="D7:D8">
    <cfRule type="timePeriod" dxfId="1221" priority="1472" timePeriod="tomorrow">
      <formula>FLOOR(D7,1)=TODAY()+1</formula>
    </cfRule>
  </conditionalFormatting>
  <conditionalFormatting sqref="E7:E8">
    <cfRule type="timePeriod" dxfId="1220" priority="1471" timePeriod="tomorrow">
      <formula>FLOOR(E7,1)=TODAY()+1</formula>
    </cfRule>
  </conditionalFormatting>
  <conditionalFormatting sqref="B13">
    <cfRule type="cellIs" dxfId="1219" priority="1467" operator="equal">
      <formula>"50HzT"</formula>
    </cfRule>
    <cfRule type="cellIs" dxfId="1218" priority="1468" operator="equal">
      <formula>"TERNA"</formula>
    </cfRule>
    <cfRule type="cellIs" dxfId="1217" priority="1469" operator="equal">
      <formula>"RTE"</formula>
    </cfRule>
    <cfRule type="cellIs" dxfId="1216" priority="1470" operator="equal">
      <formula>"ELIA"</formula>
    </cfRule>
  </conditionalFormatting>
  <conditionalFormatting sqref="C13">
    <cfRule type="cellIs" dxfId="1215" priority="1463" operator="equal">
      <formula>"Transformer"</formula>
    </cfRule>
    <cfRule type="cellIs" dxfId="1214" priority="1464" operator="equal">
      <formula>"Fossil.Gen"</formula>
    </cfRule>
    <cfRule type="cellIs" dxfId="1213" priority="1465" operator="equal">
      <formula>"Hydro.Gen"</formula>
    </cfRule>
    <cfRule type="cellIs" dxfId="1212" priority="1466" operator="equal">
      <formula>"Nuc.Gen"</formula>
    </cfRule>
  </conditionalFormatting>
  <conditionalFormatting sqref="E13">
    <cfRule type="timePeriod" dxfId="1211" priority="1462" timePeriod="tomorrow">
      <formula>FLOOR(E13,1)=TODAY()+1</formula>
    </cfRule>
  </conditionalFormatting>
  <conditionalFormatting sqref="F13">
    <cfRule type="timePeriod" dxfId="1210" priority="1461" timePeriod="tomorrow">
      <formula>FLOOR(F13,1)=TODAY()+1</formula>
    </cfRule>
  </conditionalFormatting>
  <conditionalFormatting sqref="A7">
    <cfRule type="cellIs" dxfId="1209" priority="1207" operator="equal">
      <formula>"50HzT"</formula>
    </cfRule>
    <cfRule type="cellIs" dxfId="1208" priority="1208" operator="equal">
      <formula>"TERNA"</formula>
    </cfRule>
    <cfRule type="cellIs" dxfId="1207" priority="1209" operator="equal">
      <formula>"RTE"</formula>
    </cfRule>
    <cfRule type="cellIs" dxfId="1206" priority="1210" operator="equal">
      <formula>"ELIA"</formula>
    </cfRule>
  </conditionalFormatting>
  <conditionalFormatting sqref="B7:B8">
    <cfRule type="cellIs" dxfId="1205" priority="1203" operator="equal">
      <formula>"Transformer"</formula>
    </cfRule>
    <cfRule type="cellIs" dxfId="1204" priority="1204" operator="equal">
      <formula>"Fossil.Gen"</formula>
    </cfRule>
    <cfRule type="cellIs" dxfId="1203" priority="1205" operator="equal">
      <formula>"Hydro.Gen"</formula>
    </cfRule>
    <cfRule type="cellIs" dxfId="1202" priority="1206" operator="equal">
      <formula>"Nuc.Gen"</formula>
    </cfRule>
  </conditionalFormatting>
  <conditionalFormatting sqref="D7:D8">
    <cfRule type="timePeriod" dxfId="1201" priority="1202" timePeriod="tomorrow">
      <formula>FLOOR(D7,1)=TODAY()+1</formula>
    </cfRule>
  </conditionalFormatting>
  <conditionalFormatting sqref="E7:E8">
    <cfRule type="timePeriod" dxfId="1200" priority="1201" timePeriod="tomorrow">
      <formula>FLOOR(E7,1)=TODAY()+1</formula>
    </cfRule>
  </conditionalFormatting>
  <conditionalFormatting sqref="B13">
    <cfRule type="cellIs" dxfId="1199" priority="1197" operator="equal">
      <formula>"50HzT"</formula>
    </cfRule>
    <cfRule type="cellIs" dxfId="1198" priority="1198" operator="equal">
      <formula>"TERNA"</formula>
    </cfRule>
    <cfRule type="cellIs" dxfId="1197" priority="1199" operator="equal">
      <formula>"RTE"</formula>
    </cfRule>
    <cfRule type="cellIs" dxfId="1196" priority="1200" operator="equal">
      <formula>"ELIA"</formula>
    </cfRule>
  </conditionalFormatting>
  <conditionalFormatting sqref="C13">
    <cfRule type="cellIs" dxfId="1195" priority="1193" operator="equal">
      <formula>"Transformer"</formula>
    </cfRule>
    <cfRule type="cellIs" dxfId="1194" priority="1194" operator="equal">
      <formula>"Fossil.Gen"</formula>
    </cfRule>
    <cfRule type="cellIs" dxfId="1193" priority="1195" operator="equal">
      <formula>"Hydro.Gen"</formula>
    </cfRule>
    <cfRule type="cellIs" dxfId="1192" priority="1196" operator="equal">
      <formula>"Nuc.Gen"</formula>
    </cfRule>
  </conditionalFormatting>
  <conditionalFormatting sqref="E13">
    <cfRule type="timePeriod" dxfId="1191" priority="1192" timePeriod="tomorrow">
      <formula>FLOOR(E13,1)=TODAY()+1</formula>
    </cfRule>
  </conditionalFormatting>
  <conditionalFormatting sqref="F13">
    <cfRule type="timePeriod" dxfId="1190" priority="1191" timePeriod="tomorrow">
      <formula>FLOOR(F13,1)=TODAY()+1</formula>
    </cfRule>
  </conditionalFormatting>
  <conditionalFormatting sqref="A7">
    <cfRule type="cellIs" dxfId="1189" priority="1187" operator="equal">
      <formula>"50HzT"</formula>
    </cfRule>
    <cfRule type="cellIs" dxfId="1188" priority="1188" operator="equal">
      <formula>"TERNA"</formula>
    </cfRule>
    <cfRule type="cellIs" dxfId="1187" priority="1189" operator="equal">
      <formula>"RTE"</formula>
    </cfRule>
    <cfRule type="cellIs" dxfId="1186" priority="1190" operator="equal">
      <formula>"ELIA"</formula>
    </cfRule>
  </conditionalFormatting>
  <conditionalFormatting sqref="B7:B8">
    <cfRule type="cellIs" dxfId="1185" priority="1183" operator="equal">
      <formula>"Transformer"</formula>
    </cfRule>
    <cfRule type="cellIs" dxfId="1184" priority="1184" operator="equal">
      <formula>"Fossil.Gen"</formula>
    </cfRule>
    <cfRule type="cellIs" dxfId="1183" priority="1185" operator="equal">
      <formula>"Hydro.Gen"</formula>
    </cfRule>
    <cfRule type="cellIs" dxfId="1182" priority="1186" operator="equal">
      <formula>"Nuc.Gen"</formula>
    </cfRule>
  </conditionalFormatting>
  <conditionalFormatting sqref="D7:D8">
    <cfRule type="timePeriod" dxfId="1181" priority="1182" timePeriod="tomorrow">
      <formula>FLOOR(D7,1)=TODAY()+1</formula>
    </cfRule>
  </conditionalFormatting>
  <conditionalFormatting sqref="E7:E8">
    <cfRule type="timePeriod" dxfId="1180" priority="1181" timePeriod="tomorrow">
      <formula>FLOOR(E7,1)=TODAY()+1</formula>
    </cfRule>
  </conditionalFormatting>
  <conditionalFormatting sqref="B13">
    <cfRule type="cellIs" dxfId="1179" priority="1177" operator="equal">
      <formula>"50HzT"</formula>
    </cfRule>
    <cfRule type="cellIs" dxfId="1178" priority="1178" operator="equal">
      <formula>"TERNA"</formula>
    </cfRule>
    <cfRule type="cellIs" dxfId="1177" priority="1179" operator="equal">
      <formula>"RTE"</formula>
    </cfRule>
    <cfRule type="cellIs" dxfId="1176" priority="1180" operator="equal">
      <formula>"ELIA"</formula>
    </cfRule>
  </conditionalFormatting>
  <conditionalFormatting sqref="C13">
    <cfRule type="cellIs" dxfId="1175" priority="1173" operator="equal">
      <formula>"Transformer"</formula>
    </cfRule>
    <cfRule type="cellIs" dxfId="1174" priority="1174" operator="equal">
      <formula>"Fossil.Gen"</formula>
    </cfRule>
    <cfRule type="cellIs" dxfId="1173" priority="1175" operator="equal">
      <formula>"Hydro.Gen"</formula>
    </cfRule>
    <cfRule type="cellIs" dxfId="1172" priority="1176" operator="equal">
      <formula>"Nuc.Gen"</formula>
    </cfRule>
  </conditionalFormatting>
  <conditionalFormatting sqref="E13">
    <cfRule type="timePeriod" dxfId="1171" priority="1172" timePeriod="tomorrow">
      <formula>FLOOR(E13,1)=TODAY()+1</formula>
    </cfRule>
  </conditionalFormatting>
  <conditionalFormatting sqref="F13">
    <cfRule type="timePeriod" dxfId="1170" priority="1171" timePeriod="tomorrow">
      <formula>FLOOR(F13,1)=TODAY()+1</formula>
    </cfRule>
  </conditionalFormatting>
  <conditionalFormatting sqref="A7">
    <cfRule type="cellIs" dxfId="1169" priority="1167" operator="equal">
      <formula>"50HzT"</formula>
    </cfRule>
    <cfRule type="cellIs" dxfId="1168" priority="1168" operator="equal">
      <formula>"TERNA"</formula>
    </cfRule>
    <cfRule type="cellIs" dxfId="1167" priority="1169" operator="equal">
      <formula>"RTE"</formula>
    </cfRule>
    <cfRule type="cellIs" dxfId="1166" priority="1170" operator="equal">
      <formula>"ELIA"</formula>
    </cfRule>
  </conditionalFormatting>
  <conditionalFormatting sqref="B7:B8">
    <cfRule type="cellIs" dxfId="1165" priority="1163" operator="equal">
      <formula>"Transformer"</formula>
    </cfRule>
    <cfRule type="cellIs" dxfId="1164" priority="1164" operator="equal">
      <formula>"Fossil.Gen"</formula>
    </cfRule>
    <cfRule type="cellIs" dxfId="1163" priority="1165" operator="equal">
      <formula>"Hydro.Gen"</formula>
    </cfRule>
    <cfRule type="cellIs" dxfId="1162" priority="1166" operator="equal">
      <formula>"Nuc.Gen"</formula>
    </cfRule>
  </conditionalFormatting>
  <conditionalFormatting sqref="D7:D8">
    <cfRule type="timePeriod" dxfId="1161" priority="1162" timePeriod="tomorrow">
      <formula>FLOOR(D7,1)=TODAY()+1</formula>
    </cfRule>
  </conditionalFormatting>
  <conditionalFormatting sqref="E7:E8">
    <cfRule type="timePeriod" dxfId="1160" priority="1161" timePeriod="tomorrow">
      <formula>FLOOR(E7,1)=TODAY()+1</formula>
    </cfRule>
  </conditionalFormatting>
  <conditionalFormatting sqref="B13">
    <cfRule type="cellIs" dxfId="1159" priority="1157" operator="equal">
      <formula>"50HzT"</formula>
    </cfRule>
    <cfRule type="cellIs" dxfId="1158" priority="1158" operator="equal">
      <formula>"TERNA"</formula>
    </cfRule>
    <cfRule type="cellIs" dxfId="1157" priority="1159" operator="equal">
      <formula>"RTE"</formula>
    </cfRule>
    <cfRule type="cellIs" dxfId="1156" priority="1160" operator="equal">
      <formula>"ELIA"</formula>
    </cfRule>
  </conditionalFormatting>
  <conditionalFormatting sqref="C13">
    <cfRule type="cellIs" dxfId="1155" priority="1153" operator="equal">
      <formula>"Transformer"</formula>
    </cfRule>
    <cfRule type="cellIs" dxfId="1154" priority="1154" operator="equal">
      <formula>"Fossil.Gen"</formula>
    </cfRule>
    <cfRule type="cellIs" dxfId="1153" priority="1155" operator="equal">
      <formula>"Hydro.Gen"</formula>
    </cfRule>
    <cfRule type="cellIs" dxfId="1152" priority="1156" operator="equal">
      <formula>"Nuc.Gen"</formula>
    </cfRule>
  </conditionalFormatting>
  <conditionalFormatting sqref="E13">
    <cfRule type="timePeriod" dxfId="1151" priority="1152" timePeriod="tomorrow">
      <formula>FLOOR(E13,1)=TODAY()+1</formula>
    </cfRule>
  </conditionalFormatting>
  <conditionalFormatting sqref="F13">
    <cfRule type="timePeriod" dxfId="1150" priority="1151" timePeriod="tomorrow">
      <formula>FLOOR(F13,1)=TODAY()+1</formula>
    </cfRule>
  </conditionalFormatting>
  <conditionalFormatting sqref="A7">
    <cfRule type="cellIs" dxfId="1149" priority="1147" operator="equal">
      <formula>"50HzT"</formula>
    </cfRule>
    <cfRule type="cellIs" dxfId="1148" priority="1148" operator="equal">
      <formula>"TERNA"</formula>
    </cfRule>
    <cfRule type="cellIs" dxfId="1147" priority="1149" operator="equal">
      <formula>"RTE"</formula>
    </cfRule>
    <cfRule type="cellIs" dxfId="1146" priority="1150" operator="equal">
      <formula>"ELIA"</formula>
    </cfRule>
  </conditionalFormatting>
  <conditionalFormatting sqref="B7:B8">
    <cfRule type="cellIs" dxfId="1145" priority="1143" operator="equal">
      <formula>"Transformer"</formula>
    </cfRule>
    <cfRule type="cellIs" dxfId="1144" priority="1144" operator="equal">
      <formula>"Fossil.Gen"</formula>
    </cfRule>
    <cfRule type="cellIs" dxfId="1143" priority="1145" operator="equal">
      <formula>"Hydro.Gen"</formula>
    </cfRule>
    <cfRule type="cellIs" dxfId="1142" priority="1146" operator="equal">
      <formula>"Nuc.Gen"</formula>
    </cfRule>
  </conditionalFormatting>
  <conditionalFormatting sqref="D7:D8">
    <cfRule type="timePeriod" dxfId="1141" priority="1142" timePeriod="tomorrow">
      <formula>FLOOR(D7,1)=TODAY()+1</formula>
    </cfRule>
  </conditionalFormatting>
  <conditionalFormatting sqref="E7:E8">
    <cfRule type="timePeriod" dxfId="1140" priority="1141" timePeriod="tomorrow">
      <formula>FLOOR(E7,1)=TODAY()+1</formula>
    </cfRule>
  </conditionalFormatting>
  <conditionalFormatting sqref="B13">
    <cfRule type="cellIs" dxfId="1139" priority="1137" operator="equal">
      <formula>"50HzT"</formula>
    </cfRule>
    <cfRule type="cellIs" dxfId="1138" priority="1138" operator="equal">
      <formula>"TERNA"</formula>
    </cfRule>
    <cfRule type="cellIs" dxfId="1137" priority="1139" operator="equal">
      <formula>"RTE"</formula>
    </cfRule>
    <cfRule type="cellIs" dxfId="1136" priority="1140" operator="equal">
      <formula>"ELIA"</formula>
    </cfRule>
  </conditionalFormatting>
  <conditionalFormatting sqref="C13">
    <cfRule type="cellIs" dxfId="1135" priority="1133" operator="equal">
      <formula>"Transformer"</formula>
    </cfRule>
    <cfRule type="cellIs" dxfId="1134" priority="1134" operator="equal">
      <formula>"Fossil.Gen"</formula>
    </cfRule>
    <cfRule type="cellIs" dxfId="1133" priority="1135" operator="equal">
      <formula>"Hydro.Gen"</formula>
    </cfRule>
    <cfRule type="cellIs" dxfId="1132" priority="1136" operator="equal">
      <formula>"Nuc.Gen"</formula>
    </cfRule>
  </conditionalFormatting>
  <conditionalFormatting sqref="E13">
    <cfRule type="timePeriod" dxfId="1131" priority="1132" timePeriod="tomorrow">
      <formula>FLOOR(E13,1)=TODAY()+1</formula>
    </cfRule>
  </conditionalFormatting>
  <conditionalFormatting sqref="F13">
    <cfRule type="timePeriod" dxfId="1130" priority="1131" timePeriod="tomorrow">
      <formula>FLOOR(F13,1)=TODAY()+1</formula>
    </cfRule>
  </conditionalFormatting>
  <conditionalFormatting sqref="C5:F5">
    <cfRule type="cellIs" dxfId="1129" priority="1127" operator="equal">
      <formula>"Transformer"</formula>
    </cfRule>
    <cfRule type="cellIs" dxfId="1128" priority="1128" operator="equal">
      <formula>"Fossil.Gen"</formula>
    </cfRule>
    <cfRule type="cellIs" dxfId="1127" priority="1129" operator="equal">
      <formula>"Hydro.Gen"</formula>
    </cfRule>
    <cfRule type="cellIs" dxfId="1126" priority="1130" operator="equal">
      <formula>"Nuc.Gen"</formula>
    </cfRule>
  </conditionalFormatting>
  <conditionalFormatting sqref="C13:F13">
    <cfRule type="cellIs" dxfId="1125" priority="1123" operator="equal">
      <formula>"50HzT"</formula>
    </cfRule>
    <cfRule type="cellIs" dxfId="1124" priority="1124" operator="equal">
      <formula>"TERNA"</formula>
    </cfRule>
    <cfRule type="cellIs" dxfId="1123" priority="1125" operator="equal">
      <formula>"RTE"</formula>
    </cfRule>
    <cfRule type="cellIs" dxfId="1122" priority="1126" operator="equal">
      <formula>"ELIA"</formula>
    </cfRule>
  </conditionalFormatting>
  <conditionalFormatting sqref="C13:F13">
    <cfRule type="cellIs" dxfId="1121" priority="1119" operator="equal">
      <formula>"50HzT"</formula>
    </cfRule>
    <cfRule type="cellIs" dxfId="1120" priority="1120" operator="equal">
      <formula>"TERNA"</formula>
    </cfRule>
    <cfRule type="cellIs" dxfId="1119" priority="1121" operator="equal">
      <formula>"RTE"</formula>
    </cfRule>
    <cfRule type="cellIs" dxfId="1118" priority="1122" operator="equal">
      <formula>"ELIA"</formula>
    </cfRule>
  </conditionalFormatting>
  <conditionalFormatting sqref="C13:F13">
    <cfRule type="cellIs" dxfId="1117" priority="1115" operator="equal">
      <formula>"50HzT"</formula>
    </cfRule>
    <cfRule type="cellIs" dxfId="1116" priority="1116" operator="equal">
      <formula>"TERNA"</formula>
    </cfRule>
    <cfRule type="cellIs" dxfId="1115" priority="1117" operator="equal">
      <formula>"RTE"</formula>
    </cfRule>
    <cfRule type="cellIs" dxfId="1114" priority="1118" operator="equal">
      <formula>"ELIA"</formula>
    </cfRule>
  </conditionalFormatting>
  <conditionalFormatting sqref="C13:F13">
    <cfRule type="cellIs" dxfId="1113" priority="1111" operator="equal">
      <formula>"50HzT"</formula>
    </cfRule>
    <cfRule type="cellIs" dxfId="1112" priority="1112" operator="equal">
      <formula>"TERNA"</formula>
    </cfRule>
    <cfRule type="cellIs" dxfId="1111" priority="1113" operator="equal">
      <formula>"RTE"</formula>
    </cfRule>
    <cfRule type="cellIs" dxfId="1110" priority="1114" operator="equal">
      <formula>"ELIA"</formula>
    </cfRule>
  </conditionalFormatting>
  <conditionalFormatting sqref="C13:F13">
    <cfRule type="cellIs" dxfId="1109" priority="1107" operator="equal">
      <formula>"50HzT"</formula>
    </cfRule>
    <cfRule type="cellIs" dxfId="1108" priority="1108" operator="equal">
      <formula>"TERNA"</formula>
    </cfRule>
    <cfRule type="cellIs" dxfId="1107" priority="1109" operator="equal">
      <formula>"RTE"</formula>
    </cfRule>
    <cfRule type="cellIs" dxfId="1106" priority="1110" operator="equal">
      <formula>"ELIA"</formula>
    </cfRule>
  </conditionalFormatting>
  <conditionalFormatting sqref="C13:F13">
    <cfRule type="cellIs" dxfId="1105" priority="1103" operator="equal">
      <formula>"50HzT"</formula>
    </cfRule>
    <cfRule type="cellIs" dxfId="1104" priority="1104" operator="equal">
      <formula>"TERNA"</formula>
    </cfRule>
    <cfRule type="cellIs" dxfId="1103" priority="1105" operator="equal">
      <formula>"RTE"</formula>
    </cfRule>
    <cfRule type="cellIs" dxfId="1102" priority="1106" operator="equal">
      <formula>"ELIA"</formula>
    </cfRule>
  </conditionalFormatting>
  <conditionalFormatting sqref="C13:F13">
    <cfRule type="cellIs" dxfId="1101" priority="1099" operator="equal">
      <formula>"50HzT"</formula>
    </cfRule>
    <cfRule type="cellIs" dxfId="1100" priority="1100" operator="equal">
      <formula>"TERNA"</formula>
    </cfRule>
    <cfRule type="cellIs" dxfId="1099" priority="1101" operator="equal">
      <formula>"RTE"</formula>
    </cfRule>
    <cfRule type="cellIs" dxfId="1098" priority="1102" operator="equal">
      <formula>"ELIA"</formula>
    </cfRule>
  </conditionalFormatting>
  <conditionalFormatting sqref="C13:F13">
    <cfRule type="cellIs" dxfId="1097" priority="1095" operator="equal">
      <formula>"50HzT"</formula>
    </cfRule>
    <cfRule type="cellIs" dxfId="1096" priority="1096" operator="equal">
      <formula>"TERNA"</formula>
    </cfRule>
    <cfRule type="cellIs" dxfId="1095" priority="1097" operator="equal">
      <formula>"RTE"</formula>
    </cfRule>
    <cfRule type="cellIs" dxfId="1094" priority="1098" operator="equal">
      <formula>"ELIA"</formula>
    </cfRule>
  </conditionalFormatting>
  <conditionalFormatting sqref="C13:F13">
    <cfRule type="cellIs" dxfId="1093" priority="1091" operator="equal">
      <formula>"50HzT"</formula>
    </cfRule>
    <cfRule type="cellIs" dxfId="1092" priority="1092" operator="equal">
      <formula>"TERNA"</formula>
    </cfRule>
    <cfRule type="cellIs" dxfId="1091" priority="1093" operator="equal">
      <formula>"RTE"</formula>
    </cfRule>
    <cfRule type="cellIs" dxfId="1090" priority="1094" operator="equal">
      <formula>"ELIA"</formula>
    </cfRule>
  </conditionalFormatting>
  <conditionalFormatting sqref="C13:F13">
    <cfRule type="cellIs" dxfId="1089" priority="1087" operator="equal">
      <formula>"50HzT"</formula>
    </cfRule>
    <cfRule type="cellIs" dxfId="1088" priority="1088" operator="equal">
      <formula>"TERNA"</formula>
    </cfRule>
    <cfRule type="cellIs" dxfId="1087" priority="1089" operator="equal">
      <formula>"RTE"</formula>
    </cfRule>
    <cfRule type="cellIs" dxfId="1086" priority="1090" operator="equal">
      <formula>"ELIA"</formula>
    </cfRule>
  </conditionalFormatting>
  <conditionalFormatting sqref="C13:F13">
    <cfRule type="cellIs" dxfId="1085" priority="1083" operator="equal">
      <formula>"50HzT"</formula>
    </cfRule>
    <cfRule type="cellIs" dxfId="1084" priority="1084" operator="equal">
      <formula>"TERNA"</formula>
    </cfRule>
    <cfRule type="cellIs" dxfId="1083" priority="1085" operator="equal">
      <formula>"RTE"</formula>
    </cfRule>
    <cfRule type="cellIs" dxfId="1082" priority="1086" operator="equal">
      <formula>"ELIA"</formula>
    </cfRule>
  </conditionalFormatting>
  <conditionalFormatting sqref="C13:F13">
    <cfRule type="cellIs" dxfId="1081" priority="1079" operator="equal">
      <formula>"50HzT"</formula>
    </cfRule>
    <cfRule type="cellIs" dxfId="1080" priority="1080" operator="equal">
      <formula>"TERNA"</formula>
    </cfRule>
    <cfRule type="cellIs" dxfId="1079" priority="1081" operator="equal">
      <formula>"RTE"</formula>
    </cfRule>
    <cfRule type="cellIs" dxfId="1078" priority="1082" operator="equal">
      <formula>"ELIA"</formula>
    </cfRule>
  </conditionalFormatting>
  <conditionalFormatting sqref="C13:F13">
    <cfRule type="cellIs" dxfId="1077" priority="1075" operator="equal">
      <formula>"50HzT"</formula>
    </cfRule>
    <cfRule type="cellIs" dxfId="1076" priority="1076" operator="equal">
      <formula>"TERNA"</formula>
    </cfRule>
    <cfRule type="cellIs" dxfId="1075" priority="1077" operator="equal">
      <formula>"RTE"</formula>
    </cfRule>
    <cfRule type="cellIs" dxfId="1074" priority="1078" operator="equal">
      <formula>"ELIA"</formula>
    </cfRule>
  </conditionalFormatting>
  <conditionalFormatting sqref="C13:F13">
    <cfRule type="cellIs" dxfId="1073" priority="1071" operator="equal">
      <formula>"50HzT"</formula>
    </cfRule>
    <cfRule type="cellIs" dxfId="1072" priority="1072" operator="equal">
      <formula>"TERNA"</formula>
    </cfRule>
    <cfRule type="cellIs" dxfId="1071" priority="1073" operator="equal">
      <formula>"RTE"</formula>
    </cfRule>
    <cfRule type="cellIs" dxfId="1070" priority="1074" operator="equal">
      <formula>"ELIA"</formula>
    </cfRule>
  </conditionalFormatting>
  <conditionalFormatting sqref="C13:F13">
    <cfRule type="cellIs" dxfId="1069" priority="1067" operator="equal">
      <formula>"50HzT"</formula>
    </cfRule>
    <cfRule type="cellIs" dxfId="1068" priority="1068" operator="equal">
      <formula>"TERNA"</formula>
    </cfRule>
    <cfRule type="cellIs" dxfId="1067" priority="1069" operator="equal">
      <formula>"RTE"</formula>
    </cfRule>
    <cfRule type="cellIs" dxfId="1066" priority="1070" operator="equal">
      <formula>"ELIA"</formula>
    </cfRule>
  </conditionalFormatting>
  <conditionalFormatting sqref="C13:F13">
    <cfRule type="cellIs" dxfId="1065" priority="1063" operator="equal">
      <formula>"50HzT"</formula>
    </cfRule>
    <cfRule type="cellIs" dxfId="1064" priority="1064" operator="equal">
      <formula>"TERNA"</formula>
    </cfRule>
    <cfRule type="cellIs" dxfId="1063" priority="1065" operator="equal">
      <formula>"RTE"</formula>
    </cfRule>
    <cfRule type="cellIs" dxfId="1062" priority="1066" operator="equal">
      <formula>"ELIA"</formula>
    </cfRule>
  </conditionalFormatting>
  <conditionalFormatting sqref="C13:F13">
    <cfRule type="cellIs" dxfId="1061" priority="1059" operator="equal">
      <formula>"50HzT"</formula>
    </cfRule>
    <cfRule type="cellIs" dxfId="1060" priority="1060" operator="equal">
      <formula>"TERNA"</formula>
    </cfRule>
    <cfRule type="cellIs" dxfId="1059" priority="1061" operator="equal">
      <formula>"RTE"</formula>
    </cfRule>
    <cfRule type="cellIs" dxfId="1058" priority="1062" operator="equal">
      <formula>"ELIA"</formula>
    </cfRule>
  </conditionalFormatting>
  <conditionalFormatting sqref="C13:F13">
    <cfRule type="cellIs" dxfId="1057" priority="1055" operator="equal">
      <formula>"50HzT"</formula>
    </cfRule>
    <cfRule type="cellIs" dxfId="1056" priority="1056" operator="equal">
      <formula>"TERNA"</formula>
    </cfRule>
    <cfRule type="cellIs" dxfId="1055" priority="1057" operator="equal">
      <formula>"RTE"</formula>
    </cfRule>
    <cfRule type="cellIs" dxfId="1054" priority="1058" operator="equal">
      <formula>"ELIA"</formula>
    </cfRule>
  </conditionalFormatting>
  <conditionalFormatting sqref="C13:F13">
    <cfRule type="cellIs" dxfId="1053" priority="1051" operator="equal">
      <formula>"50HzT"</formula>
    </cfRule>
    <cfRule type="cellIs" dxfId="1052" priority="1052" operator="equal">
      <formula>"TERNA"</formula>
    </cfRule>
    <cfRule type="cellIs" dxfId="1051" priority="1053" operator="equal">
      <formula>"RTE"</formula>
    </cfRule>
    <cfRule type="cellIs" dxfId="1050" priority="1054" operator="equal">
      <formula>"ELIA"</formula>
    </cfRule>
  </conditionalFormatting>
  <conditionalFormatting sqref="C13:F13">
    <cfRule type="cellIs" dxfId="1049" priority="1047" operator="equal">
      <formula>"50HzT"</formula>
    </cfRule>
    <cfRule type="cellIs" dxfId="1048" priority="1048" operator="equal">
      <formula>"TERNA"</formula>
    </cfRule>
    <cfRule type="cellIs" dxfId="1047" priority="1049" operator="equal">
      <formula>"RTE"</formula>
    </cfRule>
    <cfRule type="cellIs" dxfId="1046" priority="1050" operator="equal">
      <formula>"ELIA"</formula>
    </cfRule>
  </conditionalFormatting>
  <conditionalFormatting sqref="C13:F13">
    <cfRule type="cellIs" dxfId="1045" priority="1043" operator="equal">
      <formula>"50HzT"</formula>
    </cfRule>
    <cfRule type="cellIs" dxfId="1044" priority="1044" operator="equal">
      <formula>"TERNA"</formula>
    </cfRule>
    <cfRule type="cellIs" dxfId="1043" priority="1045" operator="equal">
      <formula>"RTE"</formula>
    </cfRule>
    <cfRule type="cellIs" dxfId="1042" priority="1046" operator="equal">
      <formula>"ELIA"</formula>
    </cfRule>
  </conditionalFormatting>
  <conditionalFormatting sqref="C13:F13">
    <cfRule type="cellIs" dxfId="1041" priority="1039" operator="equal">
      <formula>"50HzT"</formula>
    </cfRule>
    <cfRule type="cellIs" dxfId="1040" priority="1040" operator="equal">
      <formula>"TERNA"</formula>
    </cfRule>
    <cfRule type="cellIs" dxfId="1039" priority="1041" operator="equal">
      <formula>"RTE"</formula>
    </cfRule>
    <cfRule type="cellIs" dxfId="1038" priority="1042" operator="equal">
      <formula>"ELIA"</formula>
    </cfRule>
  </conditionalFormatting>
  <conditionalFormatting sqref="C13:F13">
    <cfRule type="cellIs" dxfId="1037" priority="1035" operator="equal">
      <formula>"50HzT"</formula>
    </cfRule>
    <cfRule type="cellIs" dxfId="1036" priority="1036" operator="equal">
      <formula>"TERNA"</formula>
    </cfRule>
    <cfRule type="cellIs" dxfId="1035" priority="1037" operator="equal">
      <formula>"RTE"</formula>
    </cfRule>
    <cfRule type="cellIs" dxfId="1034" priority="1038" operator="equal">
      <formula>"ELIA"</formula>
    </cfRule>
  </conditionalFormatting>
  <conditionalFormatting sqref="C13:F13">
    <cfRule type="cellIs" dxfId="1033" priority="1031" operator="equal">
      <formula>"50HzT"</formula>
    </cfRule>
    <cfRule type="cellIs" dxfId="1032" priority="1032" operator="equal">
      <formula>"TERNA"</formula>
    </cfRule>
    <cfRule type="cellIs" dxfId="1031" priority="1033" operator="equal">
      <formula>"RTE"</formula>
    </cfRule>
    <cfRule type="cellIs" dxfId="1030" priority="1034" operator="equal">
      <formula>"ELIA"</formula>
    </cfRule>
  </conditionalFormatting>
  <conditionalFormatting sqref="C13:F13">
    <cfRule type="cellIs" dxfId="1029" priority="1027" operator="equal">
      <formula>"50HzT"</formula>
    </cfRule>
    <cfRule type="cellIs" dxfId="1028" priority="1028" operator="equal">
      <formula>"TERNA"</formula>
    </cfRule>
    <cfRule type="cellIs" dxfId="1027" priority="1029" operator="equal">
      <formula>"RTE"</formula>
    </cfRule>
    <cfRule type="cellIs" dxfId="1026" priority="1030" operator="equal">
      <formula>"ELIA"</formula>
    </cfRule>
  </conditionalFormatting>
  <conditionalFormatting sqref="C13:F13">
    <cfRule type="cellIs" dxfId="1025" priority="1023" operator="equal">
      <formula>"50HzT"</formula>
    </cfRule>
    <cfRule type="cellIs" dxfId="1024" priority="1024" operator="equal">
      <formula>"TERNA"</formula>
    </cfRule>
    <cfRule type="cellIs" dxfId="1023" priority="1025" operator="equal">
      <formula>"RTE"</formula>
    </cfRule>
    <cfRule type="cellIs" dxfId="1022" priority="1026" operator="equal">
      <formula>"ELIA"</formula>
    </cfRule>
  </conditionalFormatting>
  <conditionalFormatting sqref="C13:F13">
    <cfRule type="cellIs" dxfId="1021" priority="1019" operator="equal">
      <formula>"50HzT"</formula>
    </cfRule>
    <cfRule type="cellIs" dxfId="1020" priority="1020" operator="equal">
      <formula>"TERNA"</formula>
    </cfRule>
    <cfRule type="cellIs" dxfId="1019" priority="1021" operator="equal">
      <formula>"RTE"</formula>
    </cfRule>
    <cfRule type="cellIs" dxfId="1018" priority="1022" operator="equal">
      <formula>"ELIA"</formula>
    </cfRule>
  </conditionalFormatting>
  <conditionalFormatting sqref="C13:F13">
    <cfRule type="cellIs" dxfId="1017" priority="1015" operator="equal">
      <formula>"50HzT"</formula>
    </cfRule>
    <cfRule type="cellIs" dxfId="1016" priority="1016" operator="equal">
      <formula>"TERNA"</formula>
    </cfRule>
    <cfRule type="cellIs" dxfId="1015" priority="1017" operator="equal">
      <formula>"RTE"</formula>
    </cfRule>
    <cfRule type="cellIs" dxfId="1014" priority="1018" operator="equal">
      <formula>"ELIA"</formula>
    </cfRule>
  </conditionalFormatting>
  <conditionalFormatting sqref="A7">
    <cfRule type="cellIs" dxfId="1013" priority="1011" operator="equal">
      <formula>"50HzT"</formula>
    </cfRule>
    <cfRule type="cellIs" dxfId="1012" priority="1012" operator="equal">
      <formula>"TERNA"</formula>
    </cfRule>
    <cfRule type="cellIs" dxfId="1011" priority="1013" operator="equal">
      <formula>"RTE"</formula>
    </cfRule>
    <cfRule type="cellIs" dxfId="1010" priority="1014" operator="equal">
      <formula>"ELIA"</formula>
    </cfRule>
  </conditionalFormatting>
  <conditionalFormatting sqref="B7:B8">
    <cfRule type="cellIs" dxfId="1009" priority="1007" operator="equal">
      <formula>"Transformer"</formula>
    </cfRule>
    <cfRule type="cellIs" dxfId="1008" priority="1008" operator="equal">
      <formula>"Fossil.Gen"</formula>
    </cfRule>
    <cfRule type="cellIs" dxfId="1007" priority="1009" operator="equal">
      <formula>"Hydro.Gen"</formula>
    </cfRule>
    <cfRule type="cellIs" dxfId="1006" priority="1010" operator="equal">
      <formula>"Nuc.Gen"</formula>
    </cfRule>
  </conditionalFormatting>
  <conditionalFormatting sqref="D7:D8">
    <cfRule type="timePeriod" dxfId="1005" priority="1006" timePeriod="tomorrow">
      <formula>FLOOR(D7,1)=TODAY()+1</formula>
    </cfRule>
  </conditionalFormatting>
  <conditionalFormatting sqref="E7:E8">
    <cfRule type="timePeriod" dxfId="1004" priority="1005" timePeriod="tomorrow">
      <formula>FLOOR(E7,1)=TODAY()+1</formula>
    </cfRule>
  </conditionalFormatting>
  <conditionalFormatting sqref="B13">
    <cfRule type="cellIs" dxfId="1003" priority="1001" operator="equal">
      <formula>"50HzT"</formula>
    </cfRule>
    <cfRule type="cellIs" dxfId="1002" priority="1002" operator="equal">
      <formula>"TERNA"</formula>
    </cfRule>
    <cfRule type="cellIs" dxfId="1001" priority="1003" operator="equal">
      <formula>"RTE"</formula>
    </cfRule>
    <cfRule type="cellIs" dxfId="1000" priority="1004" operator="equal">
      <formula>"ELIA"</formula>
    </cfRule>
  </conditionalFormatting>
  <conditionalFormatting sqref="C13">
    <cfRule type="cellIs" dxfId="999" priority="997" operator="equal">
      <formula>"Transformer"</formula>
    </cfRule>
    <cfRule type="cellIs" dxfId="998" priority="998" operator="equal">
      <formula>"Fossil.Gen"</formula>
    </cfRule>
    <cfRule type="cellIs" dxfId="997" priority="999" operator="equal">
      <formula>"Hydro.Gen"</formula>
    </cfRule>
    <cfRule type="cellIs" dxfId="996" priority="1000" operator="equal">
      <formula>"Nuc.Gen"</formula>
    </cfRule>
  </conditionalFormatting>
  <conditionalFormatting sqref="E13">
    <cfRule type="timePeriod" dxfId="995" priority="996" timePeriod="tomorrow">
      <formula>FLOOR(E13,1)=TODAY()+1</formula>
    </cfRule>
  </conditionalFormatting>
  <conditionalFormatting sqref="F13">
    <cfRule type="timePeriod" dxfId="994" priority="995" timePeriod="tomorrow">
      <formula>FLOOR(F13,1)=TODAY()+1</formula>
    </cfRule>
  </conditionalFormatting>
  <conditionalFormatting sqref="A7">
    <cfRule type="cellIs" dxfId="993" priority="991" operator="equal">
      <formula>"50HzT"</formula>
    </cfRule>
    <cfRule type="cellIs" dxfId="992" priority="992" operator="equal">
      <formula>"TERNA"</formula>
    </cfRule>
    <cfRule type="cellIs" dxfId="991" priority="993" operator="equal">
      <formula>"RTE"</formula>
    </cfRule>
    <cfRule type="cellIs" dxfId="990" priority="994" operator="equal">
      <formula>"ELIA"</formula>
    </cfRule>
  </conditionalFormatting>
  <conditionalFormatting sqref="B7:B8">
    <cfRule type="cellIs" dxfId="989" priority="987" operator="equal">
      <formula>"Transformer"</formula>
    </cfRule>
    <cfRule type="cellIs" dxfId="988" priority="988" operator="equal">
      <formula>"Fossil.Gen"</formula>
    </cfRule>
    <cfRule type="cellIs" dxfId="987" priority="989" operator="equal">
      <formula>"Hydro.Gen"</formula>
    </cfRule>
    <cfRule type="cellIs" dxfId="986" priority="990" operator="equal">
      <formula>"Nuc.Gen"</formula>
    </cfRule>
  </conditionalFormatting>
  <conditionalFormatting sqref="D7:D8">
    <cfRule type="timePeriod" dxfId="985" priority="986" timePeriod="tomorrow">
      <formula>FLOOR(D7,1)=TODAY()+1</formula>
    </cfRule>
  </conditionalFormatting>
  <conditionalFormatting sqref="E7:E8">
    <cfRule type="timePeriod" dxfId="984" priority="985" timePeriod="tomorrow">
      <formula>FLOOR(E7,1)=TODAY()+1</formula>
    </cfRule>
  </conditionalFormatting>
  <conditionalFormatting sqref="B13">
    <cfRule type="cellIs" dxfId="983" priority="981" operator="equal">
      <formula>"50HzT"</formula>
    </cfRule>
    <cfRule type="cellIs" dxfId="982" priority="982" operator="equal">
      <formula>"TERNA"</formula>
    </cfRule>
    <cfRule type="cellIs" dxfId="981" priority="983" operator="equal">
      <formula>"RTE"</formula>
    </cfRule>
    <cfRule type="cellIs" dxfId="980" priority="984" operator="equal">
      <formula>"ELIA"</formula>
    </cfRule>
  </conditionalFormatting>
  <conditionalFormatting sqref="C13">
    <cfRule type="cellIs" dxfId="979" priority="977" operator="equal">
      <formula>"Transformer"</formula>
    </cfRule>
    <cfRule type="cellIs" dxfId="978" priority="978" operator="equal">
      <formula>"Fossil.Gen"</formula>
    </cfRule>
    <cfRule type="cellIs" dxfId="977" priority="979" operator="equal">
      <formula>"Hydro.Gen"</formula>
    </cfRule>
    <cfRule type="cellIs" dxfId="976" priority="980" operator="equal">
      <formula>"Nuc.Gen"</formula>
    </cfRule>
  </conditionalFormatting>
  <conditionalFormatting sqref="E13">
    <cfRule type="timePeriod" dxfId="975" priority="976" timePeriod="tomorrow">
      <formula>FLOOR(E13,1)=TODAY()+1</formula>
    </cfRule>
  </conditionalFormatting>
  <conditionalFormatting sqref="F13">
    <cfRule type="timePeriod" dxfId="974" priority="975" timePeriod="tomorrow">
      <formula>FLOOR(F13,1)=TODAY()+1</formula>
    </cfRule>
  </conditionalFormatting>
  <conditionalFormatting sqref="A7">
    <cfRule type="cellIs" dxfId="973" priority="971" operator="equal">
      <formula>"50HzT"</formula>
    </cfRule>
    <cfRule type="cellIs" dxfId="972" priority="972" operator="equal">
      <formula>"TERNA"</formula>
    </cfRule>
    <cfRule type="cellIs" dxfId="971" priority="973" operator="equal">
      <formula>"RTE"</formula>
    </cfRule>
    <cfRule type="cellIs" dxfId="970" priority="974" operator="equal">
      <formula>"ELIA"</formula>
    </cfRule>
  </conditionalFormatting>
  <conditionalFormatting sqref="B7:B8">
    <cfRule type="cellIs" dxfId="969" priority="967" operator="equal">
      <formula>"Transformer"</formula>
    </cfRule>
    <cfRule type="cellIs" dxfId="968" priority="968" operator="equal">
      <formula>"Fossil.Gen"</formula>
    </cfRule>
    <cfRule type="cellIs" dxfId="967" priority="969" operator="equal">
      <formula>"Hydro.Gen"</formula>
    </cfRule>
    <cfRule type="cellIs" dxfId="966" priority="970" operator="equal">
      <formula>"Nuc.Gen"</formula>
    </cfRule>
  </conditionalFormatting>
  <conditionalFormatting sqref="D7:D8">
    <cfRule type="timePeriod" dxfId="965" priority="966" timePeriod="tomorrow">
      <formula>FLOOR(D7,1)=TODAY()+1</formula>
    </cfRule>
  </conditionalFormatting>
  <conditionalFormatting sqref="E7:E8">
    <cfRule type="timePeriod" dxfId="964" priority="965" timePeriod="tomorrow">
      <formula>FLOOR(E7,1)=TODAY()+1</formula>
    </cfRule>
  </conditionalFormatting>
  <conditionalFormatting sqref="B13">
    <cfRule type="cellIs" dxfId="963" priority="961" operator="equal">
      <formula>"50HzT"</formula>
    </cfRule>
    <cfRule type="cellIs" dxfId="962" priority="962" operator="equal">
      <formula>"TERNA"</formula>
    </cfRule>
    <cfRule type="cellIs" dxfId="961" priority="963" operator="equal">
      <formula>"RTE"</formula>
    </cfRule>
    <cfRule type="cellIs" dxfId="960" priority="964" operator="equal">
      <formula>"ELIA"</formula>
    </cfRule>
  </conditionalFormatting>
  <conditionalFormatting sqref="C13">
    <cfRule type="cellIs" dxfId="959" priority="957" operator="equal">
      <formula>"Transformer"</formula>
    </cfRule>
    <cfRule type="cellIs" dxfId="958" priority="958" operator="equal">
      <formula>"Fossil.Gen"</formula>
    </cfRule>
    <cfRule type="cellIs" dxfId="957" priority="959" operator="equal">
      <formula>"Hydro.Gen"</formula>
    </cfRule>
    <cfRule type="cellIs" dxfId="956" priority="960" operator="equal">
      <formula>"Nuc.Gen"</formula>
    </cfRule>
  </conditionalFormatting>
  <conditionalFormatting sqref="E13">
    <cfRule type="timePeriod" dxfId="955" priority="956" timePeriod="tomorrow">
      <formula>FLOOR(E13,1)=TODAY()+1</formula>
    </cfRule>
  </conditionalFormatting>
  <conditionalFormatting sqref="F13">
    <cfRule type="timePeriod" dxfId="954" priority="955" timePeriod="tomorrow">
      <formula>FLOOR(F13,1)=TODAY()+1</formula>
    </cfRule>
  </conditionalFormatting>
  <conditionalFormatting sqref="A7">
    <cfRule type="cellIs" dxfId="953" priority="951" operator="equal">
      <formula>"50HzT"</formula>
    </cfRule>
    <cfRule type="cellIs" dxfId="952" priority="952" operator="equal">
      <formula>"TERNA"</formula>
    </cfRule>
    <cfRule type="cellIs" dxfId="951" priority="953" operator="equal">
      <formula>"RTE"</formula>
    </cfRule>
    <cfRule type="cellIs" dxfId="950" priority="954" operator="equal">
      <formula>"ELIA"</formula>
    </cfRule>
  </conditionalFormatting>
  <conditionalFormatting sqref="B7:B8">
    <cfRule type="cellIs" dxfId="949" priority="947" operator="equal">
      <formula>"Transformer"</formula>
    </cfRule>
    <cfRule type="cellIs" dxfId="948" priority="948" operator="equal">
      <formula>"Fossil.Gen"</formula>
    </cfRule>
    <cfRule type="cellIs" dxfId="947" priority="949" operator="equal">
      <formula>"Hydro.Gen"</formula>
    </cfRule>
    <cfRule type="cellIs" dxfId="946" priority="950" operator="equal">
      <formula>"Nuc.Gen"</formula>
    </cfRule>
  </conditionalFormatting>
  <conditionalFormatting sqref="D7:D8">
    <cfRule type="timePeriod" dxfId="945" priority="946" timePeriod="tomorrow">
      <formula>FLOOR(D7,1)=TODAY()+1</formula>
    </cfRule>
  </conditionalFormatting>
  <conditionalFormatting sqref="E7:E8">
    <cfRule type="timePeriod" dxfId="944" priority="945" timePeriod="tomorrow">
      <formula>FLOOR(E7,1)=TODAY()+1</formula>
    </cfRule>
  </conditionalFormatting>
  <conditionalFormatting sqref="B13">
    <cfRule type="cellIs" dxfId="943" priority="941" operator="equal">
      <formula>"50HzT"</formula>
    </cfRule>
    <cfRule type="cellIs" dxfId="942" priority="942" operator="equal">
      <formula>"TERNA"</formula>
    </cfRule>
    <cfRule type="cellIs" dxfId="941" priority="943" operator="equal">
      <formula>"RTE"</formula>
    </cfRule>
    <cfRule type="cellIs" dxfId="940" priority="944" operator="equal">
      <formula>"ELIA"</formula>
    </cfRule>
  </conditionalFormatting>
  <conditionalFormatting sqref="C13">
    <cfRule type="cellIs" dxfId="939" priority="937" operator="equal">
      <formula>"Transformer"</formula>
    </cfRule>
    <cfRule type="cellIs" dxfId="938" priority="938" operator="equal">
      <formula>"Fossil.Gen"</formula>
    </cfRule>
    <cfRule type="cellIs" dxfId="937" priority="939" operator="equal">
      <formula>"Hydro.Gen"</formula>
    </cfRule>
    <cfRule type="cellIs" dxfId="936" priority="940" operator="equal">
      <formula>"Nuc.Gen"</formula>
    </cfRule>
  </conditionalFormatting>
  <conditionalFormatting sqref="E13">
    <cfRule type="timePeriod" dxfId="935" priority="936" timePeriod="tomorrow">
      <formula>FLOOR(E13,1)=TODAY()+1</formula>
    </cfRule>
  </conditionalFormatting>
  <conditionalFormatting sqref="F13">
    <cfRule type="timePeriod" dxfId="934" priority="935" timePeriod="tomorrow">
      <formula>FLOOR(F13,1)=TODAY()+1</formula>
    </cfRule>
  </conditionalFormatting>
  <conditionalFormatting sqref="A7">
    <cfRule type="cellIs" dxfId="933" priority="931" operator="equal">
      <formula>"50HzT"</formula>
    </cfRule>
    <cfRule type="cellIs" dxfId="932" priority="932" operator="equal">
      <formula>"TERNA"</formula>
    </cfRule>
    <cfRule type="cellIs" dxfId="931" priority="933" operator="equal">
      <formula>"RTE"</formula>
    </cfRule>
    <cfRule type="cellIs" dxfId="930" priority="934" operator="equal">
      <formula>"ELIA"</formula>
    </cfRule>
  </conditionalFormatting>
  <conditionalFormatting sqref="B7:B8">
    <cfRule type="cellIs" dxfId="929" priority="927" operator="equal">
      <formula>"Transformer"</formula>
    </cfRule>
    <cfRule type="cellIs" dxfId="928" priority="928" operator="equal">
      <formula>"Fossil.Gen"</formula>
    </cfRule>
    <cfRule type="cellIs" dxfId="927" priority="929" operator="equal">
      <formula>"Hydro.Gen"</formula>
    </cfRule>
    <cfRule type="cellIs" dxfId="926" priority="930" operator="equal">
      <formula>"Nuc.Gen"</formula>
    </cfRule>
  </conditionalFormatting>
  <conditionalFormatting sqref="D7:D8">
    <cfRule type="timePeriod" dxfId="925" priority="926" timePeriod="tomorrow">
      <formula>FLOOR(D7,1)=TODAY()+1</formula>
    </cfRule>
  </conditionalFormatting>
  <conditionalFormatting sqref="E7:E8">
    <cfRule type="timePeriod" dxfId="924" priority="925" timePeriod="tomorrow">
      <formula>FLOOR(E7,1)=TODAY()+1</formula>
    </cfRule>
  </conditionalFormatting>
  <conditionalFormatting sqref="B13">
    <cfRule type="cellIs" dxfId="923" priority="921" operator="equal">
      <formula>"50HzT"</formula>
    </cfRule>
    <cfRule type="cellIs" dxfId="922" priority="922" operator="equal">
      <formula>"TERNA"</formula>
    </cfRule>
    <cfRule type="cellIs" dxfId="921" priority="923" operator="equal">
      <formula>"RTE"</formula>
    </cfRule>
    <cfRule type="cellIs" dxfId="920" priority="924" operator="equal">
      <formula>"ELIA"</formula>
    </cfRule>
  </conditionalFormatting>
  <conditionalFormatting sqref="C13">
    <cfRule type="cellIs" dxfId="919" priority="917" operator="equal">
      <formula>"Transformer"</formula>
    </cfRule>
    <cfRule type="cellIs" dxfId="918" priority="918" operator="equal">
      <formula>"Fossil.Gen"</formula>
    </cfRule>
    <cfRule type="cellIs" dxfId="917" priority="919" operator="equal">
      <formula>"Hydro.Gen"</formula>
    </cfRule>
    <cfRule type="cellIs" dxfId="916" priority="920" operator="equal">
      <formula>"Nuc.Gen"</formula>
    </cfRule>
  </conditionalFormatting>
  <conditionalFormatting sqref="E13">
    <cfRule type="timePeriod" dxfId="915" priority="916" timePeriod="tomorrow">
      <formula>FLOOR(E13,1)=TODAY()+1</formula>
    </cfRule>
  </conditionalFormatting>
  <conditionalFormatting sqref="F13">
    <cfRule type="timePeriod" dxfId="914" priority="915" timePeriod="tomorrow">
      <formula>FLOOR(F13,1)=TODAY()+1</formula>
    </cfRule>
  </conditionalFormatting>
  <conditionalFormatting sqref="A7">
    <cfRule type="cellIs" dxfId="913" priority="911" operator="equal">
      <formula>"50HzT"</formula>
    </cfRule>
    <cfRule type="cellIs" dxfId="912" priority="912" operator="equal">
      <formula>"TERNA"</formula>
    </cfRule>
    <cfRule type="cellIs" dxfId="911" priority="913" operator="equal">
      <formula>"RTE"</formula>
    </cfRule>
    <cfRule type="cellIs" dxfId="910" priority="914" operator="equal">
      <formula>"ELIA"</formula>
    </cfRule>
  </conditionalFormatting>
  <conditionalFormatting sqref="B7:B8">
    <cfRule type="cellIs" dxfId="909" priority="907" operator="equal">
      <formula>"Transformer"</formula>
    </cfRule>
    <cfRule type="cellIs" dxfId="908" priority="908" operator="equal">
      <formula>"Fossil.Gen"</formula>
    </cfRule>
    <cfRule type="cellIs" dxfId="907" priority="909" operator="equal">
      <formula>"Hydro.Gen"</formula>
    </cfRule>
    <cfRule type="cellIs" dxfId="906" priority="910" operator="equal">
      <formula>"Nuc.Gen"</formula>
    </cfRule>
  </conditionalFormatting>
  <conditionalFormatting sqref="D7:D8">
    <cfRule type="timePeriod" dxfId="905" priority="906" timePeriod="tomorrow">
      <formula>FLOOR(D7,1)=TODAY()+1</formula>
    </cfRule>
  </conditionalFormatting>
  <conditionalFormatting sqref="E7:E8">
    <cfRule type="timePeriod" dxfId="904" priority="905" timePeriod="tomorrow">
      <formula>FLOOR(E7,1)=TODAY()+1</formula>
    </cfRule>
  </conditionalFormatting>
  <conditionalFormatting sqref="B13">
    <cfRule type="cellIs" dxfId="903" priority="901" operator="equal">
      <formula>"50HzT"</formula>
    </cfRule>
    <cfRule type="cellIs" dxfId="902" priority="902" operator="equal">
      <formula>"TERNA"</formula>
    </cfRule>
    <cfRule type="cellIs" dxfId="901" priority="903" operator="equal">
      <formula>"RTE"</formula>
    </cfRule>
    <cfRule type="cellIs" dxfId="900" priority="904" operator="equal">
      <formula>"ELIA"</formula>
    </cfRule>
  </conditionalFormatting>
  <conditionalFormatting sqref="C13">
    <cfRule type="cellIs" dxfId="899" priority="897" operator="equal">
      <formula>"Transformer"</formula>
    </cfRule>
    <cfRule type="cellIs" dxfId="898" priority="898" operator="equal">
      <formula>"Fossil.Gen"</formula>
    </cfRule>
    <cfRule type="cellIs" dxfId="897" priority="899" operator="equal">
      <formula>"Hydro.Gen"</formula>
    </cfRule>
    <cfRule type="cellIs" dxfId="896" priority="900" operator="equal">
      <formula>"Nuc.Gen"</formula>
    </cfRule>
  </conditionalFormatting>
  <conditionalFormatting sqref="E13">
    <cfRule type="timePeriod" dxfId="895" priority="896" timePeriod="tomorrow">
      <formula>FLOOR(E13,1)=TODAY()+1</formula>
    </cfRule>
  </conditionalFormatting>
  <conditionalFormatting sqref="F13">
    <cfRule type="timePeriod" dxfId="894" priority="895" timePeriod="tomorrow">
      <formula>FLOOR(F13,1)=TODAY()+1</formula>
    </cfRule>
  </conditionalFormatting>
  <conditionalFormatting sqref="A7">
    <cfRule type="cellIs" dxfId="893" priority="891" operator="equal">
      <formula>"50HzT"</formula>
    </cfRule>
    <cfRule type="cellIs" dxfId="892" priority="892" operator="equal">
      <formula>"TERNA"</formula>
    </cfRule>
    <cfRule type="cellIs" dxfId="891" priority="893" operator="equal">
      <formula>"RTE"</formula>
    </cfRule>
    <cfRule type="cellIs" dxfId="890" priority="894" operator="equal">
      <formula>"ELIA"</formula>
    </cfRule>
  </conditionalFormatting>
  <conditionalFormatting sqref="B7:B8">
    <cfRule type="cellIs" dxfId="889" priority="887" operator="equal">
      <formula>"Transformer"</formula>
    </cfRule>
    <cfRule type="cellIs" dxfId="888" priority="888" operator="equal">
      <formula>"Fossil.Gen"</formula>
    </cfRule>
    <cfRule type="cellIs" dxfId="887" priority="889" operator="equal">
      <formula>"Hydro.Gen"</formula>
    </cfRule>
    <cfRule type="cellIs" dxfId="886" priority="890" operator="equal">
      <formula>"Nuc.Gen"</formula>
    </cfRule>
  </conditionalFormatting>
  <conditionalFormatting sqref="D7:D8">
    <cfRule type="timePeriod" dxfId="885" priority="886" timePeriod="tomorrow">
      <formula>FLOOR(D7,1)=TODAY()+1</formula>
    </cfRule>
  </conditionalFormatting>
  <conditionalFormatting sqref="E7:E8">
    <cfRule type="timePeriod" dxfId="884" priority="885" timePeriod="tomorrow">
      <formula>FLOOR(E7,1)=TODAY()+1</formula>
    </cfRule>
  </conditionalFormatting>
  <conditionalFormatting sqref="B13">
    <cfRule type="cellIs" dxfId="883" priority="881" operator="equal">
      <formula>"50HzT"</formula>
    </cfRule>
    <cfRule type="cellIs" dxfId="882" priority="882" operator="equal">
      <formula>"TERNA"</formula>
    </cfRule>
    <cfRule type="cellIs" dxfId="881" priority="883" operator="equal">
      <formula>"RTE"</formula>
    </cfRule>
    <cfRule type="cellIs" dxfId="880" priority="884" operator="equal">
      <formula>"ELIA"</formula>
    </cfRule>
  </conditionalFormatting>
  <conditionalFormatting sqref="C13">
    <cfRule type="cellIs" dxfId="879" priority="877" operator="equal">
      <formula>"Transformer"</formula>
    </cfRule>
    <cfRule type="cellIs" dxfId="878" priority="878" operator="equal">
      <formula>"Fossil.Gen"</formula>
    </cfRule>
    <cfRule type="cellIs" dxfId="877" priority="879" operator="equal">
      <formula>"Hydro.Gen"</formula>
    </cfRule>
    <cfRule type="cellIs" dxfId="876" priority="880" operator="equal">
      <formula>"Nuc.Gen"</formula>
    </cfRule>
  </conditionalFormatting>
  <conditionalFormatting sqref="E13">
    <cfRule type="timePeriod" dxfId="875" priority="876" timePeriod="tomorrow">
      <formula>FLOOR(E13,1)=TODAY()+1</formula>
    </cfRule>
  </conditionalFormatting>
  <conditionalFormatting sqref="F13">
    <cfRule type="timePeriod" dxfId="874" priority="875" timePeriod="tomorrow">
      <formula>FLOOR(F13,1)=TODAY()+1</formula>
    </cfRule>
  </conditionalFormatting>
  <conditionalFormatting sqref="A7">
    <cfRule type="cellIs" dxfId="873" priority="871" operator="equal">
      <formula>"50HzT"</formula>
    </cfRule>
    <cfRule type="cellIs" dxfId="872" priority="872" operator="equal">
      <formula>"TERNA"</formula>
    </cfRule>
    <cfRule type="cellIs" dxfId="871" priority="873" operator="equal">
      <formula>"RTE"</formula>
    </cfRule>
    <cfRule type="cellIs" dxfId="870" priority="874" operator="equal">
      <formula>"ELIA"</formula>
    </cfRule>
  </conditionalFormatting>
  <conditionalFormatting sqref="B7:B8">
    <cfRule type="cellIs" dxfId="869" priority="867" operator="equal">
      <formula>"Transformer"</formula>
    </cfRule>
    <cfRule type="cellIs" dxfId="868" priority="868" operator="equal">
      <formula>"Fossil.Gen"</formula>
    </cfRule>
    <cfRule type="cellIs" dxfId="867" priority="869" operator="equal">
      <formula>"Hydro.Gen"</formula>
    </cfRule>
    <cfRule type="cellIs" dxfId="866" priority="870" operator="equal">
      <formula>"Nuc.Gen"</formula>
    </cfRule>
  </conditionalFormatting>
  <conditionalFormatting sqref="D7:D8">
    <cfRule type="timePeriod" dxfId="865" priority="866" timePeriod="tomorrow">
      <formula>FLOOR(D7,1)=TODAY()+1</formula>
    </cfRule>
  </conditionalFormatting>
  <conditionalFormatting sqref="E7:E8">
    <cfRule type="timePeriod" dxfId="864" priority="865" timePeriod="tomorrow">
      <formula>FLOOR(E7,1)=TODAY()+1</formula>
    </cfRule>
  </conditionalFormatting>
  <conditionalFormatting sqref="B13">
    <cfRule type="cellIs" dxfId="863" priority="861" operator="equal">
      <formula>"50HzT"</formula>
    </cfRule>
    <cfRule type="cellIs" dxfId="862" priority="862" operator="equal">
      <formula>"TERNA"</formula>
    </cfRule>
    <cfRule type="cellIs" dxfId="861" priority="863" operator="equal">
      <formula>"RTE"</formula>
    </cfRule>
    <cfRule type="cellIs" dxfId="860" priority="864" operator="equal">
      <formula>"ELIA"</formula>
    </cfRule>
  </conditionalFormatting>
  <conditionalFormatting sqref="C13">
    <cfRule type="cellIs" dxfId="859" priority="857" operator="equal">
      <formula>"Transformer"</formula>
    </cfRule>
    <cfRule type="cellIs" dxfId="858" priority="858" operator="equal">
      <formula>"Fossil.Gen"</formula>
    </cfRule>
    <cfRule type="cellIs" dxfId="857" priority="859" operator="equal">
      <formula>"Hydro.Gen"</formula>
    </cfRule>
    <cfRule type="cellIs" dxfId="856" priority="860" operator="equal">
      <formula>"Nuc.Gen"</formula>
    </cfRule>
  </conditionalFormatting>
  <conditionalFormatting sqref="E13">
    <cfRule type="timePeriod" dxfId="855" priority="856" timePeriod="tomorrow">
      <formula>FLOOR(E13,1)=TODAY()+1</formula>
    </cfRule>
  </conditionalFormatting>
  <conditionalFormatting sqref="F13">
    <cfRule type="timePeriod" dxfId="854" priority="855" timePeriod="tomorrow">
      <formula>FLOOR(F13,1)=TODAY()+1</formula>
    </cfRule>
  </conditionalFormatting>
  <conditionalFormatting sqref="A7">
    <cfRule type="cellIs" dxfId="853" priority="851" operator="equal">
      <formula>"50HzT"</formula>
    </cfRule>
    <cfRule type="cellIs" dxfId="852" priority="852" operator="equal">
      <formula>"TERNA"</formula>
    </cfRule>
    <cfRule type="cellIs" dxfId="851" priority="853" operator="equal">
      <formula>"RTE"</formula>
    </cfRule>
    <cfRule type="cellIs" dxfId="850" priority="854" operator="equal">
      <formula>"ELIA"</formula>
    </cfRule>
  </conditionalFormatting>
  <conditionalFormatting sqref="B7:B8">
    <cfRule type="cellIs" dxfId="849" priority="847" operator="equal">
      <formula>"Transformer"</formula>
    </cfRule>
    <cfRule type="cellIs" dxfId="848" priority="848" operator="equal">
      <formula>"Fossil.Gen"</formula>
    </cfRule>
    <cfRule type="cellIs" dxfId="847" priority="849" operator="equal">
      <formula>"Hydro.Gen"</formula>
    </cfRule>
    <cfRule type="cellIs" dxfId="846" priority="850" operator="equal">
      <formula>"Nuc.Gen"</formula>
    </cfRule>
  </conditionalFormatting>
  <conditionalFormatting sqref="D7:D8">
    <cfRule type="timePeriod" dxfId="845" priority="846" timePeriod="tomorrow">
      <formula>FLOOR(D7,1)=TODAY()+1</formula>
    </cfRule>
  </conditionalFormatting>
  <conditionalFormatting sqref="E7:E8">
    <cfRule type="timePeriod" dxfId="844" priority="845" timePeriod="tomorrow">
      <formula>FLOOR(E7,1)=TODAY()+1</formula>
    </cfRule>
  </conditionalFormatting>
  <conditionalFormatting sqref="B13">
    <cfRule type="cellIs" dxfId="843" priority="841" operator="equal">
      <formula>"50HzT"</formula>
    </cfRule>
    <cfRule type="cellIs" dxfId="842" priority="842" operator="equal">
      <formula>"TERNA"</formula>
    </cfRule>
    <cfRule type="cellIs" dxfId="841" priority="843" operator="equal">
      <formula>"RTE"</formula>
    </cfRule>
    <cfRule type="cellIs" dxfId="840" priority="844" operator="equal">
      <formula>"ELIA"</formula>
    </cfRule>
  </conditionalFormatting>
  <conditionalFormatting sqref="C13">
    <cfRule type="cellIs" dxfId="839" priority="837" operator="equal">
      <formula>"Transformer"</formula>
    </cfRule>
    <cfRule type="cellIs" dxfId="838" priority="838" operator="equal">
      <formula>"Fossil.Gen"</formula>
    </cfRule>
    <cfRule type="cellIs" dxfId="837" priority="839" operator="equal">
      <formula>"Hydro.Gen"</formula>
    </cfRule>
    <cfRule type="cellIs" dxfId="836" priority="840" operator="equal">
      <formula>"Nuc.Gen"</formula>
    </cfRule>
  </conditionalFormatting>
  <conditionalFormatting sqref="E13">
    <cfRule type="timePeriod" dxfId="835" priority="836" timePeriod="tomorrow">
      <formula>FLOOR(E13,1)=TODAY()+1</formula>
    </cfRule>
  </conditionalFormatting>
  <conditionalFormatting sqref="F13">
    <cfRule type="timePeriod" dxfId="834" priority="835" timePeriod="tomorrow">
      <formula>FLOOR(F13,1)=TODAY()+1</formula>
    </cfRule>
  </conditionalFormatting>
  <conditionalFormatting sqref="A7">
    <cfRule type="cellIs" dxfId="833" priority="831" operator="equal">
      <formula>"50HzT"</formula>
    </cfRule>
    <cfRule type="cellIs" dxfId="832" priority="832" operator="equal">
      <formula>"TERNA"</formula>
    </cfRule>
    <cfRule type="cellIs" dxfId="831" priority="833" operator="equal">
      <formula>"RTE"</formula>
    </cfRule>
    <cfRule type="cellIs" dxfId="830" priority="834" operator="equal">
      <formula>"ELIA"</formula>
    </cfRule>
  </conditionalFormatting>
  <conditionalFormatting sqref="B7:B8">
    <cfRule type="cellIs" dxfId="829" priority="827" operator="equal">
      <formula>"Transformer"</formula>
    </cfRule>
    <cfRule type="cellIs" dxfId="828" priority="828" operator="equal">
      <formula>"Fossil.Gen"</formula>
    </cfRule>
    <cfRule type="cellIs" dxfId="827" priority="829" operator="equal">
      <formula>"Hydro.Gen"</formula>
    </cfRule>
    <cfRule type="cellIs" dxfId="826" priority="830" operator="equal">
      <formula>"Nuc.Gen"</formula>
    </cfRule>
  </conditionalFormatting>
  <conditionalFormatting sqref="D7:D8">
    <cfRule type="timePeriod" dxfId="825" priority="826" timePeriod="tomorrow">
      <formula>FLOOR(D7,1)=TODAY()+1</formula>
    </cfRule>
  </conditionalFormatting>
  <conditionalFormatting sqref="E7:E8">
    <cfRule type="timePeriod" dxfId="824" priority="825" timePeriod="tomorrow">
      <formula>FLOOR(E7,1)=TODAY()+1</formula>
    </cfRule>
  </conditionalFormatting>
  <conditionalFormatting sqref="B13">
    <cfRule type="cellIs" dxfId="823" priority="821" operator="equal">
      <formula>"50HzT"</formula>
    </cfRule>
    <cfRule type="cellIs" dxfId="822" priority="822" operator="equal">
      <formula>"TERNA"</formula>
    </cfRule>
    <cfRule type="cellIs" dxfId="821" priority="823" operator="equal">
      <formula>"RTE"</formula>
    </cfRule>
    <cfRule type="cellIs" dxfId="820" priority="824" operator="equal">
      <formula>"ELIA"</formula>
    </cfRule>
  </conditionalFormatting>
  <conditionalFormatting sqref="C13">
    <cfRule type="cellIs" dxfId="819" priority="817" operator="equal">
      <formula>"Transformer"</formula>
    </cfRule>
    <cfRule type="cellIs" dxfId="818" priority="818" operator="equal">
      <formula>"Fossil.Gen"</formula>
    </cfRule>
    <cfRule type="cellIs" dxfId="817" priority="819" operator="equal">
      <formula>"Hydro.Gen"</formula>
    </cfRule>
    <cfRule type="cellIs" dxfId="816" priority="820" operator="equal">
      <formula>"Nuc.Gen"</formula>
    </cfRule>
  </conditionalFormatting>
  <conditionalFormatting sqref="E13">
    <cfRule type="timePeriod" dxfId="815" priority="816" timePeriod="tomorrow">
      <formula>FLOOR(E13,1)=TODAY()+1</formula>
    </cfRule>
  </conditionalFormatting>
  <conditionalFormatting sqref="F13">
    <cfRule type="timePeriod" dxfId="814" priority="815" timePeriod="tomorrow">
      <formula>FLOOR(F13,1)=TODAY()+1</formula>
    </cfRule>
  </conditionalFormatting>
  <conditionalFormatting sqref="A7">
    <cfRule type="cellIs" dxfId="813" priority="811" operator="equal">
      <formula>"50HzT"</formula>
    </cfRule>
    <cfRule type="cellIs" dxfId="812" priority="812" operator="equal">
      <formula>"TERNA"</formula>
    </cfRule>
    <cfRule type="cellIs" dxfId="811" priority="813" operator="equal">
      <formula>"RTE"</formula>
    </cfRule>
    <cfRule type="cellIs" dxfId="810" priority="814" operator="equal">
      <formula>"ELIA"</formula>
    </cfRule>
  </conditionalFormatting>
  <conditionalFormatting sqref="B7:B8">
    <cfRule type="cellIs" dxfId="809" priority="807" operator="equal">
      <formula>"Transformer"</formula>
    </cfRule>
    <cfRule type="cellIs" dxfId="808" priority="808" operator="equal">
      <formula>"Fossil.Gen"</formula>
    </cfRule>
    <cfRule type="cellIs" dxfId="807" priority="809" operator="equal">
      <formula>"Hydro.Gen"</formula>
    </cfRule>
    <cfRule type="cellIs" dxfId="806" priority="810" operator="equal">
      <formula>"Nuc.Gen"</formula>
    </cfRule>
  </conditionalFormatting>
  <conditionalFormatting sqref="D7:D8">
    <cfRule type="timePeriod" dxfId="805" priority="806" timePeriod="tomorrow">
      <formula>FLOOR(D7,1)=TODAY()+1</formula>
    </cfRule>
  </conditionalFormatting>
  <conditionalFormatting sqref="E7:E8">
    <cfRule type="timePeriod" dxfId="804" priority="805" timePeriod="tomorrow">
      <formula>FLOOR(E7,1)=TODAY()+1</formula>
    </cfRule>
  </conditionalFormatting>
  <conditionalFormatting sqref="B13">
    <cfRule type="cellIs" dxfId="803" priority="801" operator="equal">
      <formula>"50HzT"</formula>
    </cfRule>
    <cfRule type="cellIs" dxfId="802" priority="802" operator="equal">
      <formula>"TERNA"</formula>
    </cfRule>
    <cfRule type="cellIs" dxfId="801" priority="803" operator="equal">
      <formula>"RTE"</formula>
    </cfRule>
    <cfRule type="cellIs" dxfId="800" priority="804" operator="equal">
      <formula>"ELIA"</formula>
    </cfRule>
  </conditionalFormatting>
  <conditionalFormatting sqref="C13">
    <cfRule type="cellIs" dxfId="799" priority="797" operator="equal">
      <formula>"Transformer"</formula>
    </cfRule>
    <cfRule type="cellIs" dxfId="798" priority="798" operator="equal">
      <formula>"Fossil.Gen"</formula>
    </cfRule>
    <cfRule type="cellIs" dxfId="797" priority="799" operator="equal">
      <formula>"Hydro.Gen"</formula>
    </cfRule>
    <cfRule type="cellIs" dxfId="796" priority="800" operator="equal">
      <formula>"Nuc.Gen"</formula>
    </cfRule>
  </conditionalFormatting>
  <conditionalFormatting sqref="E13">
    <cfRule type="timePeriod" dxfId="795" priority="796" timePeriod="tomorrow">
      <formula>FLOOR(E13,1)=TODAY()+1</formula>
    </cfRule>
  </conditionalFormatting>
  <conditionalFormatting sqref="F13">
    <cfRule type="timePeriod" dxfId="794" priority="795" timePeriod="tomorrow">
      <formula>FLOOR(F13,1)=TODAY()+1</formula>
    </cfRule>
  </conditionalFormatting>
  <conditionalFormatting sqref="A7">
    <cfRule type="cellIs" dxfId="793" priority="791" operator="equal">
      <formula>"50HzT"</formula>
    </cfRule>
    <cfRule type="cellIs" dxfId="792" priority="792" operator="equal">
      <formula>"TERNA"</formula>
    </cfRule>
    <cfRule type="cellIs" dxfId="791" priority="793" operator="equal">
      <formula>"RTE"</formula>
    </cfRule>
    <cfRule type="cellIs" dxfId="790" priority="794" operator="equal">
      <formula>"ELIA"</formula>
    </cfRule>
  </conditionalFormatting>
  <conditionalFormatting sqref="B7:B8">
    <cfRule type="cellIs" dxfId="789" priority="787" operator="equal">
      <formula>"Transformer"</formula>
    </cfRule>
    <cfRule type="cellIs" dxfId="788" priority="788" operator="equal">
      <formula>"Fossil.Gen"</formula>
    </cfRule>
    <cfRule type="cellIs" dxfId="787" priority="789" operator="equal">
      <formula>"Hydro.Gen"</formula>
    </cfRule>
    <cfRule type="cellIs" dxfId="786" priority="790" operator="equal">
      <formula>"Nuc.Gen"</formula>
    </cfRule>
  </conditionalFormatting>
  <conditionalFormatting sqref="D7:D8">
    <cfRule type="timePeriod" dxfId="785" priority="786" timePeriod="tomorrow">
      <formula>FLOOR(D7,1)=TODAY()+1</formula>
    </cfRule>
  </conditionalFormatting>
  <conditionalFormatting sqref="E7:E8">
    <cfRule type="timePeriod" dxfId="784" priority="785" timePeriod="tomorrow">
      <formula>FLOOR(E7,1)=TODAY()+1</formula>
    </cfRule>
  </conditionalFormatting>
  <conditionalFormatting sqref="B13">
    <cfRule type="cellIs" dxfId="783" priority="781" operator="equal">
      <formula>"50HzT"</formula>
    </cfRule>
    <cfRule type="cellIs" dxfId="782" priority="782" operator="equal">
      <formula>"TERNA"</formula>
    </cfRule>
    <cfRule type="cellIs" dxfId="781" priority="783" operator="equal">
      <formula>"RTE"</formula>
    </cfRule>
    <cfRule type="cellIs" dxfId="780" priority="784" operator="equal">
      <formula>"ELIA"</formula>
    </cfRule>
  </conditionalFormatting>
  <conditionalFormatting sqref="C13">
    <cfRule type="cellIs" dxfId="779" priority="777" operator="equal">
      <formula>"Transformer"</formula>
    </cfRule>
    <cfRule type="cellIs" dxfId="778" priority="778" operator="equal">
      <formula>"Fossil.Gen"</formula>
    </cfRule>
    <cfRule type="cellIs" dxfId="777" priority="779" operator="equal">
      <formula>"Hydro.Gen"</formula>
    </cfRule>
    <cfRule type="cellIs" dxfId="776" priority="780" operator="equal">
      <formula>"Nuc.Gen"</formula>
    </cfRule>
  </conditionalFormatting>
  <conditionalFormatting sqref="E13">
    <cfRule type="timePeriod" dxfId="775" priority="776" timePeriod="tomorrow">
      <formula>FLOOR(E13,1)=TODAY()+1</formula>
    </cfRule>
  </conditionalFormatting>
  <conditionalFormatting sqref="F13">
    <cfRule type="timePeriod" dxfId="774" priority="775" timePeriod="tomorrow">
      <formula>FLOOR(F13,1)=TODAY()+1</formula>
    </cfRule>
  </conditionalFormatting>
  <conditionalFormatting sqref="A7">
    <cfRule type="cellIs" dxfId="773" priority="771" operator="equal">
      <formula>"50HzT"</formula>
    </cfRule>
    <cfRule type="cellIs" dxfId="772" priority="772" operator="equal">
      <formula>"TERNA"</formula>
    </cfRule>
    <cfRule type="cellIs" dxfId="771" priority="773" operator="equal">
      <formula>"RTE"</formula>
    </cfRule>
    <cfRule type="cellIs" dxfId="770" priority="774" operator="equal">
      <formula>"ELIA"</formula>
    </cfRule>
  </conditionalFormatting>
  <conditionalFormatting sqref="B7:B8">
    <cfRule type="cellIs" dxfId="769" priority="767" operator="equal">
      <formula>"Transformer"</formula>
    </cfRule>
    <cfRule type="cellIs" dxfId="768" priority="768" operator="equal">
      <formula>"Fossil.Gen"</formula>
    </cfRule>
    <cfRule type="cellIs" dxfId="767" priority="769" operator="equal">
      <formula>"Hydro.Gen"</formula>
    </cfRule>
    <cfRule type="cellIs" dxfId="766" priority="770" operator="equal">
      <formula>"Nuc.Gen"</formula>
    </cfRule>
  </conditionalFormatting>
  <conditionalFormatting sqref="D7:D8">
    <cfRule type="timePeriod" dxfId="765" priority="766" timePeriod="tomorrow">
      <formula>FLOOR(D7,1)=TODAY()+1</formula>
    </cfRule>
  </conditionalFormatting>
  <conditionalFormatting sqref="E7:E8">
    <cfRule type="timePeriod" dxfId="764" priority="765" timePeriod="tomorrow">
      <formula>FLOOR(E7,1)=TODAY()+1</formula>
    </cfRule>
  </conditionalFormatting>
  <conditionalFormatting sqref="B13">
    <cfRule type="cellIs" dxfId="763" priority="761" operator="equal">
      <formula>"50HzT"</formula>
    </cfRule>
    <cfRule type="cellIs" dxfId="762" priority="762" operator="equal">
      <formula>"TERNA"</formula>
    </cfRule>
    <cfRule type="cellIs" dxfId="761" priority="763" operator="equal">
      <formula>"RTE"</formula>
    </cfRule>
    <cfRule type="cellIs" dxfId="760" priority="764" operator="equal">
      <formula>"ELIA"</formula>
    </cfRule>
  </conditionalFormatting>
  <conditionalFormatting sqref="C13">
    <cfRule type="cellIs" dxfId="759" priority="757" operator="equal">
      <formula>"Transformer"</formula>
    </cfRule>
    <cfRule type="cellIs" dxfId="758" priority="758" operator="equal">
      <formula>"Fossil.Gen"</formula>
    </cfRule>
    <cfRule type="cellIs" dxfId="757" priority="759" operator="equal">
      <formula>"Hydro.Gen"</formula>
    </cfRule>
    <cfRule type="cellIs" dxfId="756" priority="760" operator="equal">
      <formula>"Nuc.Gen"</formula>
    </cfRule>
  </conditionalFormatting>
  <conditionalFormatting sqref="E13">
    <cfRule type="timePeriod" dxfId="755" priority="756" timePeriod="tomorrow">
      <formula>FLOOR(E13,1)=TODAY()+1</formula>
    </cfRule>
  </conditionalFormatting>
  <conditionalFormatting sqref="F13">
    <cfRule type="timePeriod" dxfId="754" priority="755" timePeriod="tomorrow">
      <formula>FLOOR(F13,1)=TODAY()+1</formula>
    </cfRule>
  </conditionalFormatting>
  <conditionalFormatting sqref="A7">
    <cfRule type="cellIs" dxfId="753" priority="751" operator="equal">
      <formula>"50HzT"</formula>
    </cfRule>
    <cfRule type="cellIs" dxfId="752" priority="752" operator="equal">
      <formula>"TERNA"</formula>
    </cfRule>
    <cfRule type="cellIs" dxfId="751" priority="753" operator="equal">
      <formula>"RTE"</formula>
    </cfRule>
    <cfRule type="cellIs" dxfId="750" priority="754" operator="equal">
      <formula>"ELIA"</formula>
    </cfRule>
  </conditionalFormatting>
  <conditionalFormatting sqref="B7:B8">
    <cfRule type="cellIs" dxfId="749" priority="747" operator="equal">
      <formula>"Transformer"</formula>
    </cfRule>
    <cfRule type="cellIs" dxfId="748" priority="748" operator="equal">
      <formula>"Fossil.Gen"</formula>
    </cfRule>
    <cfRule type="cellIs" dxfId="747" priority="749" operator="equal">
      <formula>"Hydro.Gen"</formula>
    </cfRule>
    <cfRule type="cellIs" dxfId="746" priority="750" operator="equal">
      <formula>"Nuc.Gen"</formula>
    </cfRule>
  </conditionalFormatting>
  <conditionalFormatting sqref="D7:D8">
    <cfRule type="timePeriod" dxfId="745" priority="746" timePeriod="tomorrow">
      <formula>FLOOR(D7,1)=TODAY()+1</formula>
    </cfRule>
  </conditionalFormatting>
  <conditionalFormatting sqref="E7:E8">
    <cfRule type="timePeriod" dxfId="744" priority="745" timePeriod="tomorrow">
      <formula>FLOOR(E7,1)=TODAY()+1</formula>
    </cfRule>
  </conditionalFormatting>
  <conditionalFormatting sqref="B13">
    <cfRule type="cellIs" dxfId="743" priority="741" operator="equal">
      <formula>"50HzT"</formula>
    </cfRule>
    <cfRule type="cellIs" dxfId="742" priority="742" operator="equal">
      <formula>"TERNA"</formula>
    </cfRule>
    <cfRule type="cellIs" dxfId="741" priority="743" operator="equal">
      <formula>"RTE"</formula>
    </cfRule>
    <cfRule type="cellIs" dxfId="740" priority="744" operator="equal">
      <formula>"ELIA"</formula>
    </cfRule>
  </conditionalFormatting>
  <conditionalFormatting sqref="C13">
    <cfRule type="cellIs" dxfId="739" priority="737" operator="equal">
      <formula>"Transformer"</formula>
    </cfRule>
    <cfRule type="cellIs" dxfId="738" priority="738" operator="equal">
      <formula>"Fossil.Gen"</formula>
    </cfRule>
    <cfRule type="cellIs" dxfId="737" priority="739" operator="equal">
      <formula>"Hydro.Gen"</formula>
    </cfRule>
    <cfRule type="cellIs" dxfId="736" priority="740" operator="equal">
      <formula>"Nuc.Gen"</formula>
    </cfRule>
  </conditionalFormatting>
  <conditionalFormatting sqref="E13">
    <cfRule type="timePeriod" dxfId="735" priority="736" timePeriod="tomorrow">
      <formula>FLOOR(E13,1)=TODAY()+1</formula>
    </cfRule>
  </conditionalFormatting>
  <conditionalFormatting sqref="F13">
    <cfRule type="timePeriod" dxfId="734" priority="735" timePeriod="tomorrow">
      <formula>FLOOR(F13,1)=TODAY()+1</formula>
    </cfRule>
  </conditionalFormatting>
  <conditionalFormatting sqref="A7">
    <cfRule type="cellIs" dxfId="733" priority="731" operator="equal">
      <formula>"50HzT"</formula>
    </cfRule>
    <cfRule type="cellIs" dxfId="732" priority="732" operator="equal">
      <formula>"TERNA"</formula>
    </cfRule>
    <cfRule type="cellIs" dxfId="731" priority="733" operator="equal">
      <formula>"RTE"</formula>
    </cfRule>
    <cfRule type="cellIs" dxfId="730" priority="734" operator="equal">
      <formula>"ELIA"</formula>
    </cfRule>
  </conditionalFormatting>
  <conditionalFormatting sqref="B7:B8">
    <cfRule type="cellIs" dxfId="729" priority="727" operator="equal">
      <formula>"Transformer"</formula>
    </cfRule>
    <cfRule type="cellIs" dxfId="728" priority="728" operator="equal">
      <formula>"Fossil.Gen"</formula>
    </cfRule>
    <cfRule type="cellIs" dxfId="727" priority="729" operator="equal">
      <formula>"Hydro.Gen"</formula>
    </cfRule>
    <cfRule type="cellIs" dxfId="726" priority="730" operator="equal">
      <formula>"Nuc.Gen"</formula>
    </cfRule>
  </conditionalFormatting>
  <conditionalFormatting sqref="D7:D8">
    <cfRule type="timePeriod" dxfId="725" priority="726" timePeriod="tomorrow">
      <formula>FLOOR(D7,1)=TODAY()+1</formula>
    </cfRule>
  </conditionalFormatting>
  <conditionalFormatting sqref="E7:E8">
    <cfRule type="timePeriod" dxfId="724" priority="725" timePeriod="tomorrow">
      <formula>FLOOR(E7,1)=TODAY()+1</formula>
    </cfRule>
  </conditionalFormatting>
  <conditionalFormatting sqref="B13">
    <cfRule type="cellIs" dxfId="723" priority="721" operator="equal">
      <formula>"50HzT"</formula>
    </cfRule>
    <cfRule type="cellIs" dxfId="722" priority="722" operator="equal">
      <formula>"TERNA"</formula>
    </cfRule>
    <cfRule type="cellIs" dxfId="721" priority="723" operator="equal">
      <formula>"RTE"</formula>
    </cfRule>
    <cfRule type="cellIs" dxfId="720" priority="724" operator="equal">
      <formula>"ELIA"</formula>
    </cfRule>
  </conditionalFormatting>
  <conditionalFormatting sqref="C13">
    <cfRule type="cellIs" dxfId="719" priority="717" operator="equal">
      <formula>"Transformer"</formula>
    </cfRule>
    <cfRule type="cellIs" dxfId="718" priority="718" operator="equal">
      <formula>"Fossil.Gen"</formula>
    </cfRule>
    <cfRule type="cellIs" dxfId="717" priority="719" operator="equal">
      <formula>"Hydro.Gen"</formula>
    </cfRule>
    <cfRule type="cellIs" dxfId="716" priority="720" operator="equal">
      <formula>"Nuc.Gen"</formula>
    </cfRule>
  </conditionalFormatting>
  <conditionalFormatting sqref="E13">
    <cfRule type="timePeriod" dxfId="715" priority="716" timePeriod="tomorrow">
      <formula>FLOOR(E13,1)=TODAY()+1</formula>
    </cfRule>
  </conditionalFormatting>
  <conditionalFormatting sqref="F13">
    <cfRule type="timePeriod" dxfId="714" priority="715" timePeriod="tomorrow">
      <formula>FLOOR(F13,1)=TODAY()+1</formula>
    </cfRule>
  </conditionalFormatting>
  <conditionalFormatting sqref="A7">
    <cfRule type="cellIs" dxfId="713" priority="711" operator="equal">
      <formula>"50HzT"</formula>
    </cfRule>
    <cfRule type="cellIs" dxfId="712" priority="712" operator="equal">
      <formula>"TERNA"</formula>
    </cfRule>
    <cfRule type="cellIs" dxfId="711" priority="713" operator="equal">
      <formula>"RTE"</formula>
    </cfRule>
    <cfRule type="cellIs" dxfId="710" priority="714" operator="equal">
      <formula>"ELIA"</formula>
    </cfRule>
  </conditionalFormatting>
  <conditionalFormatting sqref="B7:B8">
    <cfRule type="cellIs" dxfId="709" priority="707" operator="equal">
      <formula>"Transformer"</formula>
    </cfRule>
    <cfRule type="cellIs" dxfId="708" priority="708" operator="equal">
      <formula>"Fossil.Gen"</formula>
    </cfRule>
    <cfRule type="cellIs" dxfId="707" priority="709" operator="equal">
      <formula>"Hydro.Gen"</formula>
    </cfRule>
    <cfRule type="cellIs" dxfId="706" priority="710" operator="equal">
      <formula>"Nuc.Gen"</formula>
    </cfRule>
  </conditionalFormatting>
  <conditionalFormatting sqref="D7:D8">
    <cfRule type="timePeriod" dxfId="705" priority="706" timePeriod="tomorrow">
      <formula>FLOOR(D7,1)=TODAY()+1</formula>
    </cfRule>
  </conditionalFormatting>
  <conditionalFormatting sqref="E7:E8">
    <cfRule type="timePeriod" dxfId="704" priority="705" timePeriod="tomorrow">
      <formula>FLOOR(E7,1)=TODAY()+1</formula>
    </cfRule>
  </conditionalFormatting>
  <conditionalFormatting sqref="B13">
    <cfRule type="cellIs" dxfId="703" priority="701" operator="equal">
      <formula>"50HzT"</formula>
    </cfRule>
    <cfRule type="cellIs" dxfId="702" priority="702" operator="equal">
      <formula>"TERNA"</formula>
    </cfRule>
    <cfRule type="cellIs" dxfId="701" priority="703" operator="equal">
      <formula>"RTE"</formula>
    </cfRule>
    <cfRule type="cellIs" dxfId="700" priority="704" operator="equal">
      <formula>"ELIA"</formula>
    </cfRule>
  </conditionalFormatting>
  <conditionalFormatting sqref="C13">
    <cfRule type="cellIs" dxfId="699" priority="697" operator="equal">
      <formula>"Transformer"</formula>
    </cfRule>
    <cfRule type="cellIs" dxfId="698" priority="698" operator="equal">
      <formula>"Fossil.Gen"</formula>
    </cfRule>
    <cfRule type="cellIs" dxfId="697" priority="699" operator="equal">
      <formula>"Hydro.Gen"</formula>
    </cfRule>
    <cfRule type="cellIs" dxfId="696" priority="700" operator="equal">
      <formula>"Nuc.Gen"</formula>
    </cfRule>
  </conditionalFormatting>
  <conditionalFormatting sqref="E13">
    <cfRule type="timePeriod" dxfId="695" priority="696" timePeriod="tomorrow">
      <formula>FLOOR(E13,1)=TODAY()+1</formula>
    </cfRule>
  </conditionalFormatting>
  <conditionalFormatting sqref="F13">
    <cfRule type="timePeriod" dxfId="694" priority="695" timePeriod="tomorrow">
      <formula>FLOOR(F13,1)=TODAY()+1</formula>
    </cfRule>
  </conditionalFormatting>
  <conditionalFormatting sqref="D5:D6">
    <cfRule type="timePeriod" dxfId="693" priority="694" timePeriod="tomorrow">
      <formula>FLOOR(D5,1)=TODAY()+1</formula>
    </cfRule>
  </conditionalFormatting>
  <conditionalFormatting sqref="E5:E6">
    <cfRule type="timePeriod" dxfId="692" priority="693" timePeriod="tomorrow">
      <formula>FLOOR(E5,1)=TODAY()+1</formula>
    </cfRule>
  </conditionalFormatting>
  <conditionalFormatting sqref="D5:D6">
    <cfRule type="timePeriod" dxfId="691" priority="692" timePeriod="tomorrow">
      <formula>FLOOR(D5,1)=TODAY()+1</formula>
    </cfRule>
  </conditionalFormatting>
  <conditionalFormatting sqref="E5:E6">
    <cfRule type="timePeriod" dxfId="690" priority="691" timePeriod="tomorrow">
      <formula>FLOOR(E5,1)=TODAY()+1</formula>
    </cfRule>
  </conditionalFormatting>
  <conditionalFormatting sqref="D5:D6">
    <cfRule type="timePeriod" dxfId="689" priority="690" timePeriod="tomorrow">
      <formula>FLOOR(D5,1)=TODAY()+1</formula>
    </cfRule>
  </conditionalFormatting>
  <conditionalFormatting sqref="E5:E6">
    <cfRule type="timePeriod" dxfId="688" priority="689" timePeriod="tomorrow">
      <formula>FLOOR(E5,1)=TODAY()+1</formula>
    </cfRule>
  </conditionalFormatting>
  <conditionalFormatting sqref="D5:D6">
    <cfRule type="timePeriod" dxfId="687" priority="688" timePeriod="tomorrow">
      <formula>FLOOR(D5,1)=TODAY()+1</formula>
    </cfRule>
  </conditionalFormatting>
  <conditionalFormatting sqref="E5:E6">
    <cfRule type="timePeriod" dxfId="686" priority="687" timePeriod="tomorrow">
      <formula>FLOOR(E5,1)=TODAY()+1</formula>
    </cfRule>
  </conditionalFormatting>
  <conditionalFormatting sqref="D5:D6">
    <cfRule type="timePeriod" dxfId="685" priority="686" timePeriod="tomorrow">
      <formula>FLOOR(D5,1)=TODAY()+1</formula>
    </cfRule>
  </conditionalFormatting>
  <conditionalFormatting sqref="E5:E6">
    <cfRule type="timePeriod" dxfId="684" priority="685" timePeriod="tomorrow">
      <formula>FLOOR(E5,1)=TODAY()+1</formula>
    </cfRule>
  </conditionalFormatting>
  <conditionalFormatting sqref="D5:D6">
    <cfRule type="timePeriod" dxfId="683" priority="684" timePeriod="tomorrow">
      <formula>FLOOR(D5,1)=TODAY()+1</formula>
    </cfRule>
  </conditionalFormatting>
  <conditionalFormatting sqref="E5:E6">
    <cfRule type="timePeriod" dxfId="682" priority="683" timePeriod="tomorrow">
      <formula>FLOOR(E5,1)=TODAY()+1</formula>
    </cfRule>
  </conditionalFormatting>
  <conditionalFormatting sqref="D5:D6">
    <cfRule type="timePeriod" dxfId="681" priority="682" timePeriod="tomorrow">
      <formula>FLOOR(D5,1)=TODAY()+1</formula>
    </cfRule>
  </conditionalFormatting>
  <conditionalFormatting sqref="E5:E6">
    <cfRule type="timePeriod" dxfId="680" priority="681" timePeriod="tomorrow">
      <formula>FLOOR(E5,1)=TODAY()+1</formula>
    </cfRule>
  </conditionalFormatting>
  <conditionalFormatting sqref="D5:D6">
    <cfRule type="timePeriod" dxfId="679" priority="680" timePeriod="tomorrow">
      <formula>FLOOR(D5,1)=TODAY()+1</formula>
    </cfRule>
  </conditionalFormatting>
  <conditionalFormatting sqref="E5:E6">
    <cfRule type="timePeriod" dxfId="678" priority="679" timePeriod="tomorrow">
      <formula>FLOOR(E5,1)=TODAY()+1</formula>
    </cfRule>
  </conditionalFormatting>
  <conditionalFormatting sqref="D5:D6">
    <cfRule type="timePeriod" dxfId="677" priority="678" timePeriod="tomorrow">
      <formula>FLOOR(D5,1)=TODAY()+1</formula>
    </cfRule>
  </conditionalFormatting>
  <conditionalFormatting sqref="E5:E6">
    <cfRule type="timePeriod" dxfId="676" priority="677" timePeriod="tomorrow">
      <formula>FLOOR(E5,1)=TODAY()+1</formula>
    </cfRule>
  </conditionalFormatting>
  <conditionalFormatting sqref="D5:D6">
    <cfRule type="timePeriod" dxfId="675" priority="676" timePeriod="tomorrow">
      <formula>FLOOR(D5,1)=TODAY()+1</formula>
    </cfRule>
  </conditionalFormatting>
  <conditionalFormatting sqref="E5:E6">
    <cfRule type="timePeriod" dxfId="674" priority="675" timePeriod="tomorrow">
      <formula>FLOOR(E5,1)=TODAY()+1</formula>
    </cfRule>
  </conditionalFormatting>
  <conditionalFormatting sqref="D5:D6">
    <cfRule type="timePeriod" dxfId="673" priority="674" timePeriod="tomorrow">
      <formula>FLOOR(D5,1)=TODAY()+1</formula>
    </cfRule>
  </conditionalFormatting>
  <conditionalFormatting sqref="E5:E6">
    <cfRule type="timePeriod" dxfId="672" priority="673" timePeriod="tomorrow">
      <formula>FLOOR(E5,1)=TODAY()+1</formula>
    </cfRule>
  </conditionalFormatting>
  <conditionalFormatting sqref="D5:D6">
    <cfRule type="timePeriod" dxfId="671" priority="672" timePeriod="tomorrow">
      <formula>FLOOR(D5,1)=TODAY()+1</formula>
    </cfRule>
  </conditionalFormatting>
  <conditionalFormatting sqref="E5:E6">
    <cfRule type="timePeriod" dxfId="670" priority="671" timePeriod="tomorrow">
      <formula>FLOOR(E5,1)=TODAY()+1</formula>
    </cfRule>
  </conditionalFormatting>
  <conditionalFormatting sqref="D5:D6">
    <cfRule type="timePeriod" dxfId="669" priority="670" timePeriod="tomorrow">
      <formula>FLOOR(D5,1)=TODAY()+1</formula>
    </cfRule>
  </conditionalFormatting>
  <conditionalFormatting sqref="E5:E6">
    <cfRule type="timePeriod" dxfId="668" priority="669" timePeriod="tomorrow">
      <formula>FLOOR(E5,1)=TODAY()+1</formula>
    </cfRule>
  </conditionalFormatting>
  <conditionalFormatting sqref="D5:D6">
    <cfRule type="timePeriod" dxfId="667" priority="668" timePeriod="tomorrow">
      <formula>FLOOR(D5,1)=TODAY()+1</formula>
    </cfRule>
  </conditionalFormatting>
  <conditionalFormatting sqref="E5:E6">
    <cfRule type="timePeriod" dxfId="666" priority="667" timePeriod="tomorrow">
      <formula>FLOOR(E5,1)=TODAY()+1</formula>
    </cfRule>
  </conditionalFormatting>
  <conditionalFormatting sqref="D5:D6">
    <cfRule type="timePeriod" dxfId="665" priority="666" timePeriod="tomorrow">
      <formula>FLOOR(D5,1)=TODAY()+1</formula>
    </cfRule>
  </conditionalFormatting>
  <conditionalFormatting sqref="E5:E6">
    <cfRule type="timePeriod" dxfId="664" priority="665" timePeriod="tomorrow">
      <formula>FLOOR(E5,1)=TODAY()+1</formula>
    </cfRule>
  </conditionalFormatting>
  <conditionalFormatting sqref="D5:D6">
    <cfRule type="timePeriod" dxfId="663" priority="664" timePeriod="tomorrow">
      <formula>FLOOR(D5,1)=TODAY()+1</formula>
    </cfRule>
  </conditionalFormatting>
  <conditionalFormatting sqref="E5:E6">
    <cfRule type="timePeriod" dxfId="662" priority="663" timePeriod="tomorrow">
      <formula>FLOOR(E5,1)=TODAY()+1</formula>
    </cfRule>
  </conditionalFormatting>
  <conditionalFormatting sqref="D5:D6">
    <cfRule type="timePeriod" dxfId="661" priority="662" timePeriod="tomorrow">
      <formula>FLOOR(D5,1)=TODAY()+1</formula>
    </cfRule>
  </conditionalFormatting>
  <conditionalFormatting sqref="E5:E6">
    <cfRule type="timePeriod" dxfId="660" priority="661" timePeriod="tomorrow">
      <formula>FLOOR(E5,1)=TODAY()+1</formula>
    </cfRule>
  </conditionalFormatting>
  <conditionalFormatting sqref="D5:D6">
    <cfRule type="timePeriod" dxfId="659" priority="660" timePeriod="tomorrow">
      <formula>FLOOR(D5,1)=TODAY()+1</formula>
    </cfRule>
  </conditionalFormatting>
  <conditionalFormatting sqref="E5:E6">
    <cfRule type="timePeriod" dxfId="658" priority="659" timePeriod="tomorrow">
      <formula>FLOOR(E5,1)=TODAY()+1</formula>
    </cfRule>
  </conditionalFormatting>
  <conditionalFormatting sqref="D5:D6">
    <cfRule type="timePeriod" dxfId="657" priority="658" timePeriod="tomorrow">
      <formula>FLOOR(D5,1)=TODAY()+1</formula>
    </cfRule>
  </conditionalFormatting>
  <conditionalFormatting sqref="E5:E6">
    <cfRule type="timePeriod" dxfId="656" priority="657" timePeriod="tomorrow">
      <formula>FLOOR(E5,1)=TODAY()+1</formula>
    </cfRule>
  </conditionalFormatting>
  <conditionalFormatting sqref="D5:D6">
    <cfRule type="timePeriod" dxfId="655" priority="656" timePeriod="tomorrow">
      <formula>FLOOR(D5,1)=TODAY()+1</formula>
    </cfRule>
  </conditionalFormatting>
  <conditionalFormatting sqref="E5:E6">
    <cfRule type="timePeriod" dxfId="654" priority="655" timePeriod="tomorrow">
      <formula>FLOOR(E5,1)=TODAY()+1</formula>
    </cfRule>
  </conditionalFormatting>
  <conditionalFormatting sqref="D5:D6">
    <cfRule type="timePeriod" dxfId="653" priority="654" timePeriod="tomorrow">
      <formula>FLOOR(D5,1)=TODAY()+1</formula>
    </cfRule>
  </conditionalFormatting>
  <conditionalFormatting sqref="E5:E6">
    <cfRule type="timePeriod" dxfId="652" priority="653" timePeriod="tomorrow">
      <formula>FLOOR(E5,1)=TODAY()+1</formula>
    </cfRule>
  </conditionalFormatting>
  <conditionalFormatting sqref="D5:D6">
    <cfRule type="timePeriod" dxfId="651" priority="652" timePeriod="tomorrow">
      <formula>FLOOR(D5,1)=TODAY()+1</formula>
    </cfRule>
  </conditionalFormatting>
  <conditionalFormatting sqref="E5:E6">
    <cfRule type="timePeriod" dxfId="650" priority="651" timePeriod="tomorrow">
      <formula>FLOOR(E5,1)=TODAY()+1</formula>
    </cfRule>
  </conditionalFormatting>
  <conditionalFormatting sqref="D5:D6">
    <cfRule type="timePeriod" dxfId="649" priority="650" timePeriod="tomorrow">
      <formula>FLOOR(D5,1)=TODAY()+1</formula>
    </cfRule>
  </conditionalFormatting>
  <conditionalFormatting sqref="E5:E6">
    <cfRule type="timePeriod" dxfId="648" priority="649" timePeriod="tomorrow">
      <formula>FLOOR(E5,1)=TODAY()+1</formula>
    </cfRule>
  </conditionalFormatting>
  <conditionalFormatting sqref="D5:D6">
    <cfRule type="timePeriod" dxfId="647" priority="648" timePeriod="tomorrow">
      <formula>FLOOR(D5,1)=TODAY()+1</formula>
    </cfRule>
  </conditionalFormatting>
  <conditionalFormatting sqref="E5:E6">
    <cfRule type="timePeriod" dxfId="646" priority="647" timePeriod="tomorrow">
      <formula>FLOOR(E5,1)=TODAY()+1</formula>
    </cfRule>
  </conditionalFormatting>
  <conditionalFormatting sqref="D5:D6">
    <cfRule type="timePeriod" dxfId="645" priority="646" timePeriod="tomorrow">
      <formula>FLOOR(D5,1)=TODAY()+1</formula>
    </cfRule>
  </conditionalFormatting>
  <conditionalFormatting sqref="E5:E6">
    <cfRule type="timePeriod" dxfId="644" priority="645" timePeriod="tomorrow">
      <formula>FLOOR(E5,1)=TODAY()+1</formula>
    </cfRule>
  </conditionalFormatting>
  <conditionalFormatting sqref="D5:D6">
    <cfRule type="timePeriod" dxfId="643" priority="644" timePeriod="tomorrow">
      <formula>FLOOR(D5,1)=TODAY()+1</formula>
    </cfRule>
  </conditionalFormatting>
  <conditionalFormatting sqref="E5:E6">
    <cfRule type="timePeriod" dxfId="642" priority="643" timePeriod="tomorrow">
      <formula>FLOOR(E5,1)=TODAY()+1</formula>
    </cfRule>
  </conditionalFormatting>
  <conditionalFormatting sqref="D5:D6">
    <cfRule type="timePeriod" dxfId="641" priority="642" timePeriod="tomorrow">
      <formula>FLOOR(D5,1)=TODAY()+1</formula>
    </cfRule>
  </conditionalFormatting>
  <conditionalFormatting sqref="E5:E6">
    <cfRule type="timePeriod" dxfId="640" priority="641" timePeriod="tomorrow">
      <formula>FLOOR(E5,1)=TODAY()+1</formula>
    </cfRule>
  </conditionalFormatting>
  <conditionalFormatting sqref="D5:D6">
    <cfRule type="timePeriod" dxfId="639" priority="640" timePeriod="tomorrow">
      <formula>FLOOR(D5,1)=TODAY()+1</formula>
    </cfRule>
  </conditionalFormatting>
  <conditionalFormatting sqref="E5:E6">
    <cfRule type="timePeriod" dxfId="638" priority="639" timePeriod="tomorrow">
      <formula>FLOOR(E5,1)=TODAY()+1</formula>
    </cfRule>
  </conditionalFormatting>
  <conditionalFormatting sqref="D5:D6">
    <cfRule type="timePeriod" dxfId="637" priority="638" timePeriod="tomorrow">
      <formula>FLOOR(D5,1)=TODAY()+1</formula>
    </cfRule>
  </conditionalFormatting>
  <conditionalFormatting sqref="E5:E6">
    <cfRule type="timePeriod" dxfId="636" priority="637" timePeriod="tomorrow">
      <formula>FLOOR(E5,1)=TODAY()+1</formula>
    </cfRule>
  </conditionalFormatting>
  <conditionalFormatting sqref="D5:D6">
    <cfRule type="timePeriod" dxfId="635" priority="636" timePeriod="tomorrow">
      <formula>FLOOR(D5,1)=TODAY()+1</formula>
    </cfRule>
  </conditionalFormatting>
  <conditionalFormatting sqref="E5:E6">
    <cfRule type="timePeriod" dxfId="634" priority="635" timePeriod="tomorrow">
      <formula>FLOOR(E5,1)=TODAY()+1</formula>
    </cfRule>
  </conditionalFormatting>
  <conditionalFormatting sqref="D5:D6">
    <cfRule type="timePeriod" dxfId="633" priority="634" timePeriod="tomorrow">
      <formula>FLOOR(D5,1)=TODAY()+1</formula>
    </cfRule>
  </conditionalFormatting>
  <conditionalFormatting sqref="E5:E6">
    <cfRule type="timePeriod" dxfId="632" priority="633" timePeriod="tomorrow">
      <formula>FLOOR(E5,1)=TODAY()+1</formula>
    </cfRule>
  </conditionalFormatting>
  <conditionalFormatting sqref="D5:D6">
    <cfRule type="timePeriod" dxfId="631" priority="632" timePeriod="tomorrow">
      <formula>FLOOR(D5,1)=TODAY()+1</formula>
    </cfRule>
  </conditionalFormatting>
  <conditionalFormatting sqref="E5:E6">
    <cfRule type="timePeriod" dxfId="630" priority="631" timePeriod="tomorrow">
      <formula>FLOOR(E5,1)=TODAY()+1</formula>
    </cfRule>
  </conditionalFormatting>
  <conditionalFormatting sqref="D5:D6">
    <cfRule type="timePeriod" dxfId="629" priority="630" timePeriod="tomorrow">
      <formula>FLOOR(D5,1)=TODAY()+1</formula>
    </cfRule>
  </conditionalFormatting>
  <conditionalFormatting sqref="E5:E6">
    <cfRule type="timePeriod" dxfId="628" priority="629" timePeriod="tomorrow">
      <formula>FLOOR(E5,1)=TODAY()+1</formula>
    </cfRule>
  </conditionalFormatting>
  <conditionalFormatting sqref="D5:D6">
    <cfRule type="timePeriod" dxfId="627" priority="628" timePeriod="tomorrow">
      <formula>FLOOR(D5,1)=TODAY()+1</formula>
    </cfRule>
  </conditionalFormatting>
  <conditionalFormatting sqref="E5:E6">
    <cfRule type="timePeriod" dxfId="626" priority="627" timePeriod="tomorrow">
      <formula>FLOOR(E5,1)=TODAY()+1</formula>
    </cfRule>
  </conditionalFormatting>
  <conditionalFormatting sqref="D5:D6">
    <cfRule type="timePeriod" dxfId="625" priority="626" timePeriod="tomorrow">
      <formula>FLOOR(D5,1)=TODAY()+1</formula>
    </cfRule>
  </conditionalFormatting>
  <conditionalFormatting sqref="E5:E6">
    <cfRule type="timePeriod" dxfId="624" priority="625" timePeriod="tomorrow">
      <formula>FLOOR(E5,1)=TODAY()+1</formula>
    </cfRule>
  </conditionalFormatting>
  <conditionalFormatting sqref="D5:D6">
    <cfRule type="timePeriod" dxfId="623" priority="624" timePeriod="tomorrow">
      <formula>FLOOR(D5,1)=TODAY()+1</formula>
    </cfRule>
  </conditionalFormatting>
  <conditionalFormatting sqref="E5:E6">
    <cfRule type="timePeriod" dxfId="622" priority="623" timePeriod="tomorrow">
      <formula>FLOOR(E5,1)=TODAY()+1</formula>
    </cfRule>
  </conditionalFormatting>
  <conditionalFormatting sqref="D5:D6">
    <cfRule type="timePeriod" dxfId="621" priority="622" timePeriod="tomorrow">
      <formula>FLOOR(D5,1)=TODAY()+1</formula>
    </cfRule>
  </conditionalFormatting>
  <conditionalFormatting sqref="E5:E6">
    <cfRule type="timePeriod" dxfId="620" priority="621" timePeriod="tomorrow">
      <formula>FLOOR(E5,1)=TODAY()+1</formula>
    </cfRule>
  </conditionalFormatting>
  <conditionalFormatting sqref="D5:D6">
    <cfRule type="timePeriod" dxfId="619" priority="620" timePeriod="tomorrow">
      <formula>FLOOR(D5,1)=TODAY()+1</formula>
    </cfRule>
  </conditionalFormatting>
  <conditionalFormatting sqref="E5:E6">
    <cfRule type="timePeriod" dxfId="618" priority="619" timePeriod="tomorrow">
      <formula>FLOOR(E5,1)=TODAY()+1</formula>
    </cfRule>
  </conditionalFormatting>
  <conditionalFormatting sqref="D5:D6">
    <cfRule type="timePeriod" dxfId="617" priority="618" timePeriod="tomorrow">
      <formula>FLOOR(D5,1)=TODAY()+1</formula>
    </cfRule>
  </conditionalFormatting>
  <conditionalFormatting sqref="E5:E6">
    <cfRule type="timePeriod" dxfId="616" priority="617" timePeriod="tomorrow">
      <formula>FLOOR(E5,1)=TODAY()+1</formula>
    </cfRule>
  </conditionalFormatting>
  <conditionalFormatting sqref="D5:D6">
    <cfRule type="timePeriod" dxfId="615" priority="616" timePeriod="tomorrow">
      <formula>FLOOR(D5,1)=TODAY()+1</formula>
    </cfRule>
  </conditionalFormatting>
  <conditionalFormatting sqref="E5:E6">
    <cfRule type="timePeriod" dxfId="614" priority="615" timePeriod="tomorrow">
      <formula>FLOOR(E5,1)=TODAY()+1</formula>
    </cfRule>
  </conditionalFormatting>
  <conditionalFormatting sqref="D5:D6">
    <cfRule type="timePeriod" dxfId="613" priority="614" timePeriod="tomorrow">
      <formula>FLOOR(D5,1)=TODAY()+1</formula>
    </cfRule>
  </conditionalFormatting>
  <conditionalFormatting sqref="E5:E6">
    <cfRule type="timePeriod" dxfId="612" priority="613" timePeriod="tomorrow">
      <formula>FLOOR(E5,1)=TODAY()+1</formula>
    </cfRule>
  </conditionalFormatting>
  <conditionalFormatting sqref="D5:D6">
    <cfRule type="timePeriod" dxfId="611" priority="612" timePeriod="tomorrow">
      <formula>FLOOR(D5,1)=TODAY()+1</formula>
    </cfRule>
  </conditionalFormatting>
  <conditionalFormatting sqref="E5:E6">
    <cfRule type="timePeriod" dxfId="610" priority="611" timePeriod="tomorrow">
      <formula>FLOOR(E5,1)=TODAY()+1</formula>
    </cfRule>
  </conditionalFormatting>
  <conditionalFormatting sqref="D5:D6">
    <cfRule type="timePeriod" dxfId="609" priority="610" timePeriod="tomorrow">
      <formula>FLOOR(D5,1)=TODAY()+1</formula>
    </cfRule>
  </conditionalFormatting>
  <conditionalFormatting sqref="E5:E6">
    <cfRule type="timePeriod" dxfId="608" priority="609" timePeriod="tomorrow">
      <formula>FLOOR(E5,1)=TODAY()+1</formula>
    </cfRule>
  </conditionalFormatting>
  <conditionalFormatting sqref="D5:D6">
    <cfRule type="timePeriod" dxfId="607" priority="608" timePeriod="tomorrow">
      <formula>FLOOR(D5,1)=TODAY()+1</formula>
    </cfRule>
  </conditionalFormatting>
  <conditionalFormatting sqref="E5:E6">
    <cfRule type="timePeriod" dxfId="606" priority="607" timePeriod="tomorrow">
      <formula>FLOOR(E5,1)=TODAY()+1</formula>
    </cfRule>
  </conditionalFormatting>
  <conditionalFormatting sqref="D7">
    <cfRule type="timePeriod" dxfId="605" priority="606" timePeriod="tomorrow">
      <formula>FLOOR(D7,1)=TODAY()+1</formula>
    </cfRule>
  </conditionalFormatting>
  <conditionalFormatting sqref="E7">
    <cfRule type="timePeriod" dxfId="604" priority="605" timePeriod="tomorrow">
      <formula>FLOOR(E7,1)=TODAY()+1</formula>
    </cfRule>
  </conditionalFormatting>
  <conditionalFormatting sqref="C7:F7">
    <cfRule type="cellIs" dxfId="603" priority="601" operator="equal">
      <formula>"Transformer"</formula>
    </cfRule>
    <cfRule type="cellIs" dxfId="602" priority="602" operator="equal">
      <formula>"Fossil.Gen"</formula>
    </cfRule>
    <cfRule type="cellIs" dxfId="601" priority="603" operator="equal">
      <formula>"Hydro.Gen"</formula>
    </cfRule>
    <cfRule type="cellIs" dxfId="600" priority="604" operator="equal">
      <formula>"Nuc.Gen"</formula>
    </cfRule>
  </conditionalFormatting>
  <conditionalFormatting sqref="D7">
    <cfRule type="timePeriod" dxfId="599" priority="600" timePeriod="tomorrow">
      <formula>FLOOR(D7,1)=TODAY()+1</formula>
    </cfRule>
  </conditionalFormatting>
  <conditionalFormatting sqref="E7">
    <cfRule type="timePeriod" dxfId="598" priority="599" timePeriod="tomorrow">
      <formula>FLOOR(E7,1)=TODAY()+1</formula>
    </cfRule>
  </conditionalFormatting>
  <conditionalFormatting sqref="D7">
    <cfRule type="timePeriod" dxfId="597" priority="598" timePeriod="tomorrow">
      <formula>FLOOR(D7,1)=TODAY()+1</formula>
    </cfRule>
  </conditionalFormatting>
  <conditionalFormatting sqref="E7">
    <cfRule type="timePeriod" dxfId="596" priority="597" timePeriod="tomorrow">
      <formula>FLOOR(E7,1)=TODAY()+1</formula>
    </cfRule>
  </conditionalFormatting>
  <conditionalFormatting sqref="D7">
    <cfRule type="timePeriod" dxfId="595" priority="596" timePeriod="tomorrow">
      <formula>FLOOR(D7,1)=TODAY()+1</formula>
    </cfRule>
  </conditionalFormatting>
  <conditionalFormatting sqref="E7">
    <cfRule type="timePeriod" dxfId="594" priority="595" timePeriod="tomorrow">
      <formula>FLOOR(E7,1)=TODAY()+1</formula>
    </cfRule>
  </conditionalFormatting>
  <conditionalFormatting sqref="D7">
    <cfRule type="timePeriod" dxfId="593" priority="594" timePeriod="tomorrow">
      <formula>FLOOR(D7,1)=TODAY()+1</formula>
    </cfRule>
  </conditionalFormatting>
  <conditionalFormatting sqref="E7">
    <cfRule type="timePeriod" dxfId="592" priority="593" timePeriod="tomorrow">
      <formula>FLOOR(E7,1)=TODAY()+1</formula>
    </cfRule>
  </conditionalFormatting>
  <conditionalFormatting sqref="D7">
    <cfRule type="timePeriod" dxfId="591" priority="592" timePeriod="tomorrow">
      <formula>FLOOR(D7,1)=TODAY()+1</formula>
    </cfRule>
  </conditionalFormatting>
  <conditionalFormatting sqref="E7">
    <cfRule type="timePeriod" dxfId="590" priority="591" timePeriod="tomorrow">
      <formula>FLOOR(E7,1)=TODAY()+1</formula>
    </cfRule>
  </conditionalFormatting>
  <conditionalFormatting sqref="D7">
    <cfRule type="timePeriod" dxfId="589" priority="590" timePeriod="tomorrow">
      <formula>FLOOR(D7,1)=TODAY()+1</formula>
    </cfRule>
  </conditionalFormatting>
  <conditionalFormatting sqref="E7">
    <cfRule type="timePeriod" dxfId="588" priority="589" timePeriod="tomorrow">
      <formula>FLOOR(E7,1)=TODAY()+1</formula>
    </cfRule>
  </conditionalFormatting>
  <conditionalFormatting sqref="D7">
    <cfRule type="timePeriod" dxfId="587" priority="588" timePeriod="tomorrow">
      <formula>FLOOR(D7,1)=TODAY()+1</formula>
    </cfRule>
  </conditionalFormatting>
  <conditionalFormatting sqref="E7">
    <cfRule type="timePeriod" dxfId="586" priority="587" timePeriod="tomorrow">
      <formula>FLOOR(E7,1)=TODAY()+1</formula>
    </cfRule>
  </conditionalFormatting>
  <conditionalFormatting sqref="D7">
    <cfRule type="timePeriod" dxfId="585" priority="586" timePeriod="tomorrow">
      <formula>FLOOR(D7,1)=TODAY()+1</formula>
    </cfRule>
  </conditionalFormatting>
  <conditionalFormatting sqref="E7">
    <cfRule type="timePeriod" dxfId="584" priority="585" timePeriod="tomorrow">
      <formula>FLOOR(E7,1)=TODAY()+1</formula>
    </cfRule>
  </conditionalFormatting>
  <conditionalFormatting sqref="D7">
    <cfRule type="timePeriod" dxfId="583" priority="584" timePeriod="tomorrow">
      <formula>FLOOR(D7,1)=TODAY()+1</formula>
    </cfRule>
  </conditionalFormatting>
  <conditionalFormatting sqref="E7">
    <cfRule type="timePeriod" dxfId="582" priority="583" timePeriod="tomorrow">
      <formula>FLOOR(E7,1)=TODAY()+1</formula>
    </cfRule>
  </conditionalFormatting>
  <conditionalFormatting sqref="D7">
    <cfRule type="timePeriod" dxfId="581" priority="582" timePeriod="tomorrow">
      <formula>FLOOR(D7,1)=TODAY()+1</formula>
    </cfRule>
  </conditionalFormatting>
  <conditionalFormatting sqref="E7">
    <cfRule type="timePeriod" dxfId="580" priority="581" timePeriod="tomorrow">
      <formula>FLOOR(E7,1)=TODAY()+1</formula>
    </cfRule>
  </conditionalFormatting>
  <conditionalFormatting sqref="D7">
    <cfRule type="timePeriod" dxfId="579" priority="580" timePeriod="tomorrow">
      <formula>FLOOR(D7,1)=TODAY()+1</formula>
    </cfRule>
  </conditionalFormatting>
  <conditionalFormatting sqref="E7">
    <cfRule type="timePeriod" dxfId="578" priority="579" timePeriod="tomorrow">
      <formula>FLOOR(E7,1)=TODAY()+1</formula>
    </cfRule>
  </conditionalFormatting>
  <conditionalFormatting sqref="D7">
    <cfRule type="timePeriod" dxfId="577" priority="578" timePeriod="tomorrow">
      <formula>FLOOR(D7,1)=TODAY()+1</formula>
    </cfRule>
  </conditionalFormatting>
  <conditionalFormatting sqref="E7">
    <cfRule type="timePeriod" dxfId="576" priority="577" timePeriod="tomorrow">
      <formula>FLOOR(E7,1)=TODAY()+1</formula>
    </cfRule>
  </conditionalFormatting>
  <conditionalFormatting sqref="D7">
    <cfRule type="timePeriod" dxfId="575" priority="576" timePeriod="tomorrow">
      <formula>FLOOR(D7,1)=TODAY()+1</formula>
    </cfRule>
  </conditionalFormatting>
  <conditionalFormatting sqref="E7">
    <cfRule type="timePeriod" dxfId="574" priority="575" timePeriod="tomorrow">
      <formula>FLOOR(E7,1)=TODAY()+1</formula>
    </cfRule>
  </conditionalFormatting>
  <conditionalFormatting sqref="D7">
    <cfRule type="timePeriod" dxfId="573" priority="574" timePeriod="tomorrow">
      <formula>FLOOR(D7,1)=TODAY()+1</formula>
    </cfRule>
  </conditionalFormatting>
  <conditionalFormatting sqref="E7">
    <cfRule type="timePeriod" dxfId="572" priority="573" timePeriod="tomorrow">
      <formula>FLOOR(E7,1)=TODAY()+1</formula>
    </cfRule>
  </conditionalFormatting>
  <conditionalFormatting sqref="D7">
    <cfRule type="timePeriod" dxfId="571" priority="572" timePeriod="tomorrow">
      <formula>FLOOR(D7,1)=TODAY()+1</formula>
    </cfRule>
  </conditionalFormatting>
  <conditionalFormatting sqref="E7">
    <cfRule type="timePeriod" dxfId="570" priority="571" timePeriod="tomorrow">
      <formula>FLOOR(E7,1)=TODAY()+1</formula>
    </cfRule>
  </conditionalFormatting>
  <conditionalFormatting sqref="D7">
    <cfRule type="timePeriod" dxfId="569" priority="570" timePeriod="tomorrow">
      <formula>FLOOR(D7,1)=TODAY()+1</formula>
    </cfRule>
  </conditionalFormatting>
  <conditionalFormatting sqref="E7">
    <cfRule type="timePeriod" dxfId="568" priority="569" timePeriod="tomorrow">
      <formula>FLOOR(E7,1)=TODAY()+1</formula>
    </cfRule>
  </conditionalFormatting>
  <conditionalFormatting sqref="D7">
    <cfRule type="timePeriod" dxfId="567" priority="568" timePeriod="tomorrow">
      <formula>FLOOR(D7,1)=TODAY()+1</formula>
    </cfRule>
  </conditionalFormatting>
  <conditionalFormatting sqref="E7">
    <cfRule type="timePeriod" dxfId="566" priority="567" timePeriod="tomorrow">
      <formula>FLOOR(E7,1)=TODAY()+1</formula>
    </cfRule>
  </conditionalFormatting>
  <conditionalFormatting sqref="D7">
    <cfRule type="timePeriod" dxfId="565" priority="566" timePeriod="tomorrow">
      <formula>FLOOR(D7,1)=TODAY()+1</formula>
    </cfRule>
  </conditionalFormatting>
  <conditionalFormatting sqref="E7">
    <cfRule type="timePeriod" dxfId="564" priority="565" timePeriod="tomorrow">
      <formula>FLOOR(E7,1)=TODAY()+1</formula>
    </cfRule>
  </conditionalFormatting>
  <conditionalFormatting sqref="D7">
    <cfRule type="timePeriod" dxfId="563" priority="564" timePeriod="tomorrow">
      <formula>FLOOR(D7,1)=TODAY()+1</formula>
    </cfRule>
  </conditionalFormatting>
  <conditionalFormatting sqref="E7">
    <cfRule type="timePeriod" dxfId="562" priority="563" timePeriod="tomorrow">
      <formula>FLOOR(E7,1)=TODAY()+1</formula>
    </cfRule>
  </conditionalFormatting>
  <conditionalFormatting sqref="D7">
    <cfRule type="timePeriod" dxfId="561" priority="562" timePeriod="tomorrow">
      <formula>FLOOR(D7,1)=TODAY()+1</formula>
    </cfRule>
  </conditionalFormatting>
  <conditionalFormatting sqref="E7">
    <cfRule type="timePeriod" dxfId="560" priority="561" timePeriod="tomorrow">
      <formula>FLOOR(E7,1)=TODAY()+1</formula>
    </cfRule>
  </conditionalFormatting>
  <conditionalFormatting sqref="D7">
    <cfRule type="timePeriod" dxfId="559" priority="560" timePeriod="tomorrow">
      <formula>FLOOR(D7,1)=TODAY()+1</formula>
    </cfRule>
  </conditionalFormatting>
  <conditionalFormatting sqref="E7">
    <cfRule type="timePeriod" dxfId="558" priority="559" timePeriod="tomorrow">
      <formula>FLOOR(E7,1)=TODAY()+1</formula>
    </cfRule>
  </conditionalFormatting>
  <conditionalFormatting sqref="D7">
    <cfRule type="timePeriod" dxfId="557" priority="558" timePeriod="tomorrow">
      <formula>FLOOR(D7,1)=TODAY()+1</formula>
    </cfRule>
  </conditionalFormatting>
  <conditionalFormatting sqref="E7">
    <cfRule type="timePeriod" dxfId="556" priority="557" timePeriod="tomorrow">
      <formula>FLOOR(E7,1)=TODAY()+1</formula>
    </cfRule>
  </conditionalFormatting>
  <conditionalFormatting sqref="D7">
    <cfRule type="timePeriod" dxfId="555" priority="556" timePeriod="tomorrow">
      <formula>FLOOR(D7,1)=TODAY()+1</formula>
    </cfRule>
  </conditionalFormatting>
  <conditionalFormatting sqref="E7">
    <cfRule type="timePeriod" dxfId="554" priority="555" timePeriod="tomorrow">
      <formula>FLOOR(E7,1)=TODAY()+1</formula>
    </cfRule>
  </conditionalFormatting>
  <conditionalFormatting sqref="D7">
    <cfRule type="timePeriod" dxfId="553" priority="554" timePeriod="tomorrow">
      <formula>FLOOR(D7,1)=TODAY()+1</formula>
    </cfRule>
  </conditionalFormatting>
  <conditionalFormatting sqref="E7">
    <cfRule type="timePeriod" dxfId="552" priority="553" timePeriod="tomorrow">
      <formula>FLOOR(E7,1)=TODAY()+1</formula>
    </cfRule>
  </conditionalFormatting>
  <conditionalFormatting sqref="D7">
    <cfRule type="timePeriod" dxfId="551" priority="552" timePeriod="tomorrow">
      <formula>FLOOR(D7,1)=TODAY()+1</formula>
    </cfRule>
  </conditionalFormatting>
  <conditionalFormatting sqref="E7">
    <cfRule type="timePeriod" dxfId="550" priority="551" timePeriod="tomorrow">
      <formula>FLOOR(E7,1)=TODAY()+1</formula>
    </cfRule>
  </conditionalFormatting>
  <conditionalFormatting sqref="D7">
    <cfRule type="timePeriod" dxfId="549" priority="550" timePeriod="tomorrow">
      <formula>FLOOR(D7,1)=TODAY()+1</formula>
    </cfRule>
  </conditionalFormatting>
  <conditionalFormatting sqref="E7">
    <cfRule type="timePeriod" dxfId="548" priority="549" timePeriod="tomorrow">
      <formula>FLOOR(E7,1)=TODAY()+1</formula>
    </cfRule>
  </conditionalFormatting>
  <conditionalFormatting sqref="D7">
    <cfRule type="timePeriod" dxfId="547" priority="548" timePeriod="tomorrow">
      <formula>FLOOR(D7,1)=TODAY()+1</formula>
    </cfRule>
  </conditionalFormatting>
  <conditionalFormatting sqref="E7">
    <cfRule type="timePeriod" dxfId="546" priority="547" timePeriod="tomorrow">
      <formula>FLOOR(E7,1)=TODAY()+1</formula>
    </cfRule>
  </conditionalFormatting>
  <conditionalFormatting sqref="D7">
    <cfRule type="timePeriod" dxfId="545" priority="546" timePeriod="tomorrow">
      <formula>FLOOR(D7,1)=TODAY()+1</formula>
    </cfRule>
  </conditionalFormatting>
  <conditionalFormatting sqref="E7">
    <cfRule type="timePeriod" dxfId="544" priority="545" timePeriod="tomorrow">
      <formula>FLOOR(E7,1)=TODAY()+1</formula>
    </cfRule>
  </conditionalFormatting>
  <conditionalFormatting sqref="D7">
    <cfRule type="timePeriod" dxfId="543" priority="544" timePeriod="tomorrow">
      <formula>FLOOR(D7,1)=TODAY()+1</formula>
    </cfRule>
  </conditionalFormatting>
  <conditionalFormatting sqref="E7">
    <cfRule type="timePeriod" dxfId="542" priority="543" timePeriod="tomorrow">
      <formula>FLOOR(E7,1)=TODAY()+1</formula>
    </cfRule>
  </conditionalFormatting>
  <conditionalFormatting sqref="D7">
    <cfRule type="timePeriod" dxfId="541" priority="542" timePeriod="tomorrow">
      <formula>FLOOR(D7,1)=TODAY()+1</formula>
    </cfRule>
  </conditionalFormatting>
  <conditionalFormatting sqref="E7">
    <cfRule type="timePeriod" dxfId="540" priority="541" timePeriod="tomorrow">
      <formula>FLOOR(E7,1)=TODAY()+1</formula>
    </cfRule>
  </conditionalFormatting>
  <conditionalFormatting sqref="D7">
    <cfRule type="timePeriod" dxfId="539" priority="540" timePeriod="tomorrow">
      <formula>FLOOR(D7,1)=TODAY()+1</formula>
    </cfRule>
  </conditionalFormatting>
  <conditionalFormatting sqref="E7">
    <cfRule type="timePeriod" dxfId="538" priority="539" timePeriod="tomorrow">
      <formula>FLOOR(E7,1)=TODAY()+1</formula>
    </cfRule>
  </conditionalFormatting>
  <conditionalFormatting sqref="D7">
    <cfRule type="timePeriod" dxfId="537" priority="538" timePeriod="tomorrow">
      <formula>FLOOR(D7,1)=TODAY()+1</formula>
    </cfRule>
  </conditionalFormatting>
  <conditionalFormatting sqref="E7">
    <cfRule type="timePeriod" dxfId="536" priority="537" timePeriod="tomorrow">
      <formula>FLOOR(E7,1)=TODAY()+1</formula>
    </cfRule>
  </conditionalFormatting>
  <conditionalFormatting sqref="D7">
    <cfRule type="timePeriod" dxfId="535" priority="536" timePeriod="tomorrow">
      <formula>FLOOR(D7,1)=TODAY()+1</formula>
    </cfRule>
  </conditionalFormatting>
  <conditionalFormatting sqref="E7">
    <cfRule type="timePeriod" dxfId="534" priority="535" timePeriod="tomorrow">
      <formula>FLOOR(E7,1)=TODAY()+1</formula>
    </cfRule>
  </conditionalFormatting>
  <conditionalFormatting sqref="D7">
    <cfRule type="timePeriod" dxfId="533" priority="534" timePeriod="tomorrow">
      <formula>FLOOR(D7,1)=TODAY()+1</formula>
    </cfRule>
  </conditionalFormatting>
  <conditionalFormatting sqref="E7">
    <cfRule type="timePeriod" dxfId="532" priority="533" timePeriod="tomorrow">
      <formula>FLOOR(E7,1)=TODAY()+1</formula>
    </cfRule>
  </conditionalFormatting>
  <conditionalFormatting sqref="D7">
    <cfRule type="timePeriod" dxfId="531" priority="532" timePeriod="tomorrow">
      <formula>FLOOR(D7,1)=TODAY()+1</formula>
    </cfRule>
  </conditionalFormatting>
  <conditionalFormatting sqref="E7">
    <cfRule type="timePeriod" dxfId="530" priority="531" timePeriod="tomorrow">
      <formula>FLOOR(E7,1)=TODAY()+1</formula>
    </cfRule>
  </conditionalFormatting>
  <conditionalFormatting sqref="D7">
    <cfRule type="timePeriod" dxfId="529" priority="530" timePeriod="tomorrow">
      <formula>FLOOR(D7,1)=TODAY()+1</formula>
    </cfRule>
  </conditionalFormatting>
  <conditionalFormatting sqref="E7">
    <cfRule type="timePeriod" dxfId="528" priority="529" timePeriod="tomorrow">
      <formula>FLOOR(E7,1)=TODAY()+1</formula>
    </cfRule>
  </conditionalFormatting>
  <conditionalFormatting sqref="D7">
    <cfRule type="timePeriod" dxfId="527" priority="528" timePeriod="tomorrow">
      <formula>FLOOR(D7,1)=TODAY()+1</formula>
    </cfRule>
  </conditionalFormatting>
  <conditionalFormatting sqref="E7">
    <cfRule type="timePeriod" dxfId="526" priority="527" timePeriod="tomorrow">
      <formula>FLOOR(E7,1)=TODAY()+1</formula>
    </cfRule>
  </conditionalFormatting>
  <conditionalFormatting sqref="D7">
    <cfRule type="timePeriod" dxfId="525" priority="526" timePeriod="tomorrow">
      <formula>FLOOR(D7,1)=TODAY()+1</formula>
    </cfRule>
  </conditionalFormatting>
  <conditionalFormatting sqref="E7">
    <cfRule type="timePeriod" dxfId="524" priority="525" timePeriod="tomorrow">
      <formula>FLOOR(E7,1)=TODAY()+1</formula>
    </cfRule>
  </conditionalFormatting>
  <conditionalFormatting sqref="D7">
    <cfRule type="timePeriod" dxfId="523" priority="524" timePeriod="tomorrow">
      <formula>FLOOR(D7,1)=TODAY()+1</formula>
    </cfRule>
  </conditionalFormatting>
  <conditionalFormatting sqref="E7">
    <cfRule type="timePeriod" dxfId="522" priority="523" timePeriod="tomorrow">
      <formula>FLOOR(E7,1)=TODAY()+1</formula>
    </cfRule>
  </conditionalFormatting>
  <conditionalFormatting sqref="D7">
    <cfRule type="timePeriod" dxfId="521" priority="522" timePeriod="tomorrow">
      <formula>FLOOR(D7,1)=TODAY()+1</formula>
    </cfRule>
  </conditionalFormatting>
  <conditionalFormatting sqref="E7">
    <cfRule type="timePeriod" dxfId="520" priority="521" timePeriod="tomorrow">
      <formula>FLOOR(E7,1)=TODAY()+1</formula>
    </cfRule>
  </conditionalFormatting>
  <conditionalFormatting sqref="D7">
    <cfRule type="timePeriod" dxfId="519" priority="520" timePeriod="tomorrow">
      <formula>FLOOR(D7,1)=TODAY()+1</formula>
    </cfRule>
  </conditionalFormatting>
  <conditionalFormatting sqref="E7">
    <cfRule type="timePeriod" dxfId="518" priority="519" timePeriod="tomorrow">
      <formula>FLOOR(E7,1)=TODAY()+1</formula>
    </cfRule>
  </conditionalFormatting>
  <conditionalFormatting sqref="D7">
    <cfRule type="timePeriod" dxfId="517" priority="518" timePeriod="tomorrow">
      <formula>FLOOR(D7,1)=TODAY()+1</formula>
    </cfRule>
  </conditionalFormatting>
  <conditionalFormatting sqref="E7">
    <cfRule type="timePeriod" dxfId="516" priority="517" timePeriod="tomorrow">
      <formula>FLOOR(E7,1)=TODAY()+1</formula>
    </cfRule>
  </conditionalFormatting>
  <conditionalFormatting sqref="D7">
    <cfRule type="timePeriod" dxfId="515" priority="516" timePeriod="tomorrow">
      <formula>FLOOR(D7,1)=TODAY()+1</formula>
    </cfRule>
  </conditionalFormatting>
  <conditionalFormatting sqref="E7">
    <cfRule type="timePeriod" dxfId="514" priority="515" timePeriod="tomorrow">
      <formula>FLOOR(E7,1)=TODAY()+1</formula>
    </cfRule>
  </conditionalFormatting>
  <conditionalFormatting sqref="D7">
    <cfRule type="timePeriod" dxfId="513" priority="514" timePeriod="tomorrow">
      <formula>FLOOR(D7,1)=TODAY()+1</formula>
    </cfRule>
  </conditionalFormatting>
  <conditionalFormatting sqref="E7">
    <cfRule type="timePeriod" dxfId="512" priority="513" timePeriod="tomorrow">
      <formula>FLOOR(E7,1)=TODAY()+1</formula>
    </cfRule>
  </conditionalFormatting>
  <conditionalFormatting sqref="D7">
    <cfRule type="timePeriod" dxfId="511" priority="512" timePeriod="tomorrow">
      <formula>FLOOR(D7,1)=TODAY()+1</formula>
    </cfRule>
  </conditionalFormatting>
  <conditionalFormatting sqref="E7">
    <cfRule type="timePeriod" dxfId="510" priority="511" timePeriod="tomorrow">
      <formula>FLOOR(E7,1)=TODAY()+1</formula>
    </cfRule>
  </conditionalFormatting>
  <conditionalFormatting sqref="C7:F7">
    <cfRule type="cellIs" dxfId="509" priority="507" operator="equal">
      <formula>"Transformer"</formula>
    </cfRule>
    <cfRule type="cellIs" dxfId="508" priority="508" operator="equal">
      <formula>"Fossil.Gen"</formula>
    </cfRule>
    <cfRule type="cellIs" dxfId="507" priority="509" operator="equal">
      <formula>"Hydro.Gen"</formula>
    </cfRule>
    <cfRule type="cellIs" dxfId="506" priority="510" operator="equal">
      <formula>"Nuc.Gen"</formula>
    </cfRule>
  </conditionalFormatting>
  <conditionalFormatting sqref="D7">
    <cfRule type="timePeriod" dxfId="505" priority="506" timePeriod="tomorrow">
      <formula>FLOOR(D7,1)=TODAY()+1</formula>
    </cfRule>
  </conditionalFormatting>
  <conditionalFormatting sqref="E7">
    <cfRule type="timePeriod" dxfId="504" priority="505" timePeriod="tomorrow">
      <formula>FLOOR(E7,1)=TODAY()+1</formula>
    </cfRule>
  </conditionalFormatting>
  <conditionalFormatting sqref="D7">
    <cfRule type="timePeriod" dxfId="503" priority="504" timePeriod="tomorrow">
      <formula>FLOOR(D7,1)=TODAY()+1</formula>
    </cfRule>
  </conditionalFormatting>
  <conditionalFormatting sqref="E7">
    <cfRule type="timePeriod" dxfId="502" priority="503" timePeriod="tomorrow">
      <formula>FLOOR(E7,1)=TODAY()+1</formula>
    </cfRule>
  </conditionalFormatting>
  <conditionalFormatting sqref="D7">
    <cfRule type="timePeriod" dxfId="501" priority="502" timePeriod="tomorrow">
      <formula>FLOOR(D7,1)=TODAY()+1</formula>
    </cfRule>
  </conditionalFormatting>
  <conditionalFormatting sqref="E7">
    <cfRule type="timePeriod" dxfId="500" priority="501" timePeriod="tomorrow">
      <formula>FLOOR(E7,1)=TODAY()+1</formula>
    </cfRule>
  </conditionalFormatting>
  <conditionalFormatting sqref="D7">
    <cfRule type="timePeriod" dxfId="499" priority="500" timePeriod="tomorrow">
      <formula>FLOOR(D7,1)=TODAY()+1</formula>
    </cfRule>
  </conditionalFormatting>
  <conditionalFormatting sqref="E7">
    <cfRule type="timePeriod" dxfId="498" priority="499" timePeriod="tomorrow">
      <formula>FLOOR(E7,1)=TODAY()+1</formula>
    </cfRule>
  </conditionalFormatting>
  <conditionalFormatting sqref="D7">
    <cfRule type="timePeriod" dxfId="497" priority="498" timePeriod="tomorrow">
      <formula>FLOOR(D7,1)=TODAY()+1</formula>
    </cfRule>
  </conditionalFormatting>
  <conditionalFormatting sqref="E7">
    <cfRule type="timePeriod" dxfId="496" priority="497" timePeriod="tomorrow">
      <formula>FLOOR(E7,1)=TODAY()+1</formula>
    </cfRule>
  </conditionalFormatting>
  <conditionalFormatting sqref="D7">
    <cfRule type="timePeriod" dxfId="495" priority="496" timePeriod="tomorrow">
      <formula>FLOOR(D7,1)=TODAY()+1</formula>
    </cfRule>
  </conditionalFormatting>
  <conditionalFormatting sqref="E7">
    <cfRule type="timePeriod" dxfId="494" priority="495" timePeriod="tomorrow">
      <formula>FLOOR(E7,1)=TODAY()+1</formula>
    </cfRule>
  </conditionalFormatting>
  <conditionalFormatting sqref="D7">
    <cfRule type="timePeriod" dxfId="493" priority="494" timePeriod="tomorrow">
      <formula>FLOOR(D7,1)=TODAY()+1</formula>
    </cfRule>
  </conditionalFormatting>
  <conditionalFormatting sqref="E7">
    <cfRule type="timePeriod" dxfId="492" priority="493" timePeriod="tomorrow">
      <formula>FLOOR(E7,1)=TODAY()+1</formula>
    </cfRule>
  </conditionalFormatting>
  <conditionalFormatting sqref="D7">
    <cfRule type="timePeriod" dxfId="491" priority="492" timePeriod="tomorrow">
      <formula>FLOOR(D7,1)=TODAY()+1</formula>
    </cfRule>
  </conditionalFormatting>
  <conditionalFormatting sqref="E7">
    <cfRule type="timePeriod" dxfId="490" priority="491" timePeriod="tomorrow">
      <formula>FLOOR(E7,1)=TODAY()+1</formula>
    </cfRule>
  </conditionalFormatting>
  <conditionalFormatting sqref="D7">
    <cfRule type="timePeriod" dxfId="489" priority="490" timePeriod="tomorrow">
      <formula>FLOOR(D7,1)=TODAY()+1</formula>
    </cfRule>
  </conditionalFormatting>
  <conditionalFormatting sqref="E7">
    <cfRule type="timePeriod" dxfId="488" priority="489" timePeriod="tomorrow">
      <formula>FLOOR(E7,1)=TODAY()+1</formula>
    </cfRule>
  </conditionalFormatting>
  <conditionalFormatting sqref="D7">
    <cfRule type="timePeriod" dxfId="487" priority="488" timePeriod="tomorrow">
      <formula>FLOOR(D7,1)=TODAY()+1</formula>
    </cfRule>
  </conditionalFormatting>
  <conditionalFormatting sqref="E7">
    <cfRule type="timePeriod" dxfId="486" priority="487" timePeriod="tomorrow">
      <formula>FLOOR(E7,1)=TODAY()+1</formula>
    </cfRule>
  </conditionalFormatting>
  <conditionalFormatting sqref="D7">
    <cfRule type="timePeriod" dxfId="485" priority="486" timePeriod="tomorrow">
      <formula>FLOOR(D7,1)=TODAY()+1</formula>
    </cfRule>
  </conditionalFormatting>
  <conditionalFormatting sqref="E7">
    <cfRule type="timePeriod" dxfId="484" priority="485" timePeriod="tomorrow">
      <formula>FLOOR(E7,1)=TODAY()+1</formula>
    </cfRule>
  </conditionalFormatting>
  <conditionalFormatting sqref="D7">
    <cfRule type="timePeriod" dxfId="483" priority="484" timePeriod="tomorrow">
      <formula>FLOOR(D7,1)=TODAY()+1</formula>
    </cfRule>
  </conditionalFormatting>
  <conditionalFormatting sqref="E7">
    <cfRule type="timePeriod" dxfId="482" priority="483" timePeriod="tomorrow">
      <formula>FLOOR(E7,1)=TODAY()+1</formula>
    </cfRule>
  </conditionalFormatting>
  <conditionalFormatting sqref="D7">
    <cfRule type="timePeriod" dxfId="481" priority="482" timePeriod="tomorrow">
      <formula>FLOOR(D7,1)=TODAY()+1</formula>
    </cfRule>
  </conditionalFormatting>
  <conditionalFormatting sqref="E7">
    <cfRule type="timePeriod" dxfId="480" priority="481" timePeriod="tomorrow">
      <formula>FLOOR(E7,1)=TODAY()+1</formula>
    </cfRule>
  </conditionalFormatting>
  <conditionalFormatting sqref="D7">
    <cfRule type="timePeriod" dxfId="479" priority="480" timePeriod="tomorrow">
      <formula>FLOOR(D7,1)=TODAY()+1</formula>
    </cfRule>
  </conditionalFormatting>
  <conditionalFormatting sqref="E7">
    <cfRule type="timePeriod" dxfId="478" priority="479" timePeriod="tomorrow">
      <formula>FLOOR(E7,1)=TODAY()+1</formula>
    </cfRule>
  </conditionalFormatting>
  <conditionalFormatting sqref="D7">
    <cfRule type="timePeriod" dxfId="477" priority="478" timePeriod="tomorrow">
      <formula>FLOOR(D7,1)=TODAY()+1</formula>
    </cfRule>
  </conditionalFormatting>
  <conditionalFormatting sqref="E7">
    <cfRule type="timePeriod" dxfId="476" priority="477" timePeriod="tomorrow">
      <formula>FLOOR(E7,1)=TODAY()+1</formula>
    </cfRule>
  </conditionalFormatting>
  <conditionalFormatting sqref="D7">
    <cfRule type="timePeriod" dxfId="475" priority="476" timePeriod="tomorrow">
      <formula>FLOOR(D7,1)=TODAY()+1</formula>
    </cfRule>
  </conditionalFormatting>
  <conditionalFormatting sqref="E7">
    <cfRule type="timePeriod" dxfId="474" priority="475" timePeriod="tomorrow">
      <formula>FLOOR(E7,1)=TODAY()+1</formula>
    </cfRule>
  </conditionalFormatting>
  <conditionalFormatting sqref="D7">
    <cfRule type="timePeriod" dxfId="473" priority="474" timePeriod="tomorrow">
      <formula>FLOOR(D7,1)=TODAY()+1</formula>
    </cfRule>
  </conditionalFormatting>
  <conditionalFormatting sqref="E7">
    <cfRule type="timePeriod" dxfId="472" priority="473" timePeriod="tomorrow">
      <formula>FLOOR(E7,1)=TODAY()+1</formula>
    </cfRule>
  </conditionalFormatting>
  <conditionalFormatting sqref="D7">
    <cfRule type="timePeriod" dxfId="471" priority="472" timePeriod="tomorrow">
      <formula>FLOOR(D7,1)=TODAY()+1</formula>
    </cfRule>
  </conditionalFormatting>
  <conditionalFormatting sqref="E7">
    <cfRule type="timePeriod" dxfId="470" priority="471" timePeriod="tomorrow">
      <formula>FLOOR(E7,1)=TODAY()+1</formula>
    </cfRule>
  </conditionalFormatting>
  <conditionalFormatting sqref="D7">
    <cfRule type="timePeriod" dxfId="469" priority="470" timePeriod="tomorrow">
      <formula>FLOOR(D7,1)=TODAY()+1</formula>
    </cfRule>
  </conditionalFormatting>
  <conditionalFormatting sqref="E7">
    <cfRule type="timePeriod" dxfId="468" priority="469" timePeriod="tomorrow">
      <formula>FLOOR(E7,1)=TODAY()+1</formula>
    </cfRule>
  </conditionalFormatting>
  <conditionalFormatting sqref="D7">
    <cfRule type="timePeriod" dxfId="467" priority="468" timePeriod="tomorrow">
      <formula>FLOOR(D7,1)=TODAY()+1</formula>
    </cfRule>
  </conditionalFormatting>
  <conditionalFormatting sqref="E7">
    <cfRule type="timePeriod" dxfId="466" priority="467" timePeriod="tomorrow">
      <formula>FLOOR(E7,1)=TODAY()+1</formula>
    </cfRule>
  </conditionalFormatting>
  <conditionalFormatting sqref="D7">
    <cfRule type="timePeriod" dxfId="465" priority="466" timePeriod="tomorrow">
      <formula>FLOOR(D7,1)=TODAY()+1</formula>
    </cfRule>
  </conditionalFormatting>
  <conditionalFormatting sqref="E7">
    <cfRule type="timePeriod" dxfId="464" priority="465" timePeriod="tomorrow">
      <formula>FLOOR(E7,1)=TODAY()+1</formula>
    </cfRule>
  </conditionalFormatting>
  <conditionalFormatting sqref="D7">
    <cfRule type="timePeriod" dxfId="463" priority="464" timePeriod="tomorrow">
      <formula>FLOOR(D7,1)=TODAY()+1</formula>
    </cfRule>
  </conditionalFormatting>
  <conditionalFormatting sqref="E7">
    <cfRule type="timePeriod" dxfId="462" priority="463" timePeriod="tomorrow">
      <formula>FLOOR(E7,1)=TODAY()+1</formula>
    </cfRule>
  </conditionalFormatting>
  <conditionalFormatting sqref="D7">
    <cfRule type="timePeriod" dxfId="461" priority="462" timePeriod="tomorrow">
      <formula>FLOOR(D7,1)=TODAY()+1</formula>
    </cfRule>
  </conditionalFormatting>
  <conditionalFormatting sqref="E7">
    <cfRule type="timePeriod" dxfId="460" priority="461" timePeriod="tomorrow">
      <formula>FLOOR(E7,1)=TODAY()+1</formula>
    </cfRule>
  </conditionalFormatting>
  <conditionalFormatting sqref="D7">
    <cfRule type="timePeriod" dxfId="459" priority="460" timePeriod="tomorrow">
      <formula>FLOOR(D7,1)=TODAY()+1</formula>
    </cfRule>
  </conditionalFormatting>
  <conditionalFormatting sqref="E7">
    <cfRule type="timePeriod" dxfId="458" priority="459" timePeriod="tomorrow">
      <formula>FLOOR(E7,1)=TODAY()+1</formula>
    </cfRule>
  </conditionalFormatting>
  <conditionalFormatting sqref="D7">
    <cfRule type="timePeriod" dxfId="457" priority="458" timePeriod="tomorrow">
      <formula>FLOOR(D7,1)=TODAY()+1</formula>
    </cfRule>
  </conditionalFormatting>
  <conditionalFormatting sqref="E7">
    <cfRule type="timePeriod" dxfId="456" priority="457" timePeriod="tomorrow">
      <formula>FLOOR(E7,1)=TODAY()+1</formula>
    </cfRule>
  </conditionalFormatting>
  <conditionalFormatting sqref="D7">
    <cfRule type="timePeriod" dxfId="455" priority="456" timePeriod="tomorrow">
      <formula>FLOOR(D7,1)=TODAY()+1</formula>
    </cfRule>
  </conditionalFormatting>
  <conditionalFormatting sqref="E7">
    <cfRule type="timePeriod" dxfId="454" priority="455" timePeriod="tomorrow">
      <formula>FLOOR(E7,1)=TODAY()+1</formula>
    </cfRule>
  </conditionalFormatting>
  <conditionalFormatting sqref="D7">
    <cfRule type="timePeriod" dxfId="453" priority="454" timePeriod="tomorrow">
      <formula>FLOOR(D7,1)=TODAY()+1</formula>
    </cfRule>
  </conditionalFormatting>
  <conditionalFormatting sqref="E7">
    <cfRule type="timePeriod" dxfId="452" priority="453" timePeriod="tomorrow">
      <formula>FLOOR(E7,1)=TODAY()+1</formula>
    </cfRule>
  </conditionalFormatting>
  <conditionalFormatting sqref="D7">
    <cfRule type="timePeriod" dxfId="451" priority="452" timePeriod="tomorrow">
      <formula>FLOOR(D7,1)=TODAY()+1</formula>
    </cfRule>
  </conditionalFormatting>
  <conditionalFormatting sqref="E7">
    <cfRule type="timePeriod" dxfId="450" priority="451" timePeriod="tomorrow">
      <formula>FLOOR(E7,1)=TODAY()+1</formula>
    </cfRule>
  </conditionalFormatting>
  <conditionalFormatting sqref="D7">
    <cfRule type="timePeriod" dxfId="449" priority="450" timePeriod="tomorrow">
      <formula>FLOOR(D7,1)=TODAY()+1</formula>
    </cfRule>
  </conditionalFormatting>
  <conditionalFormatting sqref="E7">
    <cfRule type="timePeriod" dxfId="448" priority="449" timePeriod="tomorrow">
      <formula>FLOOR(E7,1)=TODAY()+1</formula>
    </cfRule>
  </conditionalFormatting>
  <conditionalFormatting sqref="D7">
    <cfRule type="timePeriod" dxfId="447" priority="448" timePeriod="tomorrow">
      <formula>FLOOR(D7,1)=TODAY()+1</formula>
    </cfRule>
  </conditionalFormatting>
  <conditionalFormatting sqref="E7">
    <cfRule type="timePeriod" dxfId="446" priority="447" timePeriod="tomorrow">
      <formula>FLOOR(E7,1)=TODAY()+1</formula>
    </cfRule>
  </conditionalFormatting>
  <conditionalFormatting sqref="D7">
    <cfRule type="timePeriod" dxfId="445" priority="446" timePeriod="tomorrow">
      <formula>FLOOR(D7,1)=TODAY()+1</formula>
    </cfRule>
  </conditionalFormatting>
  <conditionalFormatting sqref="E7">
    <cfRule type="timePeriod" dxfId="444" priority="445" timePeriod="tomorrow">
      <formula>FLOOR(E7,1)=TODAY()+1</formula>
    </cfRule>
  </conditionalFormatting>
  <conditionalFormatting sqref="D7">
    <cfRule type="timePeriod" dxfId="443" priority="444" timePeriod="tomorrow">
      <formula>FLOOR(D7,1)=TODAY()+1</formula>
    </cfRule>
  </conditionalFormatting>
  <conditionalFormatting sqref="E7">
    <cfRule type="timePeriod" dxfId="442" priority="443" timePeriod="tomorrow">
      <formula>FLOOR(E7,1)=TODAY()+1</formula>
    </cfRule>
  </conditionalFormatting>
  <conditionalFormatting sqref="D7">
    <cfRule type="timePeriod" dxfId="441" priority="442" timePeriod="tomorrow">
      <formula>FLOOR(D7,1)=TODAY()+1</formula>
    </cfRule>
  </conditionalFormatting>
  <conditionalFormatting sqref="E7">
    <cfRule type="timePeriod" dxfId="440" priority="441" timePeriod="tomorrow">
      <formula>FLOOR(E7,1)=TODAY()+1</formula>
    </cfRule>
  </conditionalFormatting>
  <conditionalFormatting sqref="D7">
    <cfRule type="timePeriod" dxfId="439" priority="440" timePeriod="tomorrow">
      <formula>FLOOR(D7,1)=TODAY()+1</formula>
    </cfRule>
  </conditionalFormatting>
  <conditionalFormatting sqref="E7">
    <cfRule type="timePeriod" dxfId="438" priority="439" timePeriod="tomorrow">
      <formula>FLOOR(E7,1)=TODAY()+1</formula>
    </cfRule>
  </conditionalFormatting>
  <conditionalFormatting sqref="D7">
    <cfRule type="timePeriod" dxfId="437" priority="438" timePeriod="tomorrow">
      <formula>FLOOR(D7,1)=TODAY()+1</formula>
    </cfRule>
  </conditionalFormatting>
  <conditionalFormatting sqref="E7">
    <cfRule type="timePeriod" dxfId="436" priority="437" timePeriod="tomorrow">
      <formula>FLOOR(E7,1)=TODAY()+1</formula>
    </cfRule>
  </conditionalFormatting>
  <conditionalFormatting sqref="D7">
    <cfRule type="timePeriod" dxfId="435" priority="436" timePeriod="tomorrow">
      <formula>FLOOR(D7,1)=TODAY()+1</formula>
    </cfRule>
  </conditionalFormatting>
  <conditionalFormatting sqref="E7">
    <cfRule type="timePeriod" dxfId="434" priority="435" timePeriod="tomorrow">
      <formula>FLOOR(E7,1)=TODAY()+1</formula>
    </cfRule>
  </conditionalFormatting>
  <conditionalFormatting sqref="D7">
    <cfRule type="timePeriod" dxfId="433" priority="434" timePeriod="tomorrow">
      <formula>FLOOR(D7,1)=TODAY()+1</formula>
    </cfRule>
  </conditionalFormatting>
  <conditionalFormatting sqref="E7">
    <cfRule type="timePeriod" dxfId="432" priority="433" timePeriod="tomorrow">
      <formula>FLOOR(E7,1)=TODAY()+1</formula>
    </cfRule>
  </conditionalFormatting>
  <conditionalFormatting sqref="D7">
    <cfRule type="timePeriod" dxfId="431" priority="432" timePeriod="tomorrow">
      <formula>FLOOR(D7,1)=TODAY()+1</formula>
    </cfRule>
  </conditionalFormatting>
  <conditionalFormatting sqref="E7">
    <cfRule type="timePeriod" dxfId="430" priority="431" timePeriod="tomorrow">
      <formula>FLOOR(E7,1)=TODAY()+1</formula>
    </cfRule>
  </conditionalFormatting>
  <conditionalFormatting sqref="D7">
    <cfRule type="timePeriod" dxfId="429" priority="430" timePeriod="tomorrow">
      <formula>FLOOR(D7,1)=TODAY()+1</formula>
    </cfRule>
  </conditionalFormatting>
  <conditionalFormatting sqref="E7">
    <cfRule type="timePeriod" dxfId="428" priority="429" timePeriod="tomorrow">
      <formula>FLOOR(E7,1)=TODAY()+1</formula>
    </cfRule>
  </conditionalFormatting>
  <conditionalFormatting sqref="D7">
    <cfRule type="timePeriod" dxfId="427" priority="428" timePeriod="tomorrow">
      <formula>FLOOR(D7,1)=TODAY()+1</formula>
    </cfRule>
  </conditionalFormatting>
  <conditionalFormatting sqref="E7">
    <cfRule type="timePeriod" dxfId="426" priority="427" timePeriod="tomorrow">
      <formula>FLOOR(E7,1)=TODAY()+1</formula>
    </cfRule>
  </conditionalFormatting>
  <conditionalFormatting sqref="D7">
    <cfRule type="timePeriod" dxfId="425" priority="426" timePeriod="tomorrow">
      <formula>FLOOR(D7,1)=TODAY()+1</formula>
    </cfRule>
  </conditionalFormatting>
  <conditionalFormatting sqref="E7">
    <cfRule type="timePeriod" dxfId="424" priority="425" timePeriod="tomorrow">
      <formula>FLOOR(E7,1)=TODAY()+1</formula>
    </cfRule>
  </conditionalFormatting>
  <conditionalFormatting sqref="D7">
    <cfRule type="timePeriod" dxfId="423" priority="424" timePeriod="tomorrow">
      <formula>FLOOR(D7,1)=TODAY()+1</formula>
    </cfRule>
  </conditionalFormatting>
  <conditionalFormatting sqref="E7">
    <cfRule type="timePeriod" dxfId="422" priority="423" timePeriod="tomorrow">
      <formula>FLOOR(E7,1)=TODAY()+1</formula>
    </cfRule>
  </conditionalFormatting>
  <conditionalFormatting sqref="D7">
    <cfRule type="timePeriod" dxfId="421" priority="422" timePeriod="tomorrow">
      <formula>FLOOR(D7,1)=TODAY()+1</formula>
    </cfRule>
  </conditionalFormatting>
  <conditionalFormatting sqref="E7">
    <cfRule type="timePeriod" dxfId="420" priority="421" timePeriod="tomorrow">
      <formula>FLOOR(E7,1)=TODAY()+1</formula>
    </cfRule>
  </conditionalFormatting>
  <conditionalFormatting sqref="D7">
    <cfRule type="timePeriod" dxfId="419" priority="420" timePeriod="tomorrow">
      <formula>FLOOR(D7,1)=TODAY()+1</formula>
    </cfRule>
  </conditionalFormatting>
  <conditionalFormatting sqref="E7">
    <cfRule type="timePeriod" dxfId="418" priority="419" timePeriod="tomorrow">
      <formula>FLOOR(E7,1)=TODAY()+1</formula>
    </cfRule>
  </conditionalFormatting>
  <conditionalFormatting sqref="D7">
    <cfRule type="timePeriod" dxfId="417" priority="418" timePeriod="tomorrow">
      <formula>FLOOR(D7,1)=TODAY()+1</formula>
    </cfRule>
  </conditionalFormatting>
  <conditionalFormatting sqref="E7">
    <cfRule type="timePeriod" dxfId="416" priority="417" timePeriod="tomorrow">
      <formula>FLOOR(E7,1)=TODAY()+1</formula>
    </cfRule>
  </conditionalFormatting>
  <conditionalFormatting sqref="C7:F7">
    <cfRule type="cellIs" dxfId="415" priority="413" operator="equal">
      <formula>"Transformer"</formula>
    </cfRule>
    <cfRule type="cellIs" dxfId="414" priority="414" operator="equal">
      <formula>"Fossil.Gen"</formula>
    </cfRule>
    <cfRule type="cellIs" dxfId="413" priority="415" operator="equal">
      <formula>"Hydro.Gen"</formula>
    </cfRule>
    <cfRule type="cellIs" dxfId="412" priority="416" operator="equal">
      <formula>"Nuc.Gen"</formula>
    </cfRule>
  </conditionalFormatting>
  <conditionalFormatting sqref="D7">
    <cfRule type="timePeriod" dxfId="411" priority="412" timePeriod="tomorrow">
      <formula>FLOOR(D7,1)=TODAY()+1</formula>
    </cfRule>
  </conditionalFormatting>
  <conditionalFormatting sqref="E7">
    <cfRule type="timePeriod" dxfId="410" priority="411" timePeriod="tomorrow">
      <formula>FLOOR(E7,1)=TODAY()+1</formula>
    </cfRule>
  </conditionalFormatting>
  <conditionalFormatting sqref="D7">
    <cfRule type="timePeriod" dxfId="409" priority="410" timePeriod="tomorrow">
      <formula>FLOOR(D7,1)=TODAY()+1</formula>
    </cfRule>
  </conditionalFormatting>
  <conditionalFormatting sqref="E7">
    <cfRule type="timePeriod" dxfId="408" priority="409" timePeriod="tomorrow">
      <formula>FLOOR(E7,1)=TODAY()+1</formula>
    </cfRule>
  </conditionalFormatting>
  <conditionalFormatting sqref="D7">
    <cfRule type="timePeriod" dxfId="407" priority="408" timePeriod="tomorrow">
      <formula>FLOOR(D7,1)=TODAY()+1</formula>
    </cfRule>
  </conditionalFormatting>
  <conditionalFormatting sqref="E7">
    <cfRule type="timePeriod" dxfId="406" priority="407" timePeriod="tomorrow">
      <formula>FLOOR(E7,1)=TODAY()+1</formula>
    </cfRule>
  </conditionalFormatting>
  <conditionalFormatting sqref="D7">
    <cfRule type="timePeriod" dxfId="405" priority="406" timePeriod="tomorrow">
      <formula>FLOOR(D7,1)=TODAY()+1</formula>
    </cfRule>
  </conditionalFormatting>
  <conditionalFormatting sqref="E7">
    <cfRule type="timePeriod" dxfId="404" priority="405" timePeriod="tomorrow">
      <formula>FLOOR(E7,1)=TODAY()+1</formula>
    </cfRule>
  </conditionalFormatting>
  <conditionalFormatting sqref="D7">
    <cfRule type="timePeriod" dxfId="403" priority="404" timePeriod="tomorrow">
      <formula>FLOOR(D7,1)=TODAY()+1</formula>
    </cfRule>
  </conditionalFormatting>
  <conditionalFormatting sqref="E7">
    <cfRule type="timePeriod" dxfId="402" priority="403" timePeriod="tomorrow">
      <formula>FLOOR(E7,1)=TODAY()+1</formula>
    </cfRule>
  </conditionalFormatting>
  <conditionalFormatting sqref="D7">
    <cfRule type="timePeriod" dxfId="401" priority="402" timePeriod="tomorrow">
      <formula>FLOOR(D7,1)=TODAY()+1</formula>
    </cfRule>
  </conditionalFormatting>
  <conditionalFormatting sqref="E7">
    <cfRule type="timePeriod" dxfId="400" priority="401" timePeriod="tomorrow">
      <formula>FLOOR(E7,1)=TODAY()+1</formula>
    </cfRule>
  </conditionalFormatting>
  <conditionalFormatting sqref="D7">
    <cfRule type="timePeriod" dxfId="399" priority="400" timePeriod="tomorrow">
      <formula>FLOOR(D7,1)=TODAY()+1</formula>
    </cfRule>
  </conditionalFormatting>
  <conditionalFormatting sqref="E7">
    <cfRule type="timePeriod" dxfId="398" priority="399" timePeriod="tomorrow">
      <formula>FLOOR(E7,1)=TODAY()+1</formula>
    </cfRule>
  </conditionalFormatting>
  <conditionalFormatting sqref="D7">
    <cfRule type="timePeriod" dxfId="397" priority="398" timePeriod="tomorrow">
      <formula>FLOOR(D7,1)=TODAY()+1</formula>
    </cfRule>
  </conditionalFormatting>
  <conditionalFormatting sqref="E7">
    <cfRule type="timePeriod" dxfId="396" priority="397" timePeriod="tomorrow">
      <formula>FLOOR(E7,1)=TODAY()+1</formula>
    </cfRule>
  </conditionalFormatting>
  <conditionalFormatting sqref="D7">
    <cfRule type="timePeriod" dxfId="395" priority="396" timePeriod="tomorrow">
      <formula>FLOOR(D7,1)=TODAY()+1</formula>
    </cfRule>
  </conditionalFormatting>
  <conditionalFormatting sqref="E7">
    <cfRule type="timePeriod" dxfId="394" priority="395" timePeriod="tomorrow">
      <formula>FLOOR(E7,1)=TODAY()+1</formula>
    </cfRule>
  </conditionalFormatting>
  <conditionalFormatting sqref="D7">
    <cfRule type="timePeriod" dxfId="393" priority="394" timePeriod="tomorrow">
      <formula>FLOOR(D7,1)=TODAY()+1</formula>
    </cfRule>
  </conditionalFormatting>
  <conditionalFormatting sqref="E7">
    <cfRule type="timePeriod" dxfId="392" priority="393" timePeriod="tomorrow">
      <formula>FLOOR(E7,1)=TODAY()+1</formula>
    </cfRule>
  </conditionalFormatting>
  <conditionalFormatting sqref="D7">
    <cfRule type="timePeriod" dxfId="391" priority="392" timePeriod="tomorrow">
      <formula>FLOOR(D7,1)=TODAY()+1</formula>
    </cfRule>
  </conditionalFormatting>
  <conditionalFormatting sqref="E7">
    <cfRule type="timePeriod" dxfId="390" priority="391" timePeriod="tomorrow">
      <formula>FLOOR(E7,1)=TODAY()+1</formula>
    </cfRule>
  </conditionalFormatting>
  <conditionalFormatting sqref="D7">
    <cfRule type="timePeriod" dxfId="389" priority="390" timePeriod="tomorrow">
      <formula>FLOOR(D7,1)=TODAY()+1</formula>
    </cfRule>
  </conditionalFormatting>
  <conditionalFormatting sqref="E7">
    <cfRule type="timePeriod" dxfId="388" priority="389" timePeriod="tomorrow">
      <formula>FLOOR(E7,1)=TODAY()+1</formula>
    </cfRule>
  </conditionalFormatting>
  <conditionalFormatting sqref="D7">
    <cfRule type="timePeriod" dxfId="387" priority="388" timePeriod="tomorrow">
      <formula>FLOOR(D7,1)=TODAY()+1</formula>
    </cfRule>
  </conditionalFormatting>
  <conditionalFormatting sqref="E7">
    <cfRule type="timePeriod" dxfId="386" priority="387" timePeriod="tomorrow">
      <formula>FLOOR(E7,1)=TODAY()+1</formula>
    </cfRule>
  </conditionalFormatting>
  <conditionalFormatting sqref="D7">
    <cfRule type="timePeriod" dxfId="385" priority="386" timePeriod="tomorrow">
      <formula>FLOOR(D7,1)=TODAY()+1</formula>
    </cfRule>
  </conditionalFormatting>
  <conditionalFormatting sqref="E7">
    <cfRule type="timePeriod" dxfId="384" priority="385" timePeriod="tomorrow">
      <formula>FLOOR(E7,1)=TODAY()+1</formula>
    </cfRule>
  </conditionalFormatting>
  <conditionalFormatting sqref="D7">
    <cfRule type="timePeriod" dxfId="383" priority="384" timePeriod="tomorrow">
      <formula>FLOOR(D7,1)=TODAY()+1</formula>
    </cfRule>
  </conditionalFormatting>
  <conditionalFormatting sqref="E7">
    <cfRule type="timePeriod" dxfId="382" priority="383" timePeriod="tomorrow">
      <formula>FLOOR(E7,1)=TODAY()+1</formula>
    </cfRule>
  </conditionalFormatting>
  <conditionalFormatting sqref="D7">
    <cfRule type="timePeriod" dxfId="381" priority="382" timePeriod="tomorrow">
      <formula>FLOOR(D7,1)=TODAY()+1</formula>
    </cfRule>
  </conditionalFormatting>
  <conditionalFormatting sqref="E7">
    <cfRule type="timePeriod" dxfId="380" priority="381" timePeriod="tomorrow">
      <formula>FLOOR(E7,1)=TODAY()+1</formula>
    </cfRule>
  </conditionalFormatting>
  <conditionalFormatting sqref="D7">
    <cfRule type="timePeriod" dxfId="379" priority="380" timePeriod="tomorrow">
      <formula>FLOOR(D7,1)=TODAY()+1</formula>
    </cfRule>
  </conditionalFormatting>
  <conditionalFormatting sqref="E7">
    <cfRule type="timePeriod" dxfId="378" priority="379" timePeriod="tomorrow">
      <formula>FLOOR(E7,1)=TODAY()+1</formula>
    </cfRule>
  </conditionalFormatting>
  <conditionalFormatting sqref="D7">
    <cfRule type="timePeriod" dxfId="377" priority="378" timePeriod="tomorrow">
      <formula>FLOOR(D7,1)=TODAY()+1</formula>
    </cfRule>
  </conditionalFormatting>
  <conditionalFormatting sqref="E7">
    <cfRule type="timePeriod" dxfId="376" priority="377" timePeriod="tomorrow">
      <formula>FLOOR(E7,1)=TODAY()+1</formula>
    </cfRule>
  </conditionalFormatting>
  <conditionalFormatting sqref="D7">
    <cfRule type="timePeriod" dxfId="375" priority="376" timePeriod="tomorrow">
      <formula>FLOOR(D7,1)=TODAY()+1</formula>
    </cfRule>
  </conditionalFormatting>
  <conditionalFormatting sqref="E7">
    <cfRule type="timePeriod" dxfId="374" priority="375" timePeriod="tomorrow">
      <formula>FLOOR(E7,1)=TODAY()+1</formula>
    </cfRule>
  </conditionalFormatting>
  <conditionalFormatting sqref="D7">
    <cfRule type="timePeriod" dxfId="373" priority="374" timePeriod="tomorrow">
      <formula>FLOOR(D7,1)=TODAY()+1</formula>
    </cfRule>
  </conditionalFormatting>
  <conditionalFormatting sqref="E7">
    <cfRule type="timePeriod" dxfId="372" priority="373" timePeriod="tomorrow">
      <formula>FLOOR(E7,1)=TODAY()+1</formula>
    </cfRule>
  </conditionalFormatting>
  <conditionalFormatting sqref="D7">
    <cfRule type="timePeriod" dxfId="371" priority="372" timePeriod="tomorrow">
      <formula>FLOOR(D7,1)=TODAY()+1</formula>
    </cfRule>
  </conditionalFormatting>
  <conditionalFormatting sqref="E7">
    <cfRule type="timePeriod" dxfId="370" priority="371" timePeriod="tomorrow">
      <formula>FLOOR(E7,1)=TODAY()+1</formula>
    </cfRule>
  </conditionalFormatting>
  <conditionalFormatting sqref="D7">
    <cfRule type="timePeriod" dxfId="369" priority="370" timePeriod="tomorrow">
      <formula>FLOOR(D7,1)=TODAY()+1</formula>
    </cfRule>
  </conditionalFormatting>
  <conditionalFormatting sqref="E7">
    <cfRule type="timePeriod" dxfId="368" priority="369" timePeriod="tomorrow">
      <formula>FLOOR(E7,1)=TODAY()+1</formula>
    </cfRule>
  </conditionalFormatting>
  <conditionalFormatting sqref="D7">
    <cfRule type="timePeriod" dxfId="367" priority="368" timePeriod="tomorrow">
      <formula>FLOOR(D7,1)=TODAY()+1</formula>
    </cfRule>
  </conditionalFormatting>
  <conditionalFormatting sqref="E7">
    <cfRule type="timePeriod" dxfId="366" priority="367" timePeriod="tomorrow">
      <formula>FLOOR(E7,1)=TODAY()+1</formula>
    </cfRule>
  </conditionalFormatting>
  <conditionalFormatting sqref="D7">
    <cfRule type="timePeriod" dxfId="365" priority="366" timePeriod="tomorrow">
      <formula>FLOOR(D7,1)=TODAY()+1</formula>
    </cfRule>
  </conditionalFormatting>
  <conditionalFormatting sqref="E7">
    <cfRule type="timePeriod" dxfId="364" priority="365" timePeriod="tomorrow">
      <formula>FLOOR(E7,1)=TODAY()+1</formula>
    </cfRule>
  </conditionalFormatting>
  <conditionalFormatting sqref="D7">
    <cfRule type="timePeriod" dxfId="363" priority="364" timePeriod="tomorrow">
      <formula>FLOOR(D7,1)=TODAY()+1</formula>
    </cfRule>
  </conditionalFormatting>
  <conditionalFormatting sqref="E7">
    <cfRule type="timePeriod" dxfId="362" priority="363" timePeriod="tomorrow">
      <formula>FLOOR(E7,1)=TODAY()+1</formula>
    </cfRule>
  </conditionalFormatting>
  <conditionalFormatting sqref="D7">
    <cfRule type="timePeriod" dxfId="361" priority="362" timePeriod="tomorrow">
      <formula>FLOOR(D7,1)=TODAY()+1</formula>
    </cfRule>
  </conditionalFormatting>
  <conditionalFormatting sqref="E7">
    <cfRule type="timePeriod" dxfId="360" priority="361" timePeriod="tomorrow">
      <formula>FLOOR(E7,1)=TODAY()+1</formula>
    </cfRule>
  </conditionalFormatting>
  <conditionalFormatting sqref="D7">
    <cfRule type="timePeriod" dxfId="359" priority="360" timePeriod="tomorrow">
      <formula>FLOOR(D7,1)=TODAY()+1</formula>
    </cfRule>
  </conditionalFormatting>
  <conditionalFormatting sqref="E7">
    <cfRule type="timePeriod" dxfId="358" priority="359" timePeriod="tomorrow">
      <formula>FLOOR(E7,1)=TODAY()+1</formula>
    </cfRule>
  </conditionalFormatting>
  <conditionalFormatting sqref="D7">
    <cfRule type="timePeriod" dxfId="357" priority="358" timePeriod="tomorrow">
      <formula>FLOOR(D7,1)=TODAY()+1</formula>
    </cfRule>
  </conditionalFormatting>
  <conditionalFormatting sqref="E7">
    <cfRule type="timePeriod" dxfId="356" priority="357" timePeriod="tomorrow">
      <formula>FLOOR(E7,1)=TODAY()+1</formula>
    </cfRule>
  </conditionalFormatting>
  <conditionalFormatting sqref="D7">
    <cfRule type="timePeriod" dxfId="355" priority="356" timePeriod="tomorrow">
      <formula>FLOOR(D7,1)=TODAY()+1</formula>
    </cfRule>
  </conditionalFormatting>
  <conditionalFormatting sqref="E7">
    <cfRule type="timePeriod" dxfId="354" priority="355" timePeriod="tomorrow">
      <formula>FLOOR(E7,1)=TODAY()+1</formula>
    </cfRule>
  </conditionalFormatting>
  <conditionalFormatting sqref="D7">
    <cfRule type="timePeriod" dxfId="353" priority="354" timePeriod="tomorrow">
      <formula>FLOOR(D7,1)=TODAY()+1</formula>
    </cfRule>
  </conditionalFormatting>
  <conditionalFormatting sqref="E7">
    <cfRule type="timePeriod" dxfId="352" priority="353" timePeriod="tomorrow">
      <formula>FLOOR(E7,1)=TODAY()+1</formula>
    </cfRule>
  </conditionalFormatting>
  <conditionalFormatting sqref="D7">
    <cfRule type="timePeriod" dxfId="351" priority="352" timePeriod="tomorrow">
      <formula>FLOOR(D7,1)=TODAY()+1</formula>
    </cfRule>
  </conditionalFormatting>
  <conditionalFormatting sqref="E7">
    <cfRule type="timePeriod" dxfId="350" priority="351" timePeriod="tomorrow">
      <formula>FLOOR(E7,1)=TODAY()+1</formula>
    </cfRule>
  </conditionalFormatting>
  <conditionalFormatting sqref="D7">
    <cfRule type="timePeriod" dxfId="349" priority="350" timePeriod="tomorrow">
      <formula>FLOOR(D7,1)=TODAY()+1</formula>
    </cfRule>
  </conditionalFormatting>
  <conditionalFormatting sqref="E7">
    <cfRule type="timePeriod" dxfId="348" priority="349" timePeriod="tomorrow">
      <formula>FLOOR(E7,1)=TODAY()+1</formula>
    </cfRule>
  </conditionalFormatting>
  <conditionalFormatting sqref="D7">
    <cfRule type="timePeriod" dxfId="347" priority="348" timePeriod="tomorrow">
      <formula>FLOOR(D7,1)=TODAY()+1</formula>
    </cfRule>
  </conditionalFormatting>
  <conditionalFormatting sqref="E7">
    <cfRule type="timePeriod" dxfId="346" priority="347" timePeriod="tomorrow">
      <formula>FLOOR(E7,1)=TODAY()+1</formula>
    </cfRule>
  </conditionalFormatting>
  <conditionalFormatting sqref="D7">
    <cfRule type="timePeriod" dxfId="345" priority="346" timePeriod="tomorrow">
      <formula>FLOOR(D7,1)=TODAY()+1</formula>
    </cfRule>
  </conditionalFormatting>
  <conditionalFormatting sqref="E7">
    <cfRule type="timePeriod" dxfId="344" priority="345" timePeriod="tomorrow">
      <formula>FLOOR(E7,1)=TODAY()+1</formula>
    </cfRule>
  </conditionalFormatting>
  <conditionalFormatting sqref="D7">
    <cfRule type="timePeriod" dxfId="343" priority="344" timePeriod="tomorrow">
      <formula>FLOOR(D7,1)=TODAY()+1</formula>
    </cfRule>
  </conditionalFormatting>
  <conditionalFormatting sqref="E7">
    <cfRule type="timePeriod" dxfId="342" priority="343" timePeriod="tomorrow">
      <formula>FLOOR(E7,1)=TODAY()+1</formula>
    </cfRule>
  </conditionalFormatting>
  <conditionalFormatting sqref="D7">
    <cfRule type="timePeriod" dxfId="341" priority="342" timePeriod="tomorrow">
      <formula>FLOOR(D7,1)=TODAY()+1</formula>
    </cfRule>
  </conditionalFormatting>
  <conditionalFormatting sqref="E7">
    <cfRule type="timePeriod" dxfId="340" priority="341" timePeriod="tomorrow">
      <formula>FLOOR(E7,1)=TODAY()+1</formula>
    </cfRule>
  </conditionalFormatting>
  <conditionalFormatting sqref="D7">
    <cfRule type="timePeriod" dxfId="339" priority="340" timePeriod="tomorrow">
      <formula>FLOOR(D7,1)=TODAY()+1</formula>
    </cfRule>
  </conditionalFormatting>
  <conditionalFormatting sqref="E7">
    <cfRule type="timePeriod" dxfId="338" priority="339" timePeriod="tomorrow">
      <formula>FLOOR(E7,1)=TODAY()+1</formula>
    </cfRule>
  </conditionalFormatting>
  <conditionalFormatting sqref="D7">
    <cfRule type="timePeriod" dxfId="337" priority="338" timePeriod="tomorrow">
      <formula>FLOOR(D7,1)=TODAY()+1</formula>
    </cfRule>
  </conditionalFormatting>
  <conditionalFormatting sqref="E7">
    <cfRule type="timePeriod" dxfId="336" priority="337" timePeriod="tomorrow">
      <formula>FLOOR(E7,1)=TODAY()+1</formula>
    </cfRule>
  </conditionalFormatting>
  <conditionalFormatting sqref="D7">
    <cfRule type="timePeriod" dxfId="335" priority="336" timePeriod="tomorrow">
      <formula>FLOOR(D7,1)=TODAY()+1</formula>
    </cfRule>
  </conditionalFormatting>
  <conditionalFormatting sqref="E7">
    <cfRule type="timePeriod" dxfId="334" priority="335" timePeriod="tomorrow">
      <formula>FLOOR(E7,1)=TODAY()+1</formula>
    </cfRule>
  </conditionalFormatting>
  <conditionalFormatting sqref="D7">
    <cfRule type="timePeriod" dxfId="333" priority="334" timePeriod="tomorrow">
      <formula>FLOOR(D7,1)=TODAY()+1</formula>
    </cfRule>
  </conditionalFormatting>
  <conditionalFormatting sqref="E7">
    <cfRule type="timePeriod" dxfId="332" priority="333" timePeriod="tomorrow">
      <formula>FLOOR(E7,1)=TODAY()+1</formula>
    </cfRule>
  </conditionalFormatting>
  <conditionalFormatting sqref="D7">
    <cfRule type="timePeriod" dxfId="331" priority="332" timePeriod="tomorrow">
      <formula>FLOOR(D7,1)=TODAY()+1</formula>
    </cfRule>
  </conditionalFormatting>
  <conditionalFormatting sqref="E7">
    <cfRule type="timePeriod" dxfId="330" priority="331" timePeriod="tomorrow">
      <formula>FLOOR(E7,1)=TODAY()+1</formula>
    </cfRule>
  </conditionalFormatting>
  <conditionalFormatting sqref="D7">
    <cfRule type="timePeriod" dxfId="329" priority="330" timePeriod="tomorrow">
      <formula>FLOOR(D7,1)=TODAY()+1</formula>
    </cfRule>
  </conditionalFormatting>
  <conditionalFormatting sqref="E7">
    <cfRule type="timePeriod" dxfId="328" priority="329" timePeriod="tomorrow">
      <formula>FLOOR(E7,1)=TODAY()+1</formula>
    </cfRule>
  </conditionalFormatting>
  <conditionalFormatting sqref="D7">
    <cfRule type="timePeriod" dxfId="327" priority="328" timePeriod="tomorrow">
      <formula>FLOOR(D7,1)=TODAY()+1</formula>
    </cfRule>
  </conditionalFormatting>
  <conditionalFormatting sqref="E7">
    <cfRule type="timePeriod" dxfId="326" priority="327" timePeriod="tomorrow">
      <formula>FLOOR(E7,1)=TODAY()+1</formula>
    </cfRule>
  </conditionalFormatting>
  <conditionalFormatting sqref="D7">
    <cfRule type="timePeriod" dxfId="325" priority="326" timePeriod="tomorrow">
      <formula>FLOOR(D7,1)=TODAY()+1</formula>
    </cfRule>
  </conditionalFormatting>
  <conditionalFormatting sqref="E7">
    <cfRule type="timePeriod" dxfId="324" priority="325" timePeriod="tomorrow">
      <formula>FLOOR(E7,1)=TODAY()+1</formula>
    </cfRule>
  </conditionalFormatting>
  <conditionalFormatting sqref="D8">
    <cfRule type="timePeriod" dxfId="323" priority="324" timePeriod="tomorrow">
      <formula>FLOOR(D8,1)=TODAY()+1</formula>
    </cfRule>
  </conditionalFormatting>
  <conditionalFormatting sqref="E8">
    <cfRule type="timePeriod" dxfId="322" priority="323" timePeriod="tomorrow">
      <formula>FLOOR(E8,1)=TODAY()+1</formula>
    </cfRule>
  </conditionalFormatting>
  <conditionalFormatting sqref="D8">
    <cfRule type="timePeriod" dxfId="321" priority="322" timePeriod="tomorrow">
      <formula>FLOOR(D8,1)=TODAY()+1</formula>
    </cfRule>
  </conditionalFormatting>
  <conditionalFormatting sqref="E8">
    <cfRule type="timePeriod" dxfId="320" priority="321" timePeriod="tomorrow">
      <formula>FLOOR(E8,1)=TODAY()+1</formula>
    </cfRule>
  </conditionalFormatting>
  <conditionalFormatting sqref="D8">
    <cfRule type="timePeriod" dxfId="319" priority="320" timePeriod="tomorrow">
      <formula>FLOOR(D8,1)=TODAY()+1</formula>
    </cfRule>
  </conditionalFormatting>
  <conditionalFormatting sqref="E8">
    <cfRule type="timePeriod" dxfId="318" priority="319" timePeriod="tomorrow">
      <formula>FLOOR(E8,1)=TODAY()+1</formula>
    </cfRule>
  </conditionalFormatting>
  <conditionalFormatting sqref="D8">
    <cfRule type="timePeriod" dxfId="317" priority="318" timePeriod="tomorrow">
      <formula>FLOOR(D8,1)=TODAY()+1</formula>
    </cfRule>
  </conditionalFormatting>
  <conditionalFormatting sqref="E8">
    <cfRule type="timePeriod" dxfId="316" priority="317" timePeriod="tomorrow">
      <formula>FLOOR(E8,1)=TODAY()+1</formula>
    </cfRule>
  </conditionalFormatting>
  <conditionalFormatting sqref="D8">
    <cfRule type="timePeriod" dxfId="315" priority="316" timePeriod="tomorrow">
      <formula>FLOOR(D8,1)=TODAY()+1</formula>
    </cfRule>
  </conditionalFormatting>
  <conditionalFormatting sqref="E8">
    <cfRule type="timePeriod" dxfId="314" priority="315" timePeriod="tomorrow">
      <formula>FLOOR(E8,1)=TODAY()+1</formula>
    </cfRule>
  </conditionalFormatting>
  <conditionalFormatting sqref="D8">
    <cfRule type="timePeriod" dxfId="313" priority="314" timePeriod="tomorrow">
      <formula>FLOOR(D8,1)=TODAY()+1</formula>
    </cfRule>
  </conditionalFormatting>
  <conditionalFormatting sqref="E8">
    <cfRule type="timePeriod" dxfId="312" priority="313" timePeriod="tomorrow">
      <formula>FLOOR(E8,1)=TODAY()+1</formula>
    </cfRule>
  </conditionalFormatting>
  <conditionalFormatting sqref="D8">
    <cfRule type="timePeriod" dxfId="311" priority="312" timePeriod="tomorrow">
      <formula>FLOOR(D8,1)=TODAY()+1</formula>
    </cfRule>
  </conditionalFormatting>
  <conditionalFormatting sqref="E8">
    <cfRule type="timePeriod" dxfId="310" priority="311" timePeriod="tomorrow">
      <formula>FLOOR(E8,1)=TODAY()+1</formula>
    </cfRule>
  </conditionalFormatting>
  <conditionalFormatting sqref="D8">
    <cfRule type="timePeriod" dxfId="309" priority="310" timePeriod="tomorrow">
      <formula>FLOOR(D8,1)=TODAY()+1</formula>
    </cfRule>
  </conditionalFormatting>
  <conditionalFormatting sqref="E8">
    <cfRule type="timePeriod" dxfId="308" priority="309" timePeriod="tomorrow">
      <formula>FLOOR(E8,1)=TODAY()+1</formula>
    </cfRule>
  </conditionalFormatting>
  <conditionalFormatting sqref="D8">
    <cfRule type="timePeriod" dxfId="307" priority="308" timePeriod="tomorrow">
      <formula>FLOOR(D8,1)=TODAY()+1</formula>
    </cfRule>
  </conditionalFormatting>
  <conditionalFormatting sqref="E8">
    <cfRule type="timePeriod" dxfId="306" priority="307" timePeriod="tomorrow">
      <formula>FLOOR(E8,1)=TODAY()+1</formula>
    </cfRule>
  </conditionalFormatting>
  <conditionalFormatting sqref="D8">
    <cfRule type="timePeriod" dxfId="305" priority="306" timePeriod="tomorrow">
      <formula>FLOOR(D8,1)=TODAY()+1</formula>
    </cfRule>
  </conditionalFormatting>
  <conditionalFormatting sqref="E8">
    <cfRule type="timePeriod" dxfId="304" priority="305" timePeriod="tomorrow">
      <formula>FLOOR(E8,1)=TODAY()+1</formula>
    </cfRule>
  </conditionalFormatting>
  <conditionalFormatting sqref="D8">
    <cfRule type="timePeriod" dxfId="303" priority="304" timePeriod="tomorrow">
      <formula>FLOOR(D8,1)=TODAY()+1</formula>
    </cfRule>
  </conditionalFormatting>
  <conditionalFormatting sqref="E8">
    <cfRule type="timePeriod" dxfId="302" priority="303" timePeriod="tomorrow">
      <formula>FLOOR(E8,1)=TODAY()+1</formula>
    </cfRule>
  </conditionalFormatting>
  <conditionalFormatting sqref="D8">
    <cfRule type="timePeriod" dxfId="301" priority="302" timePeriod="tomorrow">
      <formula>FLOOR(D8,1)=TODAY()+1</formula>
    </cfRule>
  </conditionalFormatting>
  <conditionalFormatting sqref="E8">
    <cfRule type="timePeriod" dxfId="300" priority="301" timePeriod="tomorrow">
      <formula>FLOOR(E8,1)=TODAY()+1</formula>
    </cfRule>
  </conditionalFormatting>
  <conditionalFormatting sqref="D8">
    <cfRule type="timePeriod" dxfId="299" priority="300" timePeriod="tomorrow">
      <formula>FLOOR(D8,1)=TODAY()+1</formula>
    </cfRule>
  </conditionalFormatting>
  <conditionalFormatting sqref="E8">
    <cfRule type="timePeriod" dxfId="298" priority="299" timePeriod="tomorrow">
      <formula>FLOOR(E8,1)=TODAY()+1</formula>
    </cfRule>
  </conditionalFormatting>
  <conditionalFormatting sqref="D8">
    <cfRule type="timePeriod" dxfId="297" priority="298" timePeriod="tomorrow">
      <formula>FLOOR(D8,1)=TODAY()+1</formula>
    </cfRule>
  </conditionalFormatting>
  <conditionalFormatting sqref="E8">
    <cfRule type="timePeriod" dxfId="296" priority="297" timePeriod="tomorrow">
      <formula>FLOOR(E8,1)=TODAY()+1</formula>
    </cfRule>
  </conditionalFormatting>
  <conditionalFormatting sqref="D8">
    <cfRule type="timePeriod" dxfId="295" priority="296" timePeriod="tomorrow">
      <formula>FLOOR(D8,1)=TODAY()+1</formula>
    </cfRule>
  </conditionalFormatting>
  <conditionalFormatting sqref="E8">
    <cfRule type="timePeriod" dxfId="294" priority="295" timePeriod="tomorrow">
      <formula>FLOOR(E8,1)=TODAY()+1</formula>
    </cfRule>
  </conditionalFormatting>
  <conditionalFormatting sqref="D8">
    <cfRule type="timePeriod" dxfId="293" priority="294" timePeriod="tomorrow">
      <formula>FLOOR(D8,1)=TODAY()+1</formula>
    </cfRule>
  </conditionalFormatting>
  <conditionalFormatting sqref="E8">
    <cfRule type="timePeriod" dxfId="292" priority="293" timePeriod="tomorrow">
      <formula>FLOOR(E8,1)=TODAY()+1</formula>
    </cfRule>
  </conditionalFormatting>
  <conditionalFormatting sqref="D8">
    <cfRule type="timePeriod" dxfId="291" priority="292" timePeriod="tomorrow">
      <formula>FLOOR(D8,1)=TODAY()+1</formula>
    </cfRule>
  </conditionalFormatting>
  <conditionalFormatting sqref="E8">
    <cfRule type="timePeriod" dxfId="290" priority="291" timePeriod="tomorrow">
      <formula>FLOOR(E8,1)=TODAY()+1</formula>
    </cfRule>
  </conditionalFormatting>
  <conditionalFormatting sqref="D8">
    <cfRule type="timePeriod" dxfId="289" priority="290" timePeriod="tomorrow">
      <formula>FLOOR(D8,1)=TODAY()+1</formula>
    </cfRule>
  </conditionalFormatting>
  <conditionalFormatting sqref="E8">
    <cfRule type="timePeriod" dxfId="288" priority="289" timePeriod="tomorrow">
      <formula>FLOOR(E8,1)=TODAY()+1</formula>
    </cfRule>
  </conditionalFormatting>
  <conditionalFormatting sqref="D8">
    <cfRule type="timePeriod" dxfId="287" priority="288" timePeriod="tomorrow">
      <formula>FLOOR(D8,1)=TODAY()+1</formula>
    </cfRule>
  </conditionalFormatting>
  <conditionalFormatting sqref="E8">
    <cfRule type="timePeriod" dxfId="286" priority="287" timePeriod="tomorrow">
      <formula>FLOOR(E8,1)=TODAY()+1</formula>
    </cfRule>
  </conditionalFormatting>
  <conditionalFormatting sqref="D8">
    <cfRule type="timePeriod" dxfId="285" priority="286" timePeriod="tomorrow">
      <formula>FLOOR(D8,1)=TODAY()+1</formula>
    </cfRule>
  </conditionalFormatting>
  <conditionalFormatting sqref="E8">
    <cfRule type="timePeriod" dxfId="284" priority="285" timePeriod="tomorrow">
      <formula>FLOOR(E8,1)=TODAY()+1</formula>
    </cfRule>
  </conditionalFormatting>
  <conditionalFormatting sqref="D8">
    <cfRule type="timePeriod" dxfId="283" priority="284" timePeriod="tomorrow">
      <formula>FLOOR(D8,1)=TODAY()+1</formula>
    </cfRule>
  </conditionalFormatting>
  <conditionalFormatting sqref="E8">
    <cfRule type="timePeriod" dxfId="282" priority="283" timePeriod="tomorrow">
      <formula>FLOOR(E8,1)=TODAY()+1</formula>
    </cfRule>
  </conditionalFormatting>
  <conditionalFormatting sqref="D8">
    <cfRule type="timePeriod" dxfId="281" priority="282" timePeriod="tomorrow">
      <formula>FLOOR(D8,1)=TODAY()+1</formula>
    </cfRule>
  </conditionalFormatting>
  <conditionalFormatting sqref="E8">
    <cfRule type="timePeriod" dxfId="280" priority="281" timePeriod="tomorrow">
      <formula>FLOOR(E8,1)=TODAY()+1</formula>
    </cfRule>
  </conditionalFormatting>
  <conditionalFormatting sqref="D8">
    <cfRule type="timePeriod" dxfId="279" priority="280" timePeriod="tomorrow">
      <formula>FLOOR(D8,1)=TODAY()+1</formula>
    </cfRule>
  </conditionalFormatting>
  <conditionalFormatting sqref="E8">
    <cfRule type="timePeriod" dxfId="278" priority="279" timePeriod="tomorrow">
      <formula>FLOOR(E8,1)=TODAY()+1</formula>
    </cfRule>
  </conditionalFormatting>
  <conditionalFormatting sqref="D8">
    <cfRule type="timePeriod" dxfId="277" priority="278" timePeriod="tomorrow">
      <formula>FLOOR(D8,1)=TODAY()+1</formula>
    </cfRule>
  </conditionalFormatting>
  <conditionalFormatting sqref="E8">
    <cfRule type="timePeriod" dxfId="276" priority="277" timePeriod="tomorrow">
      <formula>FLOOR(E8,1)=TODAY()+1</formula>
    </cfRule>
  </conditionalFormatting>
  <conditionalFormatting sqref="D8">
    <cfRule type="timePeriod" dxfId="275" priority="276" timePeriod="tomorrow">
      <formula>FLOOR(D8,1)=TODAY()+1</formula>
    </cfRule>
  </conditionalFormatting>
  <conditionalFormatting sqref="E8">
    <cfRule type="timePeriod" dxfId="274" priority="275" timePeriod="tomorrow">
      <formula>FLOOR(E8,1)=TODAY()+1</formula>
    </cfRule>
  </conditionalFormatting>
  <conditionalFormatting sqref="D8">
    <cfRule type="timePeriod" dxfId="273" priority="274" timePeriod="tomorrow">
      <formula>FLOOR(D8,1)=TODAY()+1</formula>
    </cfRule>
  </conditionalFormatting>
  <conditionalFormatting sqref="E8">
    <cfRule type="timePeriod" dxfId="272" priority="273" timePeriod="tomorrow">
      <formula>FLOOR(E8,1)=TODAY()+1</formula>
    </cfRule>
  </conditionalFormatting>
  <conditionalFormatting sqref="D8">
    <cfRule type="timePeriod" dxfId="271" priority="272" timePeriod="tomorrow">
      <formula>FLOOR(D8,1)=TODAY()+1</formula>
    </cfRule>
  </conditionalFormatting>
  <conditionalFormatting sqref="E8">
    <cfRule type="timePeriod" dxfId="270" priority="271" timePeriod="tomorrow">
      <formula>FLOOR(E8,1)=TODAY()+1</formula>
    </cfRule>
  </conditionalFormatting>
  <conditionalFormatting sqref="D8">
    <cfRule type="timePeriod" dxfId="269" priority="270" timePeriod="tomorrow">
      <formula>FLOOR(D8,1)=TODAY()+1</formula>
    </cfRule>
  </conditionalFormatting>
  <conditionalFormatting sqref="E8">
    <cfRule type="timePeriod" dxfId="268" priority="269" timePeriod="tomorrow">
      <formula>FLOOR(E8,1)=TODAY()+1</formula>
    </cfRule>
  </conditionalFormatting>
  <conditionalFormatting sqref="D8">
    <cfRule type="timePeriod" dxfId="267" priority="268" timePeriod="tomorrow">
      <formula>FLOOR(D8,1)=TODAY()+1</formula>
    </cfRule>
  </conditionalFormatting>
  <conditionalFormatting sqref="E8">
    <cfRule type="timePeriod" dxfId="266" priority="267" timePeriod="tomorrow">
      <formula>FLOOR(E8,1)=TODAY()+1</formula>
    </cfRule>
  </conditionalFormatting>
  <conditionalFormatting sqref="D8">
    <cfRule type="timePeriod" dxfId="265" priority="266" timePeriod="tomorrow">
      <formula>FLOOR(D8,1)=TODAY()+1</formula>
    </cfRule>
  </conditionalFormatting>
  <conditionalFormatting sqref="E8">
    <cfRule type="timePeriod" dxfId="264" priority="265" timePeriod="tomorrow">
      <formula>FLOOR(E8,1)=TODAY()+1</formula>
    </cfRule>
  </conditionalFormatting>
  <conditionalFormatting sqref="D8">
    <cfRule type="timePeriod" dxfId="263" priority="264" timePeriod="tomorrow">
      <formula>FLOOR(D8,1)=TODAY()+1</formula>
    </cfRule>
  </conditionalFormatting>
  <conditionalFormatting sqref="E8">
    <cfRule type="timePeriod" dxfId="262" priority="263" timePeriod="tomorrow">
      <formula>FLOOR(E8,1)=TODAY()+1</formula>
    </cfRule>
  </conditionalFormatting>
  <conditionalFormatting sqref="D8">
    <cfRule type="timePeriod" dxfId="261" priority="262" timePeriod="tomorrow">
      <formula>FLOOR(D8,1)=TODAY()+1</formula>
    </cfRule>
  </conditionalFormatting>
  <conditionalFormatting sqref="E8">
    <cfRule type="timePeriod" dxfId="260" priority="261" timePeriod="tomorrow">
      <formula>FLOOR(E8,1)=TODAY()+1</formula>
    </cfRule>
  </conditionalFormatting>
  <conditionalFormatting sqref="D8">
    <cfRule type="timePeriod" dxfId="259" priority="260" timePeriod="tomorrow">
      <formula>FLOOR(D8,1)=TODAY()+1</formula>
    </cfRule>
  </conditionalFormatting>
  <conditionalFormatting sqref="E8">
    <cfRule type="timePeriod" dxfId="258" priority="259" timePeriod="tomorrow">
      <formula>FLOOR(E8,1)=TODAY()+1</formula>
    </cfRule>
  </conditionalFormatting>
  <conditionalFormatting sqref="D8">
    <cfRule type="timePeriod" dxfId="257" priority="258" timePeriod="tomorrow">
      <formula>FLOOR(D8,1)=TODAY()+1</formula>
    </cfRule>
  </conditionalFormatting>
  <conditionalFormatting sqref="E8">
    <cfRule type="timePeriod" dxfId="256" priority="257" timePeriod="tomorrow">
      <formula>FLOOR(E8,1)=TODAY()+1</formula>
    </cfRule>
  </conditionalFormatting>
  <conditionalFormatting sqref="D8">
    <cfRule type="timePeriod" dxfId="255" priority="256" timePeriod="tomorrow">
      <formula>FLOOR(D8,1)=TODAY()+1</formula>
    </cfRule>
  </conditionalFormatting>
  <conditionalFormatting sqref="E8">
    <cfRule type="timePeriod" dxfId="254" priority="255" timePeriod="tomorrow">
      <formula>FLOOR(E8,1)=TODAY()+1</formula>
    </cfRule>
  </conditionalFormatting>
  <conditionalFormatting sqref="D8">
    <cfRule type="timePeriod" dxfId="253" priority="254" timePeriod="tomorrow">
      <formula>FLOOR(D8,1)=TODAY()+1</formula>
    </cfRule>
  </conditionalFormatting>
  <conditionalFormatting sqref="E8">
    <cfRule type="timePeriod" dxfId="252" priority="253" timePeriod="tomorrow">
      <formula>FLOOR(E8,1)=TODAY()+1</formula>
    </cfRule>
  </conditionalFormatting>
  <conditionalFormatting sqref="D8">
    <cfRule type="timePeriod" dxfId="251" priority="252" timePeriod="tomorrow">
      <formula>FLOOR(D8,1)=TODAY()+1</formula>
    </cfRule>
  </conditionalFormatting>
  <conditionalFormatting sqref="E8">
    <cfRule type="timePeriod" dxfId="250" priority="251" timePeriod="tomorrow">
      <formula>FLOOR(E8,1)=TODAY()+1</formula>
    </cfRule>
  </conditionalFormatting>
  <conditionalFormatting sqref="D8">
    <cfRule type="timePeriod" dxfId="249" priority="250" timePeriod="tomorrow">
      <formula>FLOOR(D8,1)=TODAY()+1</formula>
    </cfRule>
  </conditionalFormatting>
  <conditionalFormatting sqref="E8">
    <cfRule type="timePeriod" dxfId="248" priority="249" timePeriod="tomorrow">
      <formula>FLOOR(E8,1)=TODAY()+1</formula>
    </cfRule>
  </conditionalFormatting>
  <conditionalFormatting sqref="D8">
    <cfRule type="timePeriod" dxfId="247" priority="248" timePeriod="tomorrow">
      <formula>FLOOR(D8,1)=TODAY()+1</formula>
    </cfRule>
  </conditionalFormatting>
  <conditionalFormatting sqref="E8">
    <cfRule type="timePeriod" dxfId="246" priority="247" timePeriod="tomorrow">
      <formula>FLOOR(E8,1)=TODAY()+1</formula>
    </cfRule>
  </conditionalFormatting>
  <conditionalFormatting sqref="D8">
    <cfRule type="timePeriod" dxfId="245" priority="246" timePeriod="tomorrow">
      <formula>FLOOR(D8,1)=TODAY()+1</formula>
    </cfRule>
  </conditionalFormatting>
  <conditionalFormatting sqref="E8">
    <cfRule type="timePeriod" dxfId="244" priority="245" timePeriod="tomorrow">
      <formula>FLOOR(E8,1)=TODAY()+1</formula>
    </cfRule>
  </conditionalFormatting>
  <conditionalFormatting sqref="D8">
    <cfRule type="timePeriod" dxfId="243" priority="244" timePeriod="tomorrow">
      <formula>FLOOR(D8,1)=TODAY()+1</formula>
    </cfRule>
  </conditionalFormatting>
  <conditionalFormatting sqref="E8">
    <cfRule type="timePeriod" dxfId="242" priority="243" timePeriod="tomorrow">
      <formula>FLOOR(E8,1)=TODAY()+1</formula>
    </cfRule>
  </conditionalFormatting>
  <conditionalFormatting sqref="D8">
    <cfRule type="timePeriod" dxfId="241" priority="242" timePeriod="tomorrow">
      <formula>FLOOR(D8,1)=TODAY()+1</formula>
    </cfRule>
  </conditionalFormatting>
  <conditionalFormatting sqref="E8">
    <cfRule type="timePeriod" dxfId="240" priority="241" timePeriod="tomorrow">
      <formula>FLOOR(E8,1)=TODAY()+1</formula>
    </cfRule>
  </conditionalFormatting>
  <conditionalFormatting sqref="D8">
    <cfRule type="timePeriod" dxfId="239" priority="240" timePeriod="tomorrow">
      <formula>FLOOR(D8,1)=TODAY()+1</formula>
    </cfRule>
  </conditionalFormatting>
  <conditionalFormatting sqref="E8">
    <cfRule type="timePeriod" dxfId="238" priority="239" timePeriod="tomorrow">
      <formula>FLOOR(E8,1)=TODAY()+1</formula>
    </cfRule>
  </conditionalFormatting>
  <conditionalFormatting sqref="D8">
    <cfRule type="timePeriod" dxfId="237" priority="238" timePeriod="tomorrow">
      <formula>FLOOR(D8,1)=TODAY()+1</formula>
    </cfRule>
  </conditionalFormatting>
  <conditionalFormatting sqref="E8">
    <cfRule type="timePeriod" dxfId="236" priority="237" timePeriod="tomorrow">
      <formula>FLOOR(E8,1)=TODAY()+1</formula>
    </cfRule>
  </conditionalFormatting>
  <conditionalFormatting sqref="D8">
    <cfRule type="timePeriod" dxfId="235" priority="236" timePeriod="tomorrow">
      <formula>FLOOR(D8,1)=TODAY()+1</formula>
    </cfRule>
  </conditionalFormatting>
  <conditionalFormatting sqref="E8">
    <cfRule type="timePeriod" dxfId="234" priority="235" timePeriod="tomorrow">
      <formula>FLOOR(E8,1)=TODAY()+1</formula>
    </cfRule>
  </conditionalFormatting>
  <conditionalFormatting sqref="D12">
    <cfRule type="timePeriod" dxfId="233" priority="234" timePeriod="tomorrow">
      <formula>FLOOR(D12,1)=TODAY()+1</formula>
    </cfRule>
  </conditionalFormatting>
  <conditionalFormatting sqref="C12:D12">
    <cfRule type="cellIs" dxfId="232" priority="230" operator="equal">
      <formula>"Transformer"</formula>
    </cfRule>
    <cfRule type="cellIs" dxfId="231" priority="231" operator="equal">
      <formula>"Fossil.Gen"</formula>
    </cfRule>
    <cfRule type="cellIs" dxfId="230" priority="232" operator="equal">
      <formula>"Hydro.Gen"</formula>
    </cfRule>
    <cfRule type="cellIs" dxfId="229" priority="233" operator="equal">
      <formula>"Nuc.Gen"</formula>
    </cfRule>
  </conditionalFormatting>
  <conditionalFormatting sqref="D12">
    <cfRule type="timePeriod" dxfId="228" priority="229" timePeriod="tomorrow">
      <formula>FLOOR(D12,1)=TODAY()+1</formula>
    </cfRule>
  </conditionalFormatting>
  <conditionalFormatting sqref="D12">
    <cfRule type="timePeriod" dxfId="227" priority="228" timePeriod="tomorrow">
      <formula>FLOOR(D12,1)=TODAY()+1</formula>
    </cfRule>
  </conditionalFormatting>
  <conditionalFormatting sqref="D12">
    <cfRule type="timePeriod" dxfId="226" priority="227" timePeriod="tomorrow">
      <formula>FLOOR(D12,1)=TODAY()+1</formula>
    </cfRule>
  </conditionalFormatting>
  <conditionalFormatting sqref="D12">
    <cfRule type="timePeriod" dxfId="225" priority="226" timePeriod="tomorrow">
      <formula>FLOOR(D12,1)=TODAY()+1</formula>
    </cfRule>
  </conditionalFormatting>
  <conditionalFormatting sqref="D12">
    <cfRule type="timePeriod" dxfId="224" priority="225" timePeriod="tomorrow">
      <formula>FLOOR(D12,1)=TODAY()+1</formula>
    </cfRule>
  </conditionalFormatting>
  <conditionalFormatting sqref="D12">
    <cfRule type="timePeriod" dxfId="223" priority="224" timePeriod="tomorrow">
      <formula>FLOOR(D12,1)=TODAY()+1</formula>
    </cfRule>
  </conditionalFormatting>
  <conditionalFormatting sqref="D12">
    <cfRule type="timePeriod" dxfId="222" priority="223" timePeriod="tomorrow">
      <formula>FLOOR(D12,1)=TODAY()+1</formula>
    </cfRule>
  </conditionalFormatting>
  <conditionalFormatting sqref="D12">
    <cfRule type="timePeriod" dxfId="221" priority="222" timePeriod="tomorrow">
      <formula>FLOOR(D12,1)=TODAY()+1</formula>
    </cfRule>
  </conditionalFormatting>
  <conditionalFormatting sqref="D12">
    <cfRule type="timePeriod" dxfId="220" priority="221" timePeriod="tomorrow">
      <formula>FLOOR(D12,1)=TODAY()+1</formula>
    </cfRule>
  </conditionalFormatting>
  <conditionalFormatting sqref="D12">
    <cfRule type="timePeriod" dxfId="219" priority="220" timePeriod="tomorrow">
      <formula>FLOOR(D12,1)=TODAY()+1</formula>
    </cfRule>
  </conditionalFormatting>
  <conditionalFormatting sqref="D12">
    <cfRule type="timePeriod" dxfId="218" priority="219" timePeriod="tomorrow">
      <formula>FLOOR(D12,1)=TODAY()+1</formula>
    </cfRule>
  </conditionalFormatting>
  <conditionalFormatting sqref="D12">
    <cfRule type="timePeriod" dxfId="217" priority="218" timePeriod="tomorrow">
      <formula>FLOOR(D12,1)=TODAY()+1</formula>
    </cfRule>
  </conditionalFormatting>
  <conditionalFormatting sqref="D12">
    <cfRule type="timePeriod" dxfId="216" priority="217" timePeriod="tomorrow">
      <formula>FLOOR(D12,1)=TODAY()+1</formula>
    </cfRule>
  </conditionalFormatting>
  <conditionalFormatting sqref="D12">
    <cfRule type="timePeriod" dxfId="215" priority="216" timePeriod="tomorrow">
      <formula>FLOOR(D12,1)=TODAY()+1</formula>
    </cfRule>
  </conditionalFormatting>
  <conditionalFormatting sqref="D12">
    <cfRule type="timePeriod" dxfId="214" priority="215" timePeriod="tomorrow">
      <formula>FLOOR(D12,1)=TODAY()+1</formula>
    </cfRule>
  </conditionalFormatting>
  <conditionalFormatting sqref="D12">
    <cfRule type="timePeriod" dxfId="213" priority="214" timePeriod="tomorrow">
      <formula>FLOOR(D12,1)=TODAY()+1</formula>
    </cfRule>
  </conditionalFormatting>
  <conditionalFormatting sqref="D12">
    <cfRule type="timePeriod" dxfId="212" priority="213" timePeriod="tomorrow">
      <formula>FLOOR(D12,1)=TODAY()+1</formula>
    </cfRule>
  </conditionalFormatting>
  <conditionalFormatting sqref="D12">
    <cfRule type="timePeriod" dxfId="211" priority="212" timePeriod="tomorrow">
      <formula>FLOOR(D12,1)=TODAY()+1</formula>
    </cfRule>
  </conditionalFormatting>
  <conditionalFormatting sqref="D12">
    <cfRule type="timePeriod" dxfId="210" priority="211" timePeriod="tomorrow">
      <formula>FLOOR(D12,1)=TODAY()+1</formula>
    </cfRule>
  </conditionalFormatting>
  <conditionalFormatting sqref="D12">
    <cfRule type="timePeriod" dxfId="209" priority="210" timePeriod="tomorrow">
      <formula>FLOOR(D12,1)=TODAY()+1</formula>
    </cfRule>
  </conditionalFormatting>
  <conditionalFormatting sqref="D12">
    <cfRule type="timePeriod" dxfId="208" priority="209" timePeriod="tomorrow">
      <formula>FLOOR(D12,1)=TODAY()+1</formula>
    </cfRule>
  </conditionalFormatting>
  <conditionalFormatting sqref="D12">
    <cfRule type="timePeriod" dxfId="207" priority="208" timePeriod="tomorrow">
      <formula>FLOOR(D12,1)=TODAY()+1</formula>
    </cfRule>
  </conditionalFormatting>
  <conditionalFormatting sqref="D12">
    <cfRule type="timePeriod" dxfId="206" priority="207" timePeriod="tomorrow">
      <formula>FLOOR(D12,1)=TODAY()+1</formula>
    </cfRule>
  </conditionalFormatting>
  <conditionalFormatting sqref="D12">
    <cfRule type="timePeriod" dxfId="205" priority="206" timePeriod="tomorrow">
      <formula>FLOOR(D12,1)=TODAY()+1</formula>
    </cfRule>
  </conditionalFormatting>
  <conditionalFormatting sqref="D12">
    <cfRule type="timePeriod" dxfId="204" priority="205" timePeriod="tomorrow">
      <formula>FLOOR(D12,1)=TODAY()+1</formula>
    </cfRule>
  </conditionalFormatting>
  <conditionalFormatting sqref="D12">
    <cfRule type="timePeriod" dxfId="203" priority="204" timePeriod="tomorrow">
      <formula>FLOOR(D12,1)=TODAY()+1</formula>
    </cfRule>
  </conditionalFormatting>
  <conditionalFormatting sqref="D12">
    <cfRule type="timePeriod" dxfId="202" priority="203" timePeriod="tomorrow">
      <formula>FLOOR(D12,1)=TODAY()+1</formula>
    </cfRule>
  </conditionalFormatting>
  <conditionalFormatting sqref="D12">
    <cfRule type="timePeriod" dxfId="201" priority="202" timePeriod="tomorrow">
      <formula>FLOOR(D12,1)=TODAY()+1</formula>
    </cfRule>
  </conditionalFormatting>
  <conditionalFormatting sqref="D12">
    <cfRule type="timePeriod" dxfId="200" priority="201" timePeriod="tomorrow">
      <formula>FLOOR(D12,1)=TODAY()+1</formula>
    </cfRule>
  </conditionalFormatting>
  <conditionalFormatting sqref="D12">
    <cfRule type="timePeriod" dxfId="199" priority="200" timePeriod="tomorrow">
      <formula>FLOOR(D12,1)=TODAY()+1</formula>
    </cfRule>
  </conditionalFormatting>
  <conditionalFormatting sqref="D12">
    <cfRule type="timePeriod" dxfId="198" priority="199" timePeriod="tomorrow">
      <formula>FLOOR(D12,1)=TODAY()+1</formula>
    </cfRule>
  </conditionalFormatting>
  <conditionalFormatting sqref="D12">
    <cfRule type="timePeriod" dxfId="197" priority="198" timePeriod="tomorrow">
      <formula>FLOOR(D12,1)=TODAY()+1</formula>
    </cfRule>
  </conditionalFormatting>
  <conditionalFormatting sqref="D12">
    <cfRule type="timePeriod" dxfId="196" priority="197" timePeriod="tomorrow">
      <formula>FLOOR(D12,1)=TODAY()+1</formula>
    </cfRule>
  </conditionalFormatting>
  <conditionalFormatting sqref="D12">
    <cfRule type="timePeriod" dxfId="195" priority="196" timePeriod="tomorrow">
      <formula>FLOOR(D12,1)=TODAY()+1</formula>
    </cfRule>
  </conditionalFormatting>
  <conditionalFormatting sqref="D12">
    <cfRule type="timePeriod" dxfId="194" priority="195" timePeriod="tomorrow">
      <formula>FLOOR(D12,1)=TODAY()+1</formula>
    </cfRule>
  </conditionalFormatting>
  <conditionalFormatting sqref="D12">
    <cfRule type="timePeriod" dxfId="193" priority="194" timePeriod="tomorrow">
      <formula>FLOOR(D12,1)=TODAY()+1</formula>
    </cfRule>
  </conditionalFormatting>
  <conditionalFormatting sqref="D12">
    <cfRule type="timePeriod" dxfId="192" priority="193" timePeriod="tomorrow">
      <formula>FLOOR(D12,1)=TODAY()+1</formula>
    </cfRule>
  </conditionalFormatting>
  <conditionalFormatting sqref="D12">
    <cfRule type="timePeriod" dxfId="191" priority="192" timePeriod="tomorrow">
      <formula>FLOOR(D12,1)=TODAY()+1</formula>
    </cfRule>
  </conditionalFormatting>
  <conditionalFormatting sqref="D12">
    <cfRule type="timePeriod" dxfId="190" priority="191" timePeriod="tomorrow">
      <formula>FLOOR(D12,1)=TODAY()+1</formula>
    </cfRule>
  </conditionalFormatting>
  <conditionalFormatting sqref="D12">
    <cfRule type="timePeriod" dxfId="189" priority="190" timePeriod="tomorrow">
      <formula>FLOOR(D12,1)=TODAY()+1</formula>
    </cfRule>
  </conditionalFormatting>
  <conditionalFormatting sqref="D12">
    <cfRule type="timePeriod" dxfId="188" priority="189" timePeriod="tomorrow">
      <formula>FLOOR(D12,1)=TODAY()+1</formula>
    </cfRule>
  </conditionalFormatting>
  <conditionalFormatting sqref="D12">
    <cfRule type="timePeriod" dxfId="187" priority="188" timePeriod="tomorrow">
      <formula>FLOOR(D12,1)=TODAY()+1</formula>
    </cfRule>
  </conditionalFormatting>
  <conditionalFormatting sqref="D12">
    <cfRule type="timePeriod" dxfId="186" priority="187" timePeriod="tomorrow">
      <formula>FLOOR(D12,1)=TODAY()+1</formula>
    </cfRule>
  </conditionalFormatting>
  <conditionalFormatting sqref="D12">
    <cfRule type="timePeriod" dxfId="185" priority="186" timePeriod="tomorrow">
      <formula>FLOOR(D12,1)=TODAY()+1</formula>
    </cfRule>
  </conditionalFormatting>
  <conditionalFormatting sqref="C12:D12">
    <cfRule type="timePeriod" dxfId="184" priority="185" timePeriod="tomorrow">
      <formula>FLOOR(C12,1)=TODAY()+1</formula>
    </cfRule>
  </conditionalFormatting>
  <conditionalFormatting sqref="D8">
    <cfRule type="timePeriod" dxfId="183" priority="184" timePeriod="tomorrow">
      <formula>FLOOR(D8,1)=TODAY()+1</formula>
    </cfRule>
  </conditionalFormatting>
  <conditionalFormatting sqref="E8">
    <cfRule type="timePeriod" dxfId="182" priority="183" timePeriod="tomorrow">
      <formula>FLOOR(E8,1)=TODAY()+1</formula>
    </cfRule>
  </conditionalFormatting>
  <conditionalFormatting sqref="D8">
    <cfRule type="timePeriod" dxfId="181" priority="182" timePeriod="tomorrow">
      <formula>FLOOR(D8,1)=TODAY()+1</formula>
    </cfRule>
  </conditionalFormatting>
  <conditionalFormatting sqref="E8">
    <cfRule type="timePeriod" dxfId="180" priority="181" timePeriod="tomorrow">
      <formula>FLOOR(E8,1)=TODAY()+1</formula>
    </cfRule>
  </conditionalFormatting>
  <conditionalFormatting sqref="D8">
    <cfRule type="timePeriod" dxfId="179" priority="180" timePeriod="tomorrow">
      <formula>FLOOR(D8,1)=TODAY()+1</formula>
    </cfRule>
  </conditionalFormatting>
  <conditionalFormatting sqref="E8">
    <cfRule type="timePeriod" dxfId="178" priority="179" timePeriod="tomorrow">
      <formula>FLOOR(E8,1)=TODAY()+1</formula>
    </cfRule>
  </conditionalFormatting>
  <conditionalFormatting sqref="D8">
    <cfRule type="timePeriod" dxfId="177" priority="178" timePeriod="tomorrow">
      <formula>FLOOR(D8,1)=TODAY()+1</formula>
    </cfRule>
  </conditionalFormatting>
  <conditionalFormatting sqref="E8">
    <cfRule type="timePeriod" dxfId="176" priority="177" timePeriod="tomorrow">
      <formula>FLOOR(E8,1)=TODAY()+1</formula>
    </cfRule>
  </conditionalFormatting>
  <conditionalFormatting sqref="D8">
    <cfRule type="timePeriod" dxfId="175" priority="176" timePeriod="tomorrow">
      <formula>FLOOR(D8,1)=TODAY()+1</formula>
    </cfRule>
  </conditionalFormatting>
  <conditionalFormatting sqref="E8">
    <cfRule type="timePeriod" dxfId="174" priority="175" timePeriod="tomorrow">
      <formula>FLOOR(E8,1)=TODAY()+1</formula>
    </cfRule>
  </conditionalFormatting>
  <conditionalFormatting sqref="D8">
    <cfRule type="timePeriod" dxfId="173" priority="174" timePeriod="tomorrow">
      <formula>FLOOR(D8,1)=TODAY()+1</formula>
    </cfRule>
  </conditionalFormatting>
  <conditionalFormatting sqref="E8">
    <cfRule type="timePeriod" dxfId="172" priority="173" timePeriod="tomorrow">
      <formula>FLOOR(E8,1)=TODAY()+1</formula>
    </cfRule>
  </conditionalFormatting>
  <conditionalFormatting sqref="D8">
    <cfRule type="timePeriod" dxfId="171" priority="172" timePeriod="tomorrow">
      <formula>FLOOR(D8,1)=TODAY()+1</formula>
    </cfRule>
  </conditionalFormatting>
  <conditionalFormatting sqref="E8">
    <cfRule type="timePeriod" dxfId="170" priority="171" timePeriod="tomorrow">
      <formula>FLOOR(E8,1)=TODAY()+1</formula>
    </cfRule>
  </conditionalFormatting>
  <conditionalFormatting sqref="D8">
    <cfRule type="timePeriod" dxfId="169" priority="170" timePeriod="tomorrow">
      <formula>FLOOR(D8,1)=TODAY()+1</formula>
    </cfRule>
  </conditionalFormatting>
  <conditionalFormatting sqref="E8">
    <cfRule type="timePeriod" dxfId="168" priority="169" timePeriod="tomorrow">
      <formula>FLOOR(E8,1)=TODAY()+1</formula>
    </cfRule>
  </conditionalFormatting>
  <conditionalFormatting sqref="D8">
    <cfRule type="timePeriod" dxfId="167" priority="168" timePeriod="tomorrow">
      <formula>FLOOR(D8,1)=TODAY()+1</formula>
    </cfRule>
  </conditionalFormatting>
  <conditionalFormatting sqref="E8">
    <cfRule type="timePeriod" dxfId="166" priority="167" timePeriod="tomorrow">
      <formula>FLOOR(E8,1)=TODAY()+1</formula>
    </cfRule>
  </conditionalFormatting>
  <conditionalFormatting sqref="D8">
    <cfRule type="timePeriod" dxfId="165" priority="166" timePeriod="tomorrow">
      <formula>FLOOR(D8,1)=TODAY()+1</formula>
    </cfRule>
  </conditionalFormatting>
  <conditionalFormatting sqref="E8">
    <cfRule type="timePeriod" dxfId="164" priority="165" timePeriod="tomorrow">
      <formula>FLOOR(E8,1)=TODAY()+1</formula>
    </cfRule>
  </conditionalFormatting>
  <conditionalFormatting sqref="D8">
    <cfRule type="timePeriod" dxfId="163" priority="164" timePeriod="tomorrow">
      <formula>FLOOR(D8,1)=TODAY()+1</formula>
    </cfRule>
  </conditionalFormatting>
  <conditionalFormatting sqref="E8">
    <cfRule type="timePeriod" dxfId="162" priority="163" timePeriod="tomorrow">
      <formula>FLOOR(E8,1)=TODAY()+1</formula>
    </cfRule>
  </conditionalFormatting>
  <conditionalFormatting sqref="D8">
    <cfRule type="timePeriod" dxfId="161" priority="162" timePeriod="tomorrow">
      <formula>FLOOR(D8,1)=TODAY()+1</formula>
    </cfRule>
  </conditionalFormatting>
  <conditionalFormatting sqref="E8">
    <cfRule type="timePeriod" dxfId="160" priority="161" timePeriod="tomorrow">
      <formula>FLOOR(E8,1)=TODAY()+1</formula>
    </cfRule>
  </conditionalFormatting>
  <conditionalFormatting sqref="D8">
    <cfRule type="timePeriod" dxfId="159" priority="160" timePeriod="tomorrow">
      <formula>FLOOR(D8,1)=TODAY()+1</formula>
    </cfRule>
  </conditionalFormatting>
  <conditionalFormatting sqref="E8">
    <cfRule type="timePeriod" dxfId="158" priority="159" timePeriod="tomorrow">
      <formula>FLOOR(E8,1)=TODAY()+1</formula>
    </cfRule>
  </conditionalFormatting>
  <conditionalFormatting sqref="D8">
    <cfRule type="timePeriod" dxfId="157" priority="158" timePeriod="tomorrow">
      <formula>FLOOR(D8,1)=TODAY()+1</formula>
    </cfRule>
  </conditionalFormatting>
  <conditionalFormatting sqref="E8">
    <cfRule type="timePeriod" dxfId="156" priority="157" timePeriod="tomorrow">
      <formula>FLOOR(E8,1)=TODAY()+1</formula>
    </cfRule>
  </conditionalFormatting>
  <conditionalFormatting sqref="D8">
    <cfRule type="timePeriod" dxfId="155" priority="156" timePeriod="tomorrow">
      <formula>FLOOR(D8,1)=TODAY()+1</formula>
    </cfRule>
  </conditionalFormatting>
  <conditionalFormatting sqref="E8">
    <cfRule type="timePeriod" dxfId="154" priority="155" timePeriod="tomorrow">
      <formula>FLOOR(E8,1)=TODAY()+1</formula>
    </cfRule>
  </conditionalFormatting>
  <conditionalFormatting sqref="D8">
    <cfRule type="timePeriod" dxfId="153" priority="154" timePeriod="tomorrow">
      <formula>FLOOR(D8,1)=TODAY()+1</formula>
    </cfRule>
  </conditionalFormatting>
  <conditionalFormatting sqref="E8">
    <cfRule type="timePeriod" dxfId="152" priority="153" timePeriod="tomorrow">
      <formula>FLOOR(E8,1)=TODAY()+1</formula>
    </cfRule>
  </conditionalFormatting>
  <conditionalFormatting sqref="D8">
    <cfRule type="timePeriod" dxfId="151" priority="152" timePeriod="tomorrow">
      <formula>FLOOR(D8,1)=TODAY()+1</formula>
    </cfRule>
  </conditionalFormatting>
  <conditionalFormatting sqref="E8">
    <cfRule type="timePeriod" dxfId="150" priority="151" timePeriod="tomorrow">
      <formula>FLOOR(E8,1)=TODAY()+1</formula>
    </cfRule>
  </conditionalFormatting>
  <conditionalFormatting sqref="D8">
    <cfRule type="timePeriod" dxfId="149" priority="150" timePeriod="tomorrow">
      <formula>FLOOR(D8,1)=TODAY()+1</formula>
    </cfRule>
  </conditionalFormatting>
  <conditionalFormatting sqref="E8">
    <cfRule type="timePeriod" dxfId="148" priority="149" timePeriod="tomorrow">
      <formula>FLOOR(E8,1)=TODAY()+1</formula>
    </cfRule>
  </conditionalFormatting>
  <conditionalFormatting sqref="D8">
    <cfRule type="timePeriod" dxfId="147" priority="148" timePeriod="tomorrow">
      <formula>FLOOR(D8,1)=TODAY()+1</formula>
    </cfRule>
  </conditionalFormatting>
  <conditionalFormatting sqref="E8">
    <cfRule type="timePeriod" dxfId="146" priority="147" timePeriod="tomorrow">
      <formula>FLOOR(E8,1)=TODAY()+1</formula>
    </cfRule>
  </conditionalFormatting>
  <conditionalFormatting sqref="D8">
    <cfRule type="timePeriod" dxfId="145" priority="146" timePeriod="tomorrow">
      <formula>FLOOR(D8,1)=TODAY()+1</formula>
    </cfRule>
  </conditionalFormatting>
  <conditionalFormatting sqref="E8">
    <cfRule type="timePeriod" dxfId="144" priority="145" timePeriod="tomorrow">
      <formula>FLOOR(E8,1)=TODAY()+1</formula>
    </cfRule>
  </conditionalFormatting>
  <conditionalFormatting sqref="D8">
    <cfRule type="timePeriod" dxfId="143" priority="144" timePeriod="tomorrow">
      <formula>FLOOR(D8,1)=TODAY()+1</formula>
    </cfRule>
  </conditionalFormatting>
  <conditionalFormatting sqref="E8">
    <cfRule type="timePeriod" dxfId="142" priority="143" timePeriod="tomorrow">
      <formula>FLOOR(E8,1)=TODAY()+1</formula>
    </cfRule>
  </conditionalFormatting>
  <conditionalFormatting sqref="D8">
    <cfRule type="timePeriod" dxfId="141" priority="142" timePeriod="tomorrow">
      <formula>FLOOR(D8,1)=TODAY()+1</formula>
    </cfRule>
  </conditionalFormatting>
  <conditionalFormatting sqref="E8">
    <cfRule type="timePeriod" dxfId="140" priority="141" timePeriod="tomorrow">
      <formula>FLOOR(E8,1)=TODAY()+1</formula>
    </cfRule>
  </conditionalFormatting>
  <conditionalFormatting sqref="D8">
    <cfRule type="timePeriod" dxfId="139" priority="140" timePeriod="tomorrow">
      <formula>FLOOR(D8,1)=TODAY()+1</formula>
    </cfRule>
  </conditionalFormatting>
  <conditionalFormatting sqref="E8">
    <cfRule type="timePeriod" dxfId="138" priority="139" timePeriod="tomorrow">
      <formula>FLOOR(E8,1)=TODAY()+1</formula>
    </cfRule>
  </conditionalFormatting>
  <conditionalFormatting sqref="D8">
    <cfRule type="timePeriod" dxfId="137" priority="138" timePeriod="tomorrow">
      <formula>FLOOR(D8,1)=TODAY()+1</formula>
    </cfRule>
  </conditionalFormatting>
  <conditionalFormatting sqref="E8">
    <cfRule type="timePeriod" dxfId="136" priority="137" timePeriod="tomorrow">
      <formula>FLOOR(E8,1)=TODAY()+1</formula>
    </cfRule>
  </conditionalFormatting>
  <conditionalFormatting sqref="D8">
    <cfRule type="timePeriod" dxfId="135" priority="136" timePeriod="tomorrow">
      <formula>FLOOR(D8,1)=TODAY()+1</formula>
    </cfRule>
  </conditionalFormatting>
  <conditionalFormatting sqref="E8">
    <cfRule type="timePeriod" dxfId="134" priority="135" timePeriod="tomorrow">
      <formula>FLOOR(E8,1)=TODAY()+1</formula>
    </cfRule>
  </conditionalFormatting>
  <conditionalFormatting sqref="D8">
    <cfRule type="timePeriod" dxfId="133" priority="134" timePeriod="tomorrow">
      <formula>FLOOR(D8,1)=TODAY()+1</formula>
    </cfRule>
  </conditionalFormatting>
  <conditionalFormatting sqref="E8">
    <cfRule type="timePeriod" dxfId="132" priority="133" timePeriod="tomorrow">
      <formula>FLOOR(E8,1)=TODAY()+1</formula>
    </cfRule>
  </conditionalFormatting>
  <conditionalFormatting sqref="D8">
    <cfRule type="timePeriod" dxfId="131" priority="132" timePeriod="tomorrow">
      <formula>FLOOR(D8,1)=TODAY()+1</formula>
    </cfRule>
  </conditionalFormatting>
  <conditionalFormatting sqref="E8">
    <cfRule type="timePeriod" dxfId="130" priority="131" timePeriod="tomorrow">
      <formula>FLOOR(E8,1)=TODAY()+1</formula>
    </cfRule>
  </conditionalFormatting>
  <conditionalFormatting sqref="D8">
    <cfRule type="timePeriod" dxfId="129" priority="130" timePeriod="tomorrow">
      <formula>FLOOR(D8,1)=TODAY()+1</formula>
    </cfRule>
  </conditionalFormatting>
  <conditionalFormatting sqref="E8">
    <cfRule type="timePeriod" dxfId="128" priority="129" timePeriod="tomorrow">
      <formula>FLOOR(E8,1)=TODAY()+1</formula>
    </cfRule>
  </conditionalFormatting>
  <conditionalFormatting sqref="D8">
    <cfRule type="timePeriod" dxfId="127" priority="128" timePeriod="tomorrow">
      <formula>FLOOR(D8,1)=TODAY()+1</formula>
    </cfRule>
  </conditionalFormatting>
  <conditionalFormatting sqref="E8">
    <cfRule type="timePeriod" dxfId="126" priority="127" timePeriod="tomorrow">
      <formula>FLOOR(E8,1)=TODAY()+1</formula>
    </cfRule>
  </conditionalFormatting>
  <conditionalFormatting sqref="D8">
    <cfRule type="timePeriod" dxfId="125" priority="126" timePeriod="tomorrow">
      <formula>FLOOR(D8,1)=TODAY()+1</formula>
    </cfRule>
  </conditionalFormatting>
  <conditionalFormatting sqref="E8">
    <cfRule type="timePeriod" dxfId="124" priority="125" timePeriod="tomorrow">
      <formula>FLOOR(E8,1)=TODAY()+1</formula>
    </cfRule>
  </conditionalFormatting>
  <conditionalFormatting sqref="D8">
    <cfRule type="timePeriod" dxfId="123" priority="124" timePeriod="tomorrow">
      <formula>FLOOR(D8,1)=TODAY()+1</formula>
    </cfRule>
  </conditionalFormatting>
  <conditionalFormatting sqref="E8">
    <cfRule type="timePeriod" dxfId="122" priority="123" timePeriod="tomorrow">
      <formula>FLOOR(E8,1)=TODAY()+1</formula>
    </cfRule>
  </conditionalFormatting>
  <conditionalFormatting sqref="D8">
    <cfRule type="timePeriod" dxfId="121" priority="122" timePeriod="tomorrow">
      <formula>FLOOR(D8,1)=TODAY()+1</formula>
    </cfRule>
  </conditionalFormatting>
  <conditionalFormatting sqref="E8">
    <cfRule type="timePeriod" dxfId="120" priority="121" timePeriod="tomorrow">
      <formula>FLOOR(E8,1)=TODAY()+1</formula>
    </cfRule>
  </conditionalFormatting>
  <conditionalFormatting sqref="D8">
    <cfRule type="timePeriod" dxfId="119" priority="120" timePeriod="tomorrow">
      <formula>FLOOR(D8,1)=TODAY()+1</formula>
    </cfRule>
  </conditionalFormatting>
  <conditionalFormatting sqref="E8">
    <cfRule type="timePeriod" dxfId="118" priority="119" timePeriod="tomorrow">
      <formula>FLOOR(E8,1)=TODAY()+1</formula>
    </cfRule>
  </conditionalFormatting>
  <conditionalFormatting sqref="D8">
    <cfRule type="timePeriod" dxfId="117" priority="118" timePeriod="tomorrow">
      <formula>FLOOR(D8,1)=TODAY()+1</formula>
    </cfRule>
  </conditionalFormatting>
  <conditionalFormatting sqref="E8">
    <cfRule type="timePeriod" dxfId="116" priority="117" timePeriod="tomorrow">
      <formula>FLOOR(E8,1)=TODAY()+1</formula>
    </cfRule>
  </conditionalFormatting>
  <conditionalFormatting sqref="D8">
    <cfRule type="timePeriod" dxfId="115" priority="116" timePeriod="tomorrow">
      <formula>FLOOR(D8,1)=TODAY()+1</formula>
    </cfRule>
  </conditionalFormatting>
  <conditionalFormatting sqref="E8">
    <cfRule type="timePeriod" dxfId="114" priority="115" timePeriod="tomorrow">
      <formula>FLOOR(E8,1)=TODAY()+1</formula>
    </cfRule>
  </conditionalFormatting>
  <conditionalFormatting sqref="D8">
    <cfRule type="timePeriod" dxfId="113" priority="114" timePeriod="tomorrow">
      <formula>FLOOR(D8,1)=TODAY()+1</formula>
    </cfRule>
  </conditionalFormatting>
  <conditionalFormatting sqref="E8">
    <cfRule type="timePeriod" dxfId="112" priority="113" timePeriod="tomorrow">
      <formula>FLOOR(E8,1)=TODAY()+1</formula>
    </cfRule>
  </conditionalFormatting>
  <conditionalFormatting sqref="D8">
    <cfRule type="timePeriod" dxfId="111" priority="112" timePeriod="tomorrow">
      <formula>FLOOR(D8,1)=TODAY()+1</formula>
    </cfRule>
  </conditionalFormatting>
  <conditionalFormatting sqref="E8">
    <cfRule type="timePeriod" dxfId="110" priority="111" timePeriod="tomorrow">
      <formula>FLOOR(E8,1)=TODAY()+1</formula>
    </cfRule>
  </conditionalFormatting>
  <conditionalFormatting sqref="D8">
    <cfRule type="timePeriod" dxfId="109" priority="110" timePeriod="tomorrow">
      <formula>FLOOR(D8,1)=TODAY()+1</formula>
    </cfRule>
  </conditionalFormatting>
  <conditionalFormatting sqref="E8">
    <cfRule type="timePeriod" dxfId="108" priority="109" timePeriod="tomorrow">
      <formula>FLOOR(E8,1)=TODAY()+1</formula>
    </cfRule>
  </conditionalFormatting>
  <conditionalFormatting sqref="D8">
    <cfRule type="timePeriod" dxfId="107" priority="108" timePeriod="tomorrow">
      <formula>FLOOR(D8,1)=TODAY()+1</formula>
    </cfRule>
  </conditionalFormatting>
  <conditionalFormatting sqref="E8">
    <cfRule type="timePeriod" dxfId="106" priority="107" timePeriod="tomorrow">
      <formula>FLOOR(E8,1)=TODAY()+1</formula>
    </cfRule>
  </conditionalFormatting>
  <conditionalFormatting sqref="D8">
    <cfRule type="timePeriod" dxfId="105" priority="106" timePeriod="tomorrow">
      <formula>FLOOR(D8,1)=TODAY()+1</formula>
    </cfRule>
  </conditionalFormatting>
  <conditionalFormatting sqref="E8">
    <cfRule type="timePeriod" dxfId="104" priority="105" timePeriod="tomorrow">
      <formula>FLOOR(E8,1)=TODAY()+1</formula>
    </cfRule>
  </conditionalFormatting>
  <conditionalFormatting sqref="D8">
    <cfRule type="timePeriod" dxfId="103" priority="104" timePeriod="tomorrow">
      <formula>FLOOR(D8,1)=TODAY()+1</formula>
    </cfRule>
  </conditionalFormatting>
  <conditionalFormatting sqref="E8">
    <cfRule type="timePeriod" dxfId="102" priority="103" timePeriod="tomorrow">
      <formula>FLOOR(E8,1)=TODAY()+1</formula>
    </cfRule>
  </conditionalFormatting>
  <conditionalFormatting sqref="D8">
    <cfRule type="timePeriod" dxfId="101" priority="102" timePeriod="tomorrow">
      <formula>FLOOR(D8,1)=TODAY()+1</formula>
    </cfRule>
  </conditionalFormatting>
  <conditionalFormatting sqref="E8">
    <cfRule type="timePeriod" dxfId="100" priority="101" timePeriod="tomorrow">
      <formula>FLOOR(E8,1)=TODAY()+1</formula>
    </cfRule>
  </conditionalFormatting>
  <conditionalFormatting sqref="D8">
    <cfRule type="timePeriod" dxfId="99" priority="100" timePeriod="tomorrow">
      <formula>FLOOR(D8,1)=TODAY()+1</formula>
    </cfRule>
  </conditionalFormatting>
  <conditionalFormatting sqref="E8">
    <cfRule type="timePeriod" dxfId="98" priority="99" timePeriod="tomorrow">
      <formula>FLOOR(E8,1)=TODAY()+1</formula>
    </cfRule>
  </conditionalFormatting>
  <conditionalFormatting sqref="D8">
    <cfRule type="timePeriod" dxfId="97" priority="98" timePeriod="tomorrow">
      <formula>FLOOR(D8,1)=TODAY()+1</formula>
    </cfRule>
  </conditionalFormatting>
  <conditionalFormatting sqref="E8">
    <cfRule type="timePeriod" dxfId="96" priority="97" timePeriod="tomorrow">
      <formula>FLOOR(E8,1)=TODAY()+1</formula>
    </cfRule>
  </conditionalFormatting>
  <conditionalFormatting sqref="D8">
    <cfRule type="timePeriod" dxfId="95" priority="96" timePeriod="tomorrow">
      <formula>FLOOR(D8,1)=TODAY()+1</formula>
    </cfRule>
  </conditionalFormatting>
  <conditionalFormatting sqref="E8">
    <cfRule type="timePeriod" dxfId="94" priority="95" timePeriod="tomorrow">
      <formula>FLOOR(E8,1)=TODAY()+1</formula>
    </cfRule>
  </conditionalFormatting>
  <conditionalFormatting sqref="D7">
    <cfRule type="timePeriod" dxfId="93" priority="94" timePeriod="tomorrow">
      <formula>FLOOR(D7,1)=TODAY()+1</formula>
    </cfRule>
  </conditionalFormatting>
  <conditionalFormatting sqref="E7">
    <cfRule type="timePeriod" dxfId="92" priority="93" timePeriod="tomorrow">
      <formula>FLOOR(E7,1)=TODAY()+1</formula>
    </cfRule>
  </conditionalFormatting>
  <conditionalFormatting sqref="C7:F7">
    <cfRule type="cellIs" dxfId="91" priority="89" operator="equal">
      <formula>"Transformer"</formula>
    </cfRule>
    <cfRule type="cellIs" dxfId="90" priority="90" operator="equal">
      <formula>"Fossil.Gen"</formula>
    </cfRule>
    <cfRule type="cellIs" dxfId="89" priority="91" operator="equal">
      <formula>"Hydro.Gen"</formula>
    </cfRule>
    <cfRule type="cellIs" dxfId="88" priority="92" operator="equal">
      <formula>"Nuc.Gen"</formula>
    </cfRule>
  </conditionalFormatting>
  <conditionalFormatting sqref="D7">
    <cfRule type="timePeriod" dxfId="87" priority="88" timePeriod="tomorrow">
      <formula>FLOOR(D7,1)=TODAY()+1</formula>
    </cfRule>
  </conditionalFormatting>
  <conditionalFormatting sqref="E7">
    <cfRule type="timePeriod" dxfId="86" priority="87" timePeriod="tomorrow">
      <formula>FLOOR(E7,1)=TODAY()+1</formula>
    </cfRule>
  </conditionalFormatting>
  <conditionalFormatting sqref="D7">
    <cfRule type="timePeriod" dxfId="85" priority="86" timePeriod="tomorrow">
      <formula>FLOOR(D7,1)=TODAY()+1</formula>
    </cfRule>
  </conditionalFormatting>
  <conditionalFormatting sqref="E7">
    <cfRule type="timePeriod" dxfId="84" priority="85" timePeriod="tomorrow">
      <formula>FLOOR(E7,1)=TODAY()+1</formula>
    </cfRule>
  </conditionalFormatting>
  <conditionalFormatting sqref="D7">
    <cfRule type="timePeriod" dxfId="83" priority="84" timePeriod="tomorrow">
      <formula>FLOOR(D7,1)=TODAY()+1</formula>
    </cfRule>
  </conditionalFormatting>
  <conditionalFormatting sqref="E7">
    <cfRule type="timePeriod" dxfId="82" priority="83" timePeriod="tomorrow">
      <formula>FLOOR(E7,1)=TODAY()+1</formula>
    </cfRule>
  </conditionalFormatting>
  <conditionalFormatting sqref="D7">
    <cfRule type="timePeriod" dxfId="81" priority="82" timePeriod="tomorrow">
      <formula>FLOOR(D7,1)=TODAY()+1</formula>
    </cfRule>
  </conditionalFormatting>
  <conditionalFormatting sqref="E7">
    <cfRule type="timePeriod" dxfId="80" priority="81" timePeriod="tomorrow">
      <formula>FLOOR(E7,1)=TODAY()+1</formula>
    </cfRule>
  </conditionalFormatting>
  <conditionalFormatting sqref="D7">
    <cfRule type="timePeriod" dxfId="79" priority="80" timePeriod="tomorrow">
      <formula>FLOOR(D7,1)=TODAY()+1</formula>
    </cfRule>
  </conditionalFormatting>
  <conditionalFormatting sqref="E7">
    <cfRule type="timePeriod" dxfId="78" priority="79" timePeriod="tomorrow">
      <formula>FLOOR(E7,1)=TODAY()+1</formula>
    </cfRule>
  </conditionalFormatting>
  <conditionalFormatting sqref="D7">
    <cfRule type="timePeriod" dxfId="77" priority="78" timePeriod="tomorrow">
      <formula>FLOOR(D7,1)=TODAY()+1</formula>
    </cfRule>
  </conditionalFormatting>
  <conditionalFormatting sqref="E7">
    <cfRule type="timePeriod" dxfId="76" priority="77" timePeriod="tomorrow">
      <formula>FLOOR(E7,1)=TODAY()+1</formula>
    </cfRule>
  </conditionalFormatting>
  <conditionalFormatting sqref="D7">
    <cfRule type="timePeriod" dxfId="75" priority="76" timePeriod="tomorrow">
      <formula>FLOOR(D7,1)=TODAY()+1</formula>
    </cfRule>
  </conditionalFormatting>
  <conditionalFormatting sqref="E7">
    <cfRule type="timePeriod" dxfId="74" priority="75" timePeriod="tomorrow">
      <formula>FLOOR(E7,1)=TODAY()+1</formula>
    </cfRule>
  </conditionalFormatting>
  <conditionalFormatting sqref="D7">
    <cfRule type="timePeriod" dxfId="73" priority="74" timePeriod="tomorrow">
      <formula>FLOOR(D7,1)=TODAY()+1</formula>
    </cfRule>
  </conditionalFormatting>
  <conditionalFormatting sqref="E7">
    <cfRule type="timePeriod" dxfId="72" priority="73" timePeriod="tomorrow">
      <formula>FLOOR(E7,1)=TODAY()+1</formula>
    </cfRule>
  </conditionalFormatting>
  <conditionalFormatting sqref="D7">
    <cfRule type="timePeriod" dxfId="71" priority="72" timePeriod="tomorrow">
      <formula>FLOOR(D7,1)=TODAY()+1</formula>
    </cfRule>
  </conditionalFormatting>
  <conditionalFormatting sqref="E7">
    <cfRule type="timePeriod" dxfId="70" priority="71" timePeriod="tomorrow">
      <formula>FLOOR(E7,1)=TODAY()+1</formula>
    </cfRule>
  </conditionalFormatting>
  <conditionalFormatting sqref="D7">
    <cfRule type="timePeriod" dxfId="69" priority="70" timePeriod="tomorrow">
      <formula>FLOOR(D7,1)=TODAY()+1</formula>
    </cfRule>
  </conditionalFormatting>
  <conditionalFormatting sqref="E7">
    <cfRule type="timePeriod" dxfId="68" priority="69" timePeriod="tomorrow">
      <formula>FLOOR(E7,1)=TODAY()+1</formula>
    </cfRule>
  </conditionalFormatting>
  <conditionalFormatting sqref="D7">
    <cfRule type="timePeriod" dxfId="67" priority="68" timePeriod="tomorrow">
      <formula>FLOOR(D7,1)=TODAY()+1</formula>
    </cfRule>
  </conditionalFormatting>
  <conditionalFormatting sqref="E7">
    <cfRule type="timePeriod" dxfId="66" priority="67" timePeriod="tomorrow">
      <formula>FLOOR(E7,1)=TODAY()+1</formula>
    </cfRule>
  </conditionalFormatting>
  <conditionalFormatting sqref="D7">
    <cfRule type="timePeriod" dxfId="65" priority="66" timePeriod="tomorrow">
      <formula>FLOOR(D7,1)=TODAY()+1</formula>
    </cfRule>
  </conditionalFormatting>
  <conditionalFormatting sqref="E7">
    <cfRule type="timePeriod" dxfId="64" priority="65" timePeriod="tomorrow">
      <formula>FLOOR(E7,1)=TODAY()+1</formula>
    </cfRule>
  </conditionalFormatting>
  <conditionalFormatting sqref="D7">
    <cfRule type="timePeriod" dxfId="63" priority="64" timePeriod="tomorrow">
      <formula>FLOOR(D7,1)=TODAY()+1</formula>
    </cfRule>
  </conditionalFormatting>
  <conditionalFormatting sqref="E7">
    <cfRule type="timePeriod" dxfId="62" priority="63" timePeriod="tomorrow">
      <formula>FLOOR(E7,1)=TODAY()+1</formula>
    </cfRule>
  </conditionalFormatting>
  <conditionalFormatting sqref="D7">
    <cfRule type="timePeriod" dxfId="61" priority="62" timePeriod="tomorrow">
      <formula>FLOOR(D7,1)=TODAY()+1</formula>
    </cfRule>
  </conditionalFormatting>
  <conditionalFormatting sqref="E7">
    <cfRule type="timePeriod" dxfId="60" priority="61" timePeriod="tomorrow">
      <formula>FLOOR(E7,1)=TODAY()+1</formula>
    </cfRule>
  </conditionalFormatting>
  <conditionalFormatting sqref="D7">
    <cfRule type="timePeriod" dxfId="59" priority="60" timePeriod="tomorrow">
      <formula>FLOOR(D7,1)=TODAY()+1</formula>
    </cfRule>
  </conditionalFormatting>
  <conditionalFormatting sqref="E7">
    <cfRule type="timePeriod" dxfId="58" priority="59" timePeriod="tomorrow">
      <formula>FLOOR(E7,1)=TODAY()+1</formula>
    </cfRule>
  </conditionalFormatting>
  <conditionalFormatting sqref="D7">
    <cfRule type="timePeriod" dxfId="57" priority="58" timePeriod="tomorrow">
      <formula>FLOOR(D7,1)=TODAY()+1</formula>
    </cfRule>
  </conditionalFormatting>
  <conditionalFormatting sqref="E7">
    <cfRule type="timePeriod" dxfId="56" priority="57" timePeriod="tomorrow">
      <formula>FLOOR(E7,1)=TODAY()+1</formula>
    </cfRule>
  </conditionalFormatting>
  <conditionalFormatting sqref="D7">
    <cfRule type="timePeriod" dxfId="55" priority="56" timePeriod="tomorrow">
      <formula>FLOOR(D7,1)=TODAY()+1</formula>
    </cfRule>
  </conditionalFormatting>
  <conditionalFormatting sqref="E7">
    <cfRule type="timePeriod" dxfId="54" priority="55" timePeriod="tomorrow">
      <formula>FLOOR(E7,1)=TODAY()+1</formula>
    </cfRule>
  </conditionalFormatting>
  <conditionalFormatting sqref="D7">
    <cfRule type="timePeriod" dxfId="53" priority="54" timePeriod="tomorrow">
      <formula>FLOOR(D7,1)=TODAY()+1</formula>
    </cfRule>
  </conditionalFormatting>
  <conditionalFormatting sqref="E7">
    <cfRule type="timePeriod" dxfId="52" priority="53" timePeriod="tomorrow">
      <formula>FLOOR(E7,1)=TODAY()+1</formula>
    </cfRule>
  </conditionalFormatting>
  <conditionalFormatting sqref="D7">
    <cfRule type="timePeriod" dxfId="51" priority="52" timePeriod="tomorrow">
      <formula>FLOOR(D7,1)=TODAY()+1</formula>
    </cfRule>
  </conditionalFormatting>
  <conditionalFormatting sqref="E7">
    <cfRule type="timePeriod" dxfId="50" priority="51" timePeriod="tomorrow">
      <formula>FLOOR(E7,1)=TODAY()+1</formula>
    </cfRule>
  </conditionalFormatting>
  <conditionalFormatting sqref="D7">
    <cfRule type="timePeriod" dxfId="49" priority="50" timePeriod="tomorrow">
      <formula>FLOOR(D7,1)=TODAY()+1</formula>
    </cfRule>
  </conditionalFormatting>
  <conditionalFormatting sqref="E7">
    <cfRule type="timePeriod" dxfId="48" priority="49" timePeriod="tomorrow">
      <formula>FLOOR(E7,1)=TODAY()+1</formula>
    </cfRule>
  </conditionalFormatting>
  <conditionalFormatting sqref="D7">
    <cfRule type="timePeriod" dxfId="47" priority="48" timePeriod="tomorrow">
      <formula>FLOOR(D7,1)=TODAY()+1</formula>
    </cfRule>
  </conditionalFormatting>
  <conditionalFormatting sqref="E7">
    <cfRule type="timePeriod" dxfId="46" priority="47" timePeriod="tomorrow">
      <formula>FLOOR(E7,1)=TODAY()+1</formula>
    </cfRule>
  </conditionalFormatting>
  <conditionalFormatting sqref="D7">
    <cfRule type="timePeriod" dxfId="45" priority="46" timePeriod="tomorrow">
      <formula>FLOOR(D7,1)=TODAY()+1</formula>
    </cfRule>
  </conditionalFormatting>
  <conditionalFormatting sqref="E7">
    <cfRule type="timePeriod" dxfId="44" priority="45" timePeriod="tomorrow">
      <formula>FLOOR(E7,1)=TODAY()+1</formula>
    </cfRule>
  </conditionalFormatting>
  <conditionalFormatting sqref="D7">
    <cfRule type="timePeriod" dxfId="43" priority="44" timePeriod="tomorrow">
      <formula>FLOOR(D7,1)=TODAY()+1</formula>
    </cfRule>
  </conditionalFormatting>
  <conditionalFormatting sqref="E7">
    <cfRule type="timePeriod" dxfId="42" priority="43" timePeriod="tomorrow">
      <formula>FLOOR(E7,1)=TODAY()+1</formula>
    </cfRule>
  </conditionalFormatting>
  <conditionalFormatting sqref="D7">
    <cfRule type="timePeriod" dxfId="41" priority="42" timePeriod="tomorrow">
      <formula>FLOOR(D7,1)=TODAY()+1</formula>
    </cfRule>
  </conditionalFormatting>
  <conditionalFormatting sqref="E7">
    <cfRule type="timePeriod" dxfId="40" priority="41" timePeriod="tomorrow">
      <formula>FLOOR(E7,1)=TODAY()+1</formula>
    </cfRule>
  </conditionalFormatting>
  <conditionalFormatting sqref="D7">
    <cfRule type="timePeriod" dxfId="39" priority="40" timePeriod="tomorrow">
      <formula>FLOOR(D7,1)=TODAY()+1</formula>
    </cfRule>
  </conditionalFormatting>
  <conditionalFormatting sqref="E7">
    <cfRule type="timePeriod" dxfId="38" priority="39" timePeriod="tomorrow">
      <formula>FLOOR(E7,1)=TODAY()+1</formula>
    </cfRule>
  </conditionalFormatting>
  <conditionalFormatting sqref="D7">
    <cfRule type="timePeriod" dxfId="37" priority="38" timePeriod="tomorrow">
      <formula>FLOOR(D7,1)=TODAY()+1</formula>
    </cfRule>
  </conditionalFormatting>
  <conditionalFormatting sqref="E7">
    <cfRule type="timePeriod" dxfId="36" priority="37" timePeriod="tomorrow">
      <formula>FLOOR(E7,1)=TODAY()+1</formula>
    </cfRule>
  </conditionalFormatting>
  <conditionalFormatting sqref="D7">
    <cfRule type="timePeriod" dxfId="35" priority="36" timePeriod="tomorrow">
      <formula>FLOOR(D7,1)=TODAY()+1</formula>
    </cfRule>
  </conditionalFormatting>
  <conditionalFormatting sqref="E7">
    <cfRule type="timePeriod" dxfId="34" priority="35" timePeriod="tomorrow">
      <formula>FLOOR(E7,1)=TODAY()+1</formula>
    </cfRule>
  </conditionalFormatting>
  <conditionalFormatting sqref="D7">
    <cfRule type="timePeriod" dxfId="33" priority="34" timePeriod="tomorrow">
      <formula>FLOOR(D7,1)=TODAY()+1</formula>
    </cfRule>
  </conditionalFormatting>
  <conditionalFormatting sqref="E7">
    <cfRule type="timePeriod" dxfId="32" priority="33" timePeriod="tomorrow">
      <formula>FLOOR(E7,1)=TODAY()+1</formula>
    </cfRule>
  </conditionalFormatting>
  <conditionalFormatting sqref="D7">
    <cfRule type="timePeriod" dxfId="31" priority="32" timePeriod="tomorrow">
      <formula>FLOOR(D7,1)=TODAY()+1</formula>
    </cfRule>
  </conditionalFormatting>
  <conditionalFormatting sqref="E7">
    <cfRule type="timePeriod" dxfId="30" priority="31" timePeriod="tomorrow">
      <formula>FLOOR(E7,1)=TODAY()+1</formula>
    </cfRule>
  </conditionalFormatting>
  <conditionalFormatting sqref="D7">
    <cfRule type="timePeriod" dxfId="29" priority="30" timePeriod="tomorrow">
      <formula>FLOOR(D7,1)=TODAY()+1</formula>
    </cfRule>
  </conditionalFormatting>
  <conditionalFormatting sqref="E7">
    <cfRule type="timePeriod" dxfId="28" priority="29" timePeriod="tomorrow">
      <formula>FLOOR(E7,1)=TODAY()+1</formula>
    </cfRule>
  </conditionalFormatting>
  <conditionalFormatting sqref="D7">
    <cfRule type="timePeriod" dxfId="27" priority="28" timePeriod="tomorrow">
      <formula>FLOOR(D7,1)=TODAY()+1</formula>
    </cfRule>
  </conditionalFormatting>
  <conditionalFormatting sqref="E7">
    <cfRule type="timePeriod" dxfId="26" priority="27" timePeriod="tomorrow">
      <formula>FLOOR(E7,1)=TODAY()+1</formula>
    </cfRule>
  </conditionalFormatting>
  <conditionalFormatting sqref="D7">
    <cfRule type="timePeriod" dxfId="25" priority="26" timePeriod="tomorrow">
      <formula>FLOOR(D7,1)=TODAY()+1</formula>
    </cfRule>
  </conditionalFormatting>
  <conditionalFormatting sqref="E7">
    <cfRule type="timePeriod" dxfId="24" priority="25" timePeriod="tomorrow">
      <formula>FLOOR(E7,1)=TODAY()+1</formula>
    </cfRule>
  </conditionalFormatting>
  <conditionalFormatting sqref="D7">
    <cfRule type="timePeriod" dxfId="23" priority="24" timePeriod="tomorrow">
      <formula>FLOOR(D7,1)=TODAY()+1</formula>
    </cfRule>
  </conditionalFormatting>
  <conditionalFormatting sqref="E7">
    <cfRule type="timePeriod" dxfId="22" priority="23" timePeriod="tomorrow">
      <formula>FLOOR(E7,1)=TODAY()+1</formula>
    </cfRule>
  </conditionalFormatting>
  <conditionalFormatting sqref="D7">
    <cfRule type="timePeriod" dxfId="21" priority="22" timePeriod="tomorrow">
      <formula>FLOOR(D7,1)=TODAY()+1</formula>
    </cfRule>
  </conditionalFormatting>
  <conditionalFormatting sqref="E7">
    <cfRule type="timePeriod" dxfId="20" priority="21" timePeriod="tomorrow">
      <formula>FLOOR(E7,1)=TODAY()+1</formula>
    </cfRule>
  </conditionalFormatting>
  <conditionalFormatting sqref="D7">
    <cfRule type="timePeriod" dxfId="19" priority="20" timePeriod="tomorrow">
      <formula>FLOOR(D7,1)=TODAY()+1</formula>
    </cfRule>
  </conditionalFormatting>
  <conditionalFormatting sqref="E7">
    <cfRule type="timePeriod" dxfId="18" priority="19" timePeriod="tomorrow">
      <formula>FLOOR(E7,1)=TODAY()+1</formula>
    </cfRule>
  </conditionalFormatting>
  <conditionalFormatting sqref="D7">
    <cfRule type="timePeriod" dxfId="17" priority="18" timePeriod="tomorrow">
      <formula>FLOOR(D7,1)=TODAY()+1</formula>
    </cfRule>
  </conditionalFormatting>
  <conditionalFormatting sqref="E7">
    <cfRule type="timePeriod" dxfId="16" priority="17" timePeriod="tomorrow">
      <formula>FLOOR(E7,1)=TODAY()+1</formula>
    </cfRule>
  </conditionalFormatting>
  <conditionalFormatting sqref="D7">
    <cfRule type="timePeriod" dxfId="15" priority="16" timePeriod="tomorrow">
      <formula>FLOOR(D7,1)=TODAY()+1</formula>
    </cfRule>
  </conditionalFormatting>
  <conditionalFormatting sqref="E7">
    <cfRule type="timePeriod" dxfId="14" priority="15" timePeriod="tomorrow">
      <formula>FLOOR(E7,1)=TODAY()+1</formula>
    </cfRule>
  </conditionalFormatting>
  <conditionalFormatting sqref="D7">
    <cfRule type="timePeriod" dxfId="13" priority="14" timePeriod="tomorrow">
      <formula>FLOOR(D7,1)=TODAY()+1</formula>
    </cfRule>
  </conditionalFormatting>
  <conditionalFormatting sqref="E7">
    <cfRule type="timePeriod" dxfId="12" priority="13" timePeriod="tomorrow">
      <formula>FLOOR(E7,1)=TODAY()+1</formula>
    </cfRule>
  </conditionalFormatting>
  <conditionalFormatting sqref="D7">
    <cfRule type="timePeriod" dxfId="11" priority="12" timePeriod="tomorrow">
      <formula>FLOOR(D7,1)=TODAY()+1</formula>
    </cfRule>
  </conditionalFormatting>
  <conditionalFormatting sqref="E7">
    <cfRule type="timePeriod" dxfId="10" priority="11" timePeriod="tomorrow">
      <formula>FLOOR(E7,1)=TODAY()+1</formula>
    </cfRule>
  </conditionalFormatting>
  <conditionalFormatting sqref="D7">
    <cfRule type="timePeriod" dxfId="9" priority="10" timePeriod="tomorrow">
      <formula>FLOOR(D7,1)=TODAY()+1</formula>
    </cfRule>
  </conditionalFormatting>
  <conditionalFormatting sqref="E7">
    <cfRule type="timePeriod" dxfId="8" priority="9" timePeriod="tomorrow">
      <formula>FLOOR(E7,1)=TODAY()+1</formula>
    </cfRule>
  </conditionalFormatting>
  <conditionalFormatting sqref="D7">
    <cfRule type="timePeriod" dxfId="7" priority="8" timePeriod="tomorrow">
      <formula>FLOOR(D7,1)=TODAY()+1</formula>
    </cfRule>
  </conditionalFormatting>
  <conditionalFormatting sqref="E7">
    <cfRule type="timePeriod" dxfId="6" priority="7" timePeriod="tomorrow">
      <formula>FLOOR(E7,1)=TODAY()+1</formula>
    </cfRule>
  </conditionalFormatting>
  <conditionalFormatting sqref="D7">
    <cfRule type="timePeriod" dxfId="5" priority="6" timePeriod="tomorrow">
      <formula>FLOOR(D7,1)=TODAY()+1</formula>
    </cfRule>
  </conditionalFormatting>
  <conditionalFormatting sqref="E7">
    <cfRule type="timePeriod" dxfId="4" priority="5" timePeriod="tomorrow">
      <formula>FLOOR(E7,1)=TODAY()+1</formula>
    </cfRule>
  </conditionalFormatting>
  <conditionalFormatting sqref="D7">
    <cfRule type="timePeriod" dxfId="3" priority="4" timePeriod="tomorrow">
      <formula>FLOOR(D7,1)=TODAY()+1</formula>
    </cfRule>
  </conditionalFormatting>
  <conditionalFormatting sqref="E7">
    <cfRule type="timePeriod" dxfId="2" priority="3" timePeriod="tomorrow">
      <formula>FLOOR(E7,1)=TODAY()+1</formula>
    </cfRule>
  </conditionalFormatting>
  <conditionalFormatting sqref="D7">
    <cfRule type="timePeriod" dxfId="1" priority="2" timePeriod="tomorrow">
      <formula>FLOOR(D7,1)=TODAY()+1</formula>
    </cfRule>
  </conditionalFormatting>
  <conditionalFormatting sqref="E7">
    <cfRule type="timePeriod" dxfId="0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14/01/2018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A3" sqref="A3:E14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85" t="s">
        <v>191</v>
      </c>
      <c r="B2" s="686"/>
      <c r="C2" s="686"/>
      <c r="D2" s="686"/>
      <c r="E2" s="687"/>
      <c r="F2" s="101" t="s">
        <v>192</v>
      </c>
      <c r="G2" s="9"/>
      <c r="H2" s="9"/>
      <c r="I2" s="9"/>
      <c r="J2" s="9"/>
    </row>
    <row r="3" spans="1:10" s="99" customFormat="1" ht="23.25" customHeight="1">
      <c r="A3" s="186" t="s">
        <v>354</v>
      </c>
      <c r="B3" s="186" t="s">
        <v>415</v>
      </c>
      <c r="C3" s="186" t="s">
        <v>416</v>
      </c>
      <c r="D3" s="186" t="s">
        <v>490</v>
      </c>
      <c r="E3" s="186" t="s">
        <v>491</v>
      </c>
      <c r="F3" s="9"/>
      <c r="G3" s="102"/>
      <c r="H3" s="8"/>
      <c r="I3" s="8"/>
      <c r="J3" s="8"/>
    </row>
    <row r="4" spans="1:10">
      <c r="A4" s="186" t="s">
        <v>461</v>
      </c>
      <c r="B4" s="186">
        <v>1</v>
      </c>
      <c r="C4" s="186">
        <v>309</v>
      </c>
      <c r="D4" s="186">
        <v>1</v>
      </c>
      <c r="E4" s="186">
        <v>-367</v>
      </c>
      <c r="G4" s="102"/>
      <c r="H4" s="9"/>
      <c r="I4" s="9"/>
      <c r="J4" s="9"/>
    </row>
    <row r="5" spans="1:10">
      <c r="A5" s="186" t="s">
        <v>462</v>
      </c>
      <c r="B5" s="186">
        <v>23</v>
      </c>
      <c r="C5" s="186">
        <v>-199</v>
      </c>
      <c r="D5" s="186">
        <v>23</v>
      </c>
      <c r="E5" s="186">
        <v>-252</v>
      </c>
      <c r="H5" s="9"/>
      <c r="I5" s="9"/>
      <c r="J5" s="9"/>
    </row>
    <row r="6" spans="1:10">
      <c r="A6" s="186" t="s">
        <v>463</v>
      </c>
      <c r="B6" s="186">
        <v>30</v>
      </c>
      <c r="C6" s="186">
        <v>-152</v>
      </c>
      <c r="D6" s="186">
        <v>30</v>
      </c>
      <c r="E6" s="186">
        <v>-160</v>
      </c>
      <c r="H6" s="9"/>
      <c r="I6" s="9"/>
      <c r="J6" s="9"/>
    </row>
    <row r="7" spans="1:10">
      <c r="A7" s="186" t="s">
        <v>464</v>
      </c>
      <c r="B7" s="186">
        <v>67</v>
      </c>
      <c r="C7" s="186">
        <v>597</v>
      </c>
      <c r="D7" s="186">
        <v>67</v>
      </c>
      <c r="E7" s="186">
        <v>744</v>
      </c>
      <c r="H7" s="9"/>
      <c r="I7" s="9"/>
      <c r="J7" s="9"/>
    </row>
    <row r="8" spans="1:10">
      <c r="A8" s="186" t="s">
        <v>465</v>
      </c>
      <c r="B8" s="186">
        <v>65</v>
      </c>
      <c r="C8" s="186">
        <v>596</v>
      </c>
      <c r="D8" s="186">
        <v>65</v>
      </c>
      <c r="E8" s="186">
        <v>749</v>
      </c>
      <c r="H8" s="9"/>
      <c r="I8" s="9"/>
      <c r="J8" s="9"/>
    </row>
    <row r="9" spans="1:10">
      <c r="A9" s="186" t="s">
        <v>466</v>
      </c>
      <c r="B9" s="186">
        <v>13</v>
      </c>
      <c r="C9" s="186">
        <v>637</v>
      </c>
      <c r="D9" s="186">
        <v>13</v>
      </c>
      <c r="E9" s="186">
        <v>665</v>
      </c>
      <c r="H9" s="102"/>
      <c r="I9" s="9"/>
      <c r="J9" s="9"/>
    </row>
    <row r="10" spans="1:10">
      <c r="A10" s="186" t="s">
        <v>467</v>
      </c>
      <c r="B10" s="186">
        <v>29</v>
      </c>
      <c r="C10" s="186">
        <v>117</v>
      </c>
      <c r="D10" s="186">
        <v>29</v>
      </c>
      <c r="E10" s="186">
        <v>127</v>
      </c>
      <c r="I10" s="9"/>
      <c r="J10" s="9"/>
    </row>
    <row r="11" spans="1:10">
      <c r="A11" s="186" t="s">
        <v>468</v>
      </c>
      <c r="B11" s="186">
        <v>10</v>
      </c>
      <c r="C11" s="186">
        <v>-72</v>
      </c>
      <c r="D11" s="186">
        <v>10</v>
      </c>
      <c r="E11" s="186">
        <v>-24</v>
      </c>
      <c r="F11" s="186"/>
    </row>
    <row r="12" spans="1:10">
      <c r="A12" s="186" t="s">
        <v>469</v>
      </c>
      <c r="B12" s="186">
        <v>7</v>
      </c>
      <c r="C12" s="186">
        <v>-82</v>
      </c>
      <c r="D12" s="186">
        <v>7</v>
      </c>
      <c r="E12" s="186">
        <v>-95</v>
      </c>
      <c r="F12" s="186"/>
      <c r="G12" s="178"/>
    </row>
    <row r="13" spans="1:10">
      <c r="A13" s="186" t="s">
        <v>470</v>
      </c>
      <c r="B13" s="186">
        <v>24</v>
      </c>
      <c r="C13" s="186">
        <v>-143</v>
      </c>
      <c r="D13" s="186">
        <v>24</v>
      </c>
      <c r="E13" s="186">
        <v>-153</v>
      </c>
      <c r="F13" s="186"/>
      <c r="G13" s="178"/>
      <c r="H13" s="178"/>
      <c r="I13" s="178"/>
      <c r="J13" s="33"/>
    </row>
    <row r="14" spans="1:10">
      <c r="A14" s="186" t="s">
        <v>471</v>
      </c>
      <c r="B14" s="186">
        <v>18</v>
      </c>
      <c r="C14" s="186">
        <v>128</v>
      </c>
      <c r="D14" s="186">
        <v>18</v>
      </c>
      <c r="E14" s="186">
        <v>127</v>
      </c>
      <c r="F14" s="186"/>
      <c r="G14" s="178"/>
      <c r="H14" s="178"/>
      <c r="I14" s="178"/>
      <c r="J14" s="33"/>
    </row>
    <row r="15" spans="1:10">
      <c r="A15" s="186"/>
      <c r="B15" s="186"/>
      <c r="C15" s="186"/>
      <c r="D15" s="186"/>
      <c r="E15" s="186"/>
      <c r="F15" s="186"/>
      <c r="G15" s="178"/>
      <c r="H15" s="178"/>
      <c r="I15" s="178"/>
      <c r="J15" s="33"/>
    </row>
    <row r="16" spans="1:10">
      <c r="A16" s="186"/>
      <c r="B16" s="186"/>
      <c r="C16" s="186"/>
      <c r="D16" s="186"/>
      <c r="E16" s="186"/>
      <c r="F16" s="186"/>
      <c r="G16" s="178"/>
      <c r="H16" s="178"/>
      <c r="I16" s="178"/>
      <c r="J16" s="33"/>
    </row>
    <row r="17" spans="1:10">
      <c r="A17" s="167"/>
      <c r="B17" s="162"/>
      <c r="C17" s="162"/>
      <c r="D17" s="162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88" t="s">
        <v>205</v>
      </c>
      <c r="B19" s="689"/>
      <c r="C19" s="689"/>
      <c r="D19" s="689"/>
      <c r="E19" s="690"/>
      <c r="F19" s="39"/>
      <c r="G19" s="33"/>
      <c r="H19" s="33"/>
      <c r="I19" s="33"/>
      <c r="J19" s="33"/>
    </row>
    <row r="20" spans="1:10" ht="26.25" customHeight="1">
      <c r="A20" s="186" t="s">
        <v>354</v>
      </c>
      <c r="B20" s="186" t="s">
        <v>415</v>
      </c>
      <c r="C20" s="186" t="s">
        <v>416</v>
      </c>
      <c r="D20" s="186" t="s">
        <v>490</v>
      </c>
      <c r="E20" s="186" t="s">
        <v>491</v>
      </c>
      <c r="F20" s="39"/>
      <c r="G20" s="167"/>
      <c r="H20" s="167"/>
      <c r="I20" s="167"/>
      <c r="J20" s="33"/>
    </row>
    <row r="21" spans="1:10">
      <c r="A21" s="186" t="s">
        <v>461</v>
      </c>
      <c r="B21" s="186">
        <v>1</v>
      </c>
      <c r="C21" s="186">
        <v>579</v>
      </c>
      <c r="D21" s="186">
        <v>1</v>
      </c>
      <c r="E21" s="186">
        <v>579</v>
      </c>
      <c r="F21" s="39"/>
      <c r="G21" s="167"/>
      <c r="H21" s="167"/>
      <c r="I21" s="167"/>
      <c r="J21" s="33"/>
    </row>
    <row r="22" spans="1:10">
      <c r="A22" s="186" t="s">
        <v>462</v>
      </c>
      <c r="B22" s="186">
        <v>18</v>
      </c>
      <c r="C22" s="186">
        <v>-204</v>
      </c>
      <c r="D22" s="186">
        <v>18</v>
      </c>
      <c r="E22" s="186">
        <v>-204</v>
      </c>
      <c r="F22" s="39"/>
      <c r="G22" s="167"/>
      <c r="H22" s="167"/>
      <c r="I22" s="167"/>
      <c r="J22" s="33"/>
    </row>
    <row r="23" spans="1:10">
      <c r="A23" s="186" t="s">
        <v>463</v>
      </c>
      <c r="B23" s="186">
        <v>21</v>
      </c>
      <c r="C23" s="186">
        <v>-142</v>
      </c>
      <c r="D23" s="186">
        <v>21</v>
      </c>
      <c r="E23" s="186">
        <v>-142</v>
      </c>
      <c r="F23" s="39"/>
      <c r="G23" s="167"/>
      <c r="H23" s="167"/>
      <c r="I23" s="167"/>
      <c r="J23" s="33"/>
    </row>
    <row r="24" spans="1:10">
      <c r="A24" s="186" t="s">
        <v>464</v>
      </c>
      <c r="B24" s="186">
        <v>67</v>
      </c>
      <c r="C24" s="186">
        <v>676</v>
      </c>
      <c r="D24" s="186">
        <v>67</v>
      </c>
      <c r="E24" s="186">
        <v>676</v>
      </c>
      <c r="F24" s="39"/>
      <c r="G24" s="167"/>
      <c r="H24" s="167"/>
      <c r="I24" s="167"/>
      <c r="J24" s="33"/>
    </row>
    <row r="25" spans="1:10">
      <c r="A25" s="186" t="s">
        <v>465</v>
      </c>
      <c r="B25" s="186">
        <v>66</v>
      </c>
      <c r="C25" s="186">
        <v>724</v>
      </c>
      <c r="D25" s="186">
        <v>66</v>
      </c>
      <c r="E25" s="186">
        <v>724</v>
      </c>
      <c r="F25" s="39"/>
      <c r="G25" s="167"/>
      <c r="H25" s="167"/>
      <c r="I25" s="167"/>
      <c r="J25" s="33"/>
    </row>
    <row r="26" spans="1:10">
      <c r="A26" s="186" t="s">
        <v>466</v>
      </c>
      <c r="B26" s="186">
        <v>28</v>
      </c>
      <c r="C26" s="186">
        <v>646</v>
      </c>
      <c r="D26" s="186">
        <v>28</v>
      </c>
      <c r="E26" s="186">
        <v>646</v>
      </c>
      <c r="F26" s="39"/>
      <c r="G26" s="167"/>
      <c r="H26" s="167"/>
      <c r="I26" s="167"/>
      <c r="J26" s="33"/>
    </row>
    <row r="27" spans="1:10">
      <c r="A27" s="186" t="s">
        <v>467</v>
      </c>
      <c r="B27" s="186">
        <v>24</v>
      </c>
      <c r="C27" s="186">
        <v>125</v>
      </c>
      <c r="D27" s="186">
        <v>24</v>
      </c>
      <c r="E27" s="186">
        <v>125</v>
      </c>
      <c r="F27" s="39"/>
      <c r="G27" s="167"/>
      <c r="H27" s="167"/>
      <c r="I27" s="167"/>
      <c r="J27" s="33"/>
    </row>
    <row r="28" spans="1:10">
      <c r="A28" s="186" t="s">
        <v>468</v>
      </c>
      <c r="B28" s="186">
        <v>10</v>
      </c>
      <c r="C28" s="186">
        <v>-142</v>
      </c>
      <c r="D28" s="186">
        <v>10</v>
      </c>
      <c r="E28" s="186">
        <v>-142</v>
      </c>
      <c r="F28" s="39"/>
      <c r="G28" s="167"/>
      <c r="H28" s="167"/>
      <c r="I28" s="167"/>
      <c r="J28" s="33"/>
    </row>
    <row r="29" spans="1:10">
      <c r="A29" s="186" t="s">
        <v>469</v>
      </c>
      <c r="B29" s="186">
        <v>9</v>
      </c>
      <c r="C29" s="186">
        <v>-159</v>
      </c>
      <c r="D29" s="186">
        <v>9</v>
      </c>
      <c r="E29" s="186">
        <v>-159</v>
      </c>
      <c r="F29" s="39"/>
      <c r="G29" s="167"/>
      <c r="H29" s="167"/>
      <c r="I29" s="167"/>
      <c r="J29" s="33"/>
    </row>
    <row r="30" spans="1:10">
      <c r="A30" s="186" t="s">
        <v>470</v>
      </c>
      <c r="B30" s="186">
        <v>23</v>
      </c>
      <c r="C30" s="186">
        <v>-200</v>
      </c>
      <c r="D30" s="186">
        <v>23</v>
      </c>
      <c r="E30" s="186">
        <v>-200</v>
      </c>
      <c r="F30" s="39"/>
      <c r="G30" s="167"/>
      <c r="H30" s="167"/>
      <c r="I30" s="167"/>
      <c r="J30" s="33"/>
    </row>
    <row r="31" spans="1:10">
      <c r="A31" s="186" t="s">
        <v>471</v>
      </c>
      <c r="B31" s="186">
        <v>18</v>
      </c>
      <c r="C31" s="186">
        <v>75</v>
      </c>
      <c r="D31" s="186">
        <v>18</v>
      </c>
      <c r="E31" s="186">
        <v>75</v>
      </c>
      <c r="F31" s="39"/>
      <c r="G31" s="167"/>
      <c r="H31" s="167"/>
      <c r="I31" s="167"/>
      <c r="J31" s="33"/>
    </row>
    <row r="32" spans="1:10">
      <c r="A32" s="186"/>
      <c r="B32" s="186"/>
      <c r="C32" s="186"/>
      <c r="D32" s="186"/>
      <c r="E32" s="186"/>
      <c r="F32" s="39"/>
      <c r="G32" s="167"/>
      <c r="H32" s="167"/>
      <c r="I32" s="167"/>
      <c r="J32" s="33"/>
    </row>
    <row r="33" spans="1:10">
      <c r="A33" s="186"/>
      <c r="B33" s="186"/>
      <c r="C33" s="186"/>
      <c r="D33" s="186"/>
      <c r="E33" s="186"/>
      <c r="F33" s="39"/>
      <c r="G33" s="167"/>
      <c r="H33" s="167"/>
      <c r="I33" s="167"/>
      <c r="J33" s="33"/>
    </row>
    <row r="34" spans="1:10">
      <c r="A34" s="178"/>
      <c r="B34" s="162"/>
      <c r="C34" s="162"/>
      <c r="D34" s="162"/>
      <c r="E34" s="186"/>
      <c r="F34" s="39"/>
      <c r="G34" s="33"/>
      <c r="H34" s="33"/>
      <c r="I34" s="33"/>
      <c r="J34" s="33"/>
    </row>
    <row r="35" spans="1:10">
      <c r="A35" s="167"/>
      <c r="B35" s="162"/>
      <c r="C35" s="162"/>
      <c r="D35" s="162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2"/>
      <c r="D36" s="162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2"/>
      <c r="C37" s="162"/>
      <c r="D37" s="162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2"/>
      <c r="C38" s="162"/>
      <c r="D38" s="162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14/01/2018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topLeftCell="A159" zoomScale="115" zoomScaleNormal="115" zoomScalePageLayoutView="85" workbookViewId="0">
      <selection activeCell="M182" sqref="M182:BI182"/>
    </sheetView>
  </sheetViews>
  <sheetFormatPr defaultColWidth="9.140625" defaultRowHeight="15"/>
  <cols>
    <col min="1" max="1" width="16.28515625" style="150" customWidth="1"/>
    <col min="2" max="2" width="1.5703125" style="66" customWidth="1"/>
    <col min="3" max="6" width="1.5703125" style="88" customWidth="1"/>
    <col min="7" max="12" width="1.5703125" style="129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9"/>
      <c r="B2" s="95" t="s">
        <v>278</v>
      </c>
    </row>
    <row r="3" spans="1:61">
      <c r="A3" s="753" t="s">
        <v>321</v>
      </c>
      <c r="B3" s="128"/>
      <c r="C3" s="128"/>
      <c r="D3" s="128"/>
      <c r="E3" s="128"/>
      <c r="F3" s="128"/>
      <c r="G3" s="130"/>
      <c r="H3" s="130"/>
      <c r="I3" s="130"/>
      <c r="J3" s="130"/>
      <c r="K3" s="130"/>
      <c r="L3" s="130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23"/>
      <c r="AQ3" s="123"/>
      <c r="AR3" s="123"/>
      <c r="AS3" s="123"/>
      <c r="AT3" s="123"/>
      <c r="AU3" s="123"/>
      <c r="AV3" s="123"/>
      <c r="AW3" s="123"/>
      <c r="AX3" s="123"/>
      <c r="AY3" s="123"/>
      <c r="AZ3" s="123"/>
      <c r="BA3" s="123"/>
      <c r="BB3" s="123"/>
      <c r="BC3" s="123"/>
      <c r="BD3" s="123"/>
      <c r="BE3" s="123"/>
      <c r="BF3" s="123"/>
      <c r="BG3" s="123"/>
      <c r="BH3" s="123"/>
      <c r="BI3" s="123"/>
    </row>
    <row r="4" spans="1:61">
      <c r="A4" s="753"/>
      <c r="C4" s="92"/>
      <c r="D4" s="92"/>
      <c r="E4" s="92"/>
      <c r="F4" s="92"/>
      <c r="G4" s="258" t="s">
        <v>17</v>
      </c>
      <c r="H4" s="258"/>
      <c r="I4" s="258"/>
      <c r="J4" s="258"/>
      <c r="K4" s="258"/>
      <c r="L4" s="258"/>
      <c r="M4" s="258" t="s">
        <v>172</v>
      </c>
      <c r="N4" s="258"/>
      <c r="O4" s="258"/>
      <c r="P4" s="258"/>
      <c r="Q4" s="258"/>
      <c r="R4" s="258"/>
      <c r="S4" s="258"/>
      <c r="T4" s="258"/>
      <c r="U4" s="258"/>
      <c r="V4" s="258"/>
      <c r="W4" s="258"/>
      <c r="X4" s="258"/>
      <c r="Y4" s="258"/>
      <c r="Z4" s="258"/>
      <c r="AA4" s="258"/>
      <c r="AB4" s="258"/>
      <c r="AC4" s="258"/>
      <c r="AD4" s="258"/>
      <c r="AE4" s="258"/>
      <c r="AF4" s="258"/>
      <c r="AG4" s="258"/>
      <c r="AH4" s="258"/>
      <c r="AI4" s="258"/>
      <c r="AJ4" s="255" t="s">
        <v>43</v>
      </c>
      <c r="AK4" s="256"/>
      <c r="AL4" s="256"/>
      <c r="AM4" s="256"/>
      <c r="AN4" s="256"/>
      <c r="AO4" s="256"/>
      <c r="AP4" s="256"/>
      <c r="AQ4" s="256"/>
      <c r="AR4" s="256"/>
      <c r="AS4" s="256"/>
      <c r="AT4" s="256"/>
      <c r="AU4" s="256"/>
      <c r="AV4" s="256"/>
      <c r="AW4" s="256"/>
      <c r="AX4" s="256"/>
      <c r="AY4" s="256"/>
      <c r="AZ4" s="256"/>
      <c r="BA4" s="256"/>
      <c r="BB4" s="256"/>
      <c r="BC4" s="256"/>
      <c r="BD4" s="256"/>
      <c r="BE4" s="256"/>
      <c r="BF4" s="256"/>
      <c r="BG4" s="256"/>
      <c r="BH4" s="256"/>
      <c r="BI4" s="257"/>
    </row>
    <row r="5" spans="1:61">
      <c r="A5" s="151"/>
      <c r="C5" s="92"/>
      <c r="D5" s="92"/>
      <c r="E5" s="92"/>
      <c r="F5" s="92"/>
      <c r="G5" s="258"/>
      <c r="H5" s="258"/>
      <c r="I5" s="258"/>
      <c r="J5" s="258"/>
      <c r="K5" s="258"/>
      <c r="L5" s="258"/>
      <c r="M5" s="258" t="s">
        <v>44</v>
      </c>
      <c r="N5" s="258"/>
      <c r="O5" s="258"/>
      <c r="P5" s="258" t="s">
        <v>45</v>
      </c>
      <c r="Q5" s="258"/>
      <c r="R5" s="258"/>
      <c r="S5" s="258"/>
      <c r="T5" s="258"/>
      <c r="U5" s="258"/>
      <c r="V5" s="258"/>
      <c r="W5" s="258"/>
      <c r="X5" s="258" t="s">
        <v>46</v>
      </c>
      <c r="Y5" s="258"/>
      <c r="Z5" s="258"/>
      <c r="AA5" s="258"/>
      <c r="AB5" s="258"/>
      <c r="AC5" s="258"/>
      <c r="AD5" s="258"/>
      <c r="AE5" s="258"/>
      <c r="AF5" s="258" t="s">
        <v>47</v>
      </c>
      <c r="AG5" s="258"/>
      <c r="AH5" s="258"/>
      <c r="AI5" s="258"/>
      <c r="AJ5" s="258" t="s">
        <v>48</v>
      </c>
      <c r="AK5" s="258"/>
      <c r="AL5" s="258"/>
      <c r="AM5" s="258"/>
      <c r="AN5" s="259" t="s">
        <v>44</v>
      </c>
      <c r="AO5" s="260"/>
      <c r="AP5" s="261"/>
      <c r="AQ5" s="258" t="s">
        <v>45</v>
      </c>
      <c r="AR5" s="258"/>
      <c r="AS5" s="258"/>
      <c r="AT5" s="258"/>
      <c r="AU5" s="258"/>
      <c r="AV5" s="258"/>
      <c r="AW5" s="258"/>
      <c r="AX5" s="258" t="s">
        <v>46</v>
      </c>
      <c r="AY5" s="258"/>
      <c r="AZ5" s="258"/>
      <c r="BA5" s="258"/>
      <c r="BB5" s="258"/>
      <c r="BC5" s="258"/>
      <c r="BD5" s="258"/>
      <c r="BE5" s="258" t="s">
        <v>47</v>
      </c>
      <c r="BF5" s="258"/>
      <c r="BG5" s="258"/>
      <c r="BH5" s="258"/>
      <c r="BI5" s="258"/>
    </row>
    <row r="6" spans="1:61">
      <c r="A6" s="791"/>
      <c r="C6" s="92"/>
      <c r="D6" s="92"/>
      <c r="E6" s="92"/>
      <c r="F6" s="92"/>
      <c r="G6" s="757"/>
      <c r="H6" s="757"/>
      <c r="I6" s="757"/>
      <c r="J6" s="757"/>
      <c r="K6" s="757"/>
      <c r="L6" s="757"/>
      <c r="M6" s="240"/>
      <c r="N6" s="241"/>
      <c r="O6" s="241"/>
      <c r="P6" s="241"/>
      <c r="Q6" s="241"/>
      <c r="R6" s="241"/>
      <c r="S6" s="241"/>
      <c r="T6" s="241"/>
      <c r="U6" s="241"/>
      <c r="V6" s="241"/>
      <c r="W6" s="241"/>
      <c r="X6" s="241"/>
      <c r="Y6" s="241"/>
      <c r="Z6" s="241"/>
      <c r="AA6" s="241"/>
      <c r="AB6" s="241"/>
      <c r="AC6" s="241"/>
      <c r="AD6" s="241"/>
      <c r="AE6" s="241"/>
      <c r="AF6" s="241"/>
      <c r="AG6" s="241"/>
      <c r="AH6" s="241"/>
      <c r="AI6" s="241"/>
      <c r="AJ6" s="241"/>
      <c r="AK6" s="241"/>
      <c r="AL6" s="241"/>
      <c r="AM6" s="241"/>
      <c r="AN6" s="241"/>
      <c r="AO6" s="241"/>
      <c r="AP6" s="241"/>
      <c r="AQ6" s="241"/>
      <c r="AR6" s="241"/>
      <c r="AS6" s="241"/>
      <c r="AT6" s="241"/>
      <c r="AU6" s="241"/>
      <c r="AV6" s="241"/>
      <c r="AW6" s="241"/>
      <c r="AX6" s="241"/>
      <c r="AY6" s="241"/>
      <c r="AZ6" s="241"/>
      <c r="BA6" s="241"/>
      <c r="BB6" s="241"/>
      <c r="BC6" s="241"/>
      <c r="BD6" s="241"/>
      <c r="BE6" s="241"/>
      <c r="BF6" s="241"/>
      <c r="BG6" s="241"/>
      <c r="BH6" s="241"/>
      <c r="BI6" s="242"/>
    </row>
    <row r="7" spans="1:61">
      <c r="A7" s="791"/>
      <c r="C7" s="92"/>
      <c r="D7" s="92"/>
      <c r="E7" s="92"/>
      <c r="F7" s="92"/>
      <c r="G7" s="757"/>
      <c r="H7" s="757"/>
      <c r="I7" s="757"/>
      <c r="J7" s="757"/>
      <c r="K7" s="757"/>
      <c r="L7" s="757"/>
      <c r="M7" s="220" t="s">
        <v>368</v>
      </c>
      <c r="N7" s="778"/>
      <c r="O7" s="778"/>
      <c r="P7" s="778"/>
      <c r="Q7" s="778"/>
      <c r="R7" s="778"/>
      <c r="S7" s="778"/>
      <c r="T7" s="778"/>
      <c r="U7" s="778"/>
      <c r="V7" s="778"/>
      <c r="W7" s="778"/>
      <c r="X7" s="778"/>
      <c r="Y7" s="778"/>
      <c r="Z7" s="778"/>
      <c r="AA7" s="778"/>
      <c r="AB7" s="778"/>
      <c r="AC7" s="778"/>
      <c r="AD7" s="778"/>
      <c r="AE7" s="778"/>
      <c r="AF7" s="778"/>
      <c r="AG7" s="778"/>
      <c r="AH7" s="778"/>
      <c r="AI7" s="778"/>
      <c r="AJ7" s="778"/>
      <c r="AK7" s="778"/>
      <c r="AL7" s="778"/>
      <c r="AM7" s="778"/>
      <c r="AN7" s="778"/>
      <c r="AO7" s="778"/>
      <c r="AP7" s="778"/>
      <c r="AQ7" s="778"/>
      <c r="AR7" s="778"/>
      <c r="AS7" s="778"/>
      <c r="AT7" s="778"/>
      <c r="AU7" s="778"/>
      <c r="AV7" s="778"/>
      <c r="AW7" s="778"/>
      <c r="AX7" s="778"/>
      <c r="AY7" s="778"/>
      <c r="AZ7" s="778"/>
      <c r="BA7" s="778"/>
      <c r="BB7" s="778"/>
      <c r="BC7" s="778"/>
      <c r="BD7" s="778"/>
      <c r="BE7" s="778"/>
      <c r="BF7" s="778"/>
      <c r="BG7" s="778"/>
      <c r="BH7" s="778"/>
      <c r="BI7" s="779"/>
    </row>
    <row r="8" spans="1:61" ht="15" customHeight="1">
      <c r="A8" s="136" t="s">
        <v>292</v>
      </c>
      <c r="B8" s="136"/>
      <c r="C8" s="136"/>
      <c r="D8" s="136"/>
      <c r="E8" s="136"/>
      <c r="F8" s="136"/>
      <c r="G8" s="693" t="s">
        <v>292</v>
      </c>
      <c r="H8" s="694"/>
      <c r="I8" s="694"/>
      <c r="J8" s="694"/>
      <c r="K8" s="694"/>
      <c r="L8" s="708"/>
      <c r="M8" s="243">
        <v>380</v>
      </c>
      <c r="N8" s="244"/>
      <c r="O8" s="245"/>
      <c r="P8" s="243" t="s">
        <v>279</v>
      </c>
      <c r="Q8" s="244"/>
      <c r="R8" s="244"/>
      <c r="S8" s="244"/>
      <c r="T8" s="244"/>
      <c r="U8" s="244"/>
      <c r="V8" s="244"/>
      <c r="W8" s="244"/>
      <c r="X8" s="244"/>
      <c r="Y8" s="244"/>
      <c r="Z8" s="244"/>
      <c r="AA8" s="244"/>
      <c r="AB8" s="244"/>
      <c r="AC8" s="244"/>
      <c r="AD8" s="244"/>
      <c r="AE8" s="245"/>
      <c r="AF8" s="243"/>
      <c r="AG8" s="244"/>
      <c r="AH8" s="244"/>
      <c r="AI8" s="245"/>
      <c r="AJ8" s="709">
        <v>1.33</v>
      </c>
      <c r="AK8" s="700"/>
      <c r="AL8" s="700"/>
      <c r="AM8" s="701"/>
      <c r="AN8" s="243">
        <v>380</v>
      </c>
      <c r="AO8" s="244"/>
      <c r="AP8" s="245"/>
      <c r="AQ8" s="243" t="s">
        <v>146</v>
      </c>
      <c r="AR8" s="244"/>
      <c r="AS8" s="244"/>
      <c r="AT8" s="244"/>
      <c r="AU8" s="244"/>
      <c r="AV8" s="244"/>
      <c r="AW8" s="245"/>
      <c r="AX8" s="240" t="s">
        <v>15</v>
      </c>
      <c r="AY8" s="241"/>
      <c r="AZ8" s="241"/>
      <c r="BA8" s="241"/>
      <c r="BB8" s="241"/>
      <c r="BC8" s="241"/>
      <c r="BD8" s="242"/>
      <c r="BE8" s="243" t="s">
        <v>233</v>
      </c>
      <c r="BF8" s="244"/>
      <c r="BG8" s="244"/>
      <c r="BH8" s="244"/>
      <c r="BI8" s="245"/>
    </row>
    <row r="9" spans="1:61">
      <c r="A9" s="144" t="s">
        <v>292</v>
      </c>
      <c r="B9" s="136"/>
      <c r="C9" s="136"/>
      <c r="D9" s="136"/>
      <c r="E9" s="136"/>
      <c r="F9" s="136"/>
      <c r="G9" s="710"/>
      <c r="H9" s="711"/>
      <c r="I9" s="711"/>
      <c r="J9" s="711"/>
      <c r="K9" s="711"/>
      <c r="L9" s="780"/>
      <c r="M9" s="246"/>
      <c r="N9" s="247"/>
      <c r="O9" s="248"/>
      <c r="P9" s="246"/>
      <c r="Q9" s="247"/>
      <c r="R9" s="247"/>
      <c r="S9" s="247"/>
      <c r="T9" s="247"/>
      <c r="U9" s="247"/>
      <c r="V9" s="247"/>
      <c r="W9" s="247"/>
      <c r="X9" s="247"/>
      <c r="Y9" s="247"/>
      <c r="Z9" s="247"/>
      <c r="AA9" s="247"/>
      <c r="AB9" s="247"/>
      <c r="AC9" s="247"/>
      <c r="AD9" s="247"/>
      <c r="AE9" s="248"/>
      <c r="AF9" s="246"/>
      <c r="AG9" s="247"/>
      <c r="AH9" s="247"/>
      <c r="AI9" s="248"/>
      <c r="AJ9" s="709">
        <v>1.25</v>
      </c>
      <c r="AK9" s="700"/>
      <c r="AL9" s="700"/>
      <c r="AM9" s="701"/>
      <c r="AN9" s="243">
        <v>380</v>
      </c>
      <c r="AO9" s="244"/>
      <c r="AP9" s="245"/>
      <c r="AQ9" s="243" t="s">
        <v>146</v>
      </c>
      <c r="AR9" s="244"/>
      <c r="AS9" s="244"/>
      <c r="AT9" s="244"/>
      <c r="AU9" s="244"/>
      <c r="AV9" s="244"/>
      <c r="AW9" s="245"/>
      <c r="AX9" s="240" t="s">
        <v>158</v>
      </c>
      <c r="AY9" s="241"/>
      <c r="AZ9" s="241"/>
      <c r="BA9" s="241"/>
      <c r="BB9" s="241"/>
      <c r="BC9" s="241"/>
      <c r="BD9" s="242"/>
      <c r="BE9" s="243" t="s">
        <v>233</v>
      </c>
      <c r="BF9" s="244"/>
      <c r="BG9" s="244"/>
      <c r="BH9" s="244"/>
      <c r="BI9" s="245"/>
    </row>
    <row r="10" spans="1:61" ht="33.75" customHeight="1">
      <c r="A10" s="144" t="s">
        <v>292</v>
      </c>
      <c r="B10" s="136"/>
      <c r="C10" s="136"/>
      <c r="D10" s="136"/>
      <c r="E10" s="136"/>
      <c r="F10" s="136"/>
      <c r="G10" s="695"/>
      <c r="H10" s="696"/>
      <c r="I10" s="696"/>
      <c r="J10" s="696"/>
      <c r="K10" s="696"/>
      <c r="L10" s="697"/>
      <c r="M10" s="220" t="s">
        <v>234</v>
      </c>
      <c r="N10" s="718"/>
      <c r="O10" s="718"/>
      <c r="P10" s="718"/>
      <c r="Q10" s="718"/>
      <c r="R10" s="718"/>
      <c r="S10" s="718"/>
      <c r="T10" s="718"/>
      <c r="U10" s="718"/>
      <c r="V10" s="718"/>
      <c r="W10" s="718"/>
      <c r="X10" s="718"/>
      <c r="Y10" s="718"/>
      <c r="Z10" s="718"/>
      <c r="AA10" s="718"/>
      <c r="AB10" s="718"/>
      <c r="AC10" s="718"/>
      <c r="AD10" s="718"/>
      <c r="AE10" s="718"/>
      <c r="AF10" s="718"/>
      <c r="AG10" s="718"/>
      <c r="AH10" s="718"/>
      <c r="AI10" s="718"/>
      <c r="AJ10" s="718"/>
      <c r="AK10" s="718"/>
      <c r="AL10" s="718"/>
      <c r="AM10" s="718"/>
      <c r="AN10" s="718"/>
      <c r="AO10" s="718"/>
      <c r="AP10" s="718"/>
      <c r="AQ10" s="718"/>
      <c r="AR10" s="718"/>
      <c r="AS10" s="718"/>
      <c r="AT10" s="718"/>
      <c r="AU10" s="718"/>
      <c r="AV10" s="718"/>
      <c r="AW10" s="718"/>
      <c r="AX10" s="718"/>
      <c r="AY10" s="718"/>
      <c r="AZ10" s="718"/>
      <c r="BA10" s="718"/>
      <c r="BB10" s="718"/>
      <c r="BC10" s="718"/>
      <c r="BD10" s="718"/>
      <c r="BE10" s="718"/>
      <c r="BF10" s="718"/>
      <c r="BG10" s="718"/>
      <c r="BH10" s="718"/>
      <c r="BI10" s="719"/>
    </row>
    <row r="11" spans="1:61" ht="15" customHeight="1">
      <c r="A11" s="138" t="s">
        <v>292</v>
      </c>
      <c r="B11" s="135"/>
      <c r="C11" s="135"/>
      <c r="D11" s="135"/>
      <c r="E11" s="135"/>
      <c r="F11" s="135"/>
      <c r="G11" s="737" t="s">
        <v>292</v>
      </c>
      <c r="H11" s="738"/>
      <c r="I11" s="738"/>
      <c r="J11" s="738"/>
      <c r="K11" s="738"/>
      <c r="L11" s="739"/>
      <c r="M11" s="243">
        <v>380</v>
      </c>
      <c r="N11" s="244"/>
      <c r="O11" s="245"/>
      <c r="P11" s="240" t="s">
        <v>279</v>
      </c>
      <c r="Q11" s="241"/>
      <c r="R11" s="241"/>
      <c r="S11" s="241"/>
      <c r="T11" s="241"/>
      <c r="U11" s="241"/>
      <c r="V11" s="241"/>
      <c r="W11" s="241"/>
      <c r="X11" s="241"/>
      <c r="Y11" s="241"/>
      <c r="Z11" s="241"/>
      <c r="AA11" s="241"/>
      <c r="AB11" s="241"/>
      <c r="AC11" s="241"/>
      <c r="AD11" s="241"/>
      <c r="AE11" s="242"/>
      <c r="AF11" s="243" t="s">
        <v>93</v>
      </c>
      <c r="AG11" s="244"/>
      <c r="AH11" s="244"/>
      <c r="AI11" s="245"/>
      <c r="AJ11" s="709">
        <v>1.55</v>
      </c>
      <c r="AK11" s="700"/>
      <c r="AL11" s="700"/>
      <c r="AM11" s="701"/>
      <c r="AN11" s="243">
        <v>220</v>
      </c>
      <c r="AO11" s="244"/>
      <c r="AP11" s="245"/>
      <c r="AQ11" s="243" t="s">
        <v>146</v>
      </c>
      <c r="AR11" s="244"/>
      <c r="AS11" s="244"/>
      <c r="AT11" s="244"/>
      <c r="AU11" s="244"/>
      <c r="AV11" s="244"/>
      <c r="AW11" s="245"/>
      <c r="AX11" s="243" t="s">
        <v>158</v>
      </c>
      <c r="AY11" s="244"/>
      <c r="AZ11" s="244"/>
      <c r="BA11" s="244"/>
      <c r="BB11" s="244"/>
      <c r="BC11" s="244"/>
      <c r="BD11" s="245"/>
      <c r="BE11" s="243"/>
      <c r="BF11" s="244"/>
      <c r="BG11" s="244"/>
      <c r="BH11" s="244"/>
      <c r="BI11" s="245"/>
    </row>
    <row r="12" spans="1:61">
      <c r="A12" s="147" t="s">
        <v>292</v>
      </c>
      <c r="B12" s="135"/>
      <c r="C12" s="135"/>
      <c r="D12" s="135"/>
      <c r="E12" s="135"/>
      <c r="F12" s="135"/>
      <c r="G12" s="775"/>
      <c r="H12" s="776"/>
      <c r="I12" s="776"/>
      <c r="J12" s="776"/>
      <c r="K12" s="776"/>
      <c r="L12" s="777"/>
      <c r="M12" s="246"/>
      <c r="N12" s="247"/>
      <c r="O12" s="248"/>
      <c r="P12" s="744" t="s">
        <v>280</v>
      </c>
      <c r="Q12" s="745"/>
      <c r="R12" s="745"/>
      <c r="S12" s="745"/>
      <c r="T12" s="745"/>
      <c r="U12" s="745"/>
      <c r="V12" s="745"/>
      <c r="W12" s="745"/>
      <c r="X12" s="745"/>
      <c r="Y12" s="745"/>
      <c r="Z12" s="745"/>
      <c r="AA12" s="745"/>
      <c r="AB12" s="745"/>
      <c r="AC12" s="745"/>
      <c r="AD12" s="745"/>
      <c r="AE12" s="746"/>
      <c r="AF12" s="246"/>
      <c r="AG12" s="247"/>
      <c r="AH12" s="247"/>
      <c r="AI12" s="248"/>
      <c r="AJ12" s="758"/>
      <c r="AK12" s="759"/>
      <c r="AL12" s="759"/>
      <c r="AM12" s="760"/>
      <c r="AN12" s="246"/>
      <c r="AO12" s="247"/>
      <c r="AP12" s="248"/>
      <c r="AQ12" s="246"/>
      <c r="AR12" s="247"/>
      <c r="AS12" s="247"/>
      <c r="AT12" s="247"/>
      <c r="AU12" s="247"/>
      <c r="AV12" s="247"/>
      <c r="AW12" s="248"/>
      <c r="AX12" s="246"/>
      <c r="AY12" s="247"/>
      <c r="AZ12" s="247"/>
      <c r="BA12" s="247"/>
      <c r="BB12" s="247"/>
      <c r="BC12" s="247"/>
      <c r="BD12" s="248"/>
      <c r="BE12" s="246"/>
      <c r="BF12" s="247"/>
      <c r="BG12" s="247"/>
      <c r="BH12" s="247"/>
      <c r="BI12" s="248"/>
    </row>
    <row r="13" spans="1:61" ht="38.25" customHeight="1">
      <c r="A13" s="147" t="s">
        <v>292</v>
      </c>
      <c r="B13" s="135"/>
      <c r="C13" s="135"/>
      <c r="D13" s="135"/>
      <c r="E13" s="135"/>
      <c r="F13" s="135"/>
      <c r="G13" s="740"/>
      <c r="H13" s="741"/>
      <c r="I13" s="741"/>
      <c r="J13" s="741"/>
      <c r="K13" s="741"/>
      <c r="L13" s="742"/>
      <c r="M13" s="716" t="s">
        <v>302</v>
      </c>
      <c r="N13" s="221"/>
      <c r="O13" s="221"/>
      <c r="P13" s="221"/>
      <c r="Q13" s="221"/>
      <c r="R13" s="221"/>
      <c r="S13" s="221"/>
      <c r="T13" s="221"/>
      <c r="U13" s="221"/>
      <c r="V13" s="221"/>
      <c r="W13" s="221"/>
      <c r="X13" s="221"/>
      <c r="Y13" s="221"/>
      <c r="Z13" s="221"/>
      <c r="AA13" s="221"/>
      <c r="AB13" s="221"/>
      <c r="AC13" s="221"/>
      <c r="AD13" s="221"/>
      <c r="AE13" s="221"/>
      <c r="AF13" s="221"/>
      <c r="AG13" s="221"/>
      <c r="AH13" s="221"/>
      <c r="AI13" s="221"/>
      <c r="AJ13" s="221"/>
      <c r="AK13" s="221"/>
      <c r="AL13" s="221"/>
      <c r="AM13" s="221"/>
      <c r="AN13" s="221"/>
      <c r="AO13" s="221"/>
      <c r="AP13" s="221"/>
      <c r="AQ13" s="221"/>
      <c r="AR13" s="221"/>
      <c r="AS13" s="221"/>
      <c r="AT13" s="221"/>
      <c r="AU13" s="221"/>
      <c r="AV13" s="221"/>
      <c r="AW13" s="221"/>
      <c r="AX13" s="221"/>
      <c r="AY13" s="221"/>
      <c r="AZ13" s="221"/>
      <c r="BA13" s="221"/>
      <c r="BB13" s="221"/>
      <c r="BC13" s="221"/>
      <c r="BD13" s="221"/>
      <c r="BE13" s="221"/>
      <c r="BF13" s="221"/>
      <c r="BG13" s="221"/>
      <c r="BH13" s="221"/>
      <c r="BI13" s="222"/>
    </row>
    <row r="14" spans="1:61" ht="19.5" customHeight="1">
      <c r="A14" s="154" t="s">
        <v>320</v>
      </c>
      <c r="B14" s="135"/>
      <c r="C14" s="135"/>
      <c r="D14" s="135"/>
      <c r="E14" s="135"/>
      <c r="F14" s="135"/>
      <c r="G14" s="747" t="s">
        <v>320</v>
      </c>
      <c r="H14" s="738"/>
      <c r="I14" s="738"/>
      <c r="J14" s="738"/>
      <c r="K14" s="738"/>
      <c r="L14" s="739"/>
      <c r="M14" s="243">
        <v>380</v>
      </c>
      <c r="N14" s="244"/>
      <c r="O14" s="244"/>
      <c r="P14" s="243" t="s">
        <v>83</v>
      </c>
      <c r="Q14" s="244"/>
      <c r="R14" s="244"/>
      <c r="S14" s="244"/>
      <c r="T14" s="244"/>
      <c r="U14" s="244"/>
      <c r="V14" s="244"/>
      <c r="W14" s="245"/>
      <c r="X14" s="243" t="s">
        <v>173</v>
      </c>
      <c r="Y14" s="244"/>
      <c r="Z14" s="244"/>
      <c r="AA14" s="244"/>
      <c r="AB14" s="244"/>
      <c r="AC14" s="244"/>
      <c r="AD14" s="244"/>
      <c r="AE14" s="245"/>
      <c r="AF14" s="244" t="s">
        <v>93</v>
      </c>
      <c r="AG14" s="244"/>
      <c r="AH14" s="244"/>
      <c r="AI14" s="245"/>
      <c r="AJ14" s="237">
        <v>1.07</v>
      </c>
      <c r="AK14" s="238"/>
      <c r="AL14" s="238"/>
      <c r="AM14" s="239"/>
      <c r="AN14" s="240">
        <v>380</v>
      </c>
      <c r="AO14" s="241"/>
      <c r="AP14" s="242"/>
      <c r="AQ14" s="240" t="s">
        <v>40</v>
      </c>
      <c r="AR14" s="241"/>
      <c r="AS14" s="241"/>
      <c r="AT14" s="241"/>
      <c r="AU14" s="241"/>
      <c r="AV14" s="241"/>
      <c r="AW14" s="242"/>
      <c r="AX14" s="240" t="s">
        <v>211</v>
      </c>
      <c r="AY14" s="241"/>
      <c r="AZ14" s="241"/>
      <c r="BA14" s="241"/>
      <c r="BB14" s="241"/>
      <c r="BC14" s="241"/>
      <c r="BD14" s="242"/>
      <c r="BE14" s="243"/>
      <c r="BF14" s="244"/>
      <c r="BG14" s="244"/>
      <c r="BH14" s="244"/>
      <c r="BI14" s="245"/>
    </row>
    <row r="15" spans="1:61" ht="19.5" customHeight="1">
      <c r="A15" s="146" t="s">
        <v>320</v>
      </c>
      <c r="B15" s="135"/>
      <c r="C15" s="135"/>
      <c r="D15" s="135"/>
      <c r="E15" s="135"/>
      <c r="F15" s="135"/>
      <c r="G15" s="775"/>
      <c r="H15" s="776"/>
      <c r="I15" s="776"/>
      <c r="J15" s="776"/>
      <c r="K15" s="776"/>
      <c r="L15" s="777"/>
      <c r="M15" s="713"/>
      <c r="N15" s="714"/>
      <c r="O15" s="714"/>
      <c r="P15" s="713"/>
      <c r="Q15" s="714"/>
      <c r="R15" s="714"/>
      <c r="S15" s="714"/>
      <c r="T15" s="714"/>
      <c r="U15" s="714"/>
      <c r="V15" s="714"/>
      <c r="W15" s="715"/>
      <c r="X15" s="246"/>
      <c r="Y15" s="247"/>
      <c r="Z15" s="247"/>
      <c r="AA15" s="247"/>
      <c r="AB15" s="247"/>
      <c r="AC15" s="247"/>
      <c r="AD15" s="247"/>
      <c r="AE15" s="248"/>
      <c r="AF15" s="714"/>
      <c r="AG15" s="714"/>
      <c r="AH15" s="714"/>
      <c r="AI15" s="715"/>
      <c r="AJ15" s="237">
        <v>1.06</v>
      </c>
      <c r="AK15" s="238"/>
      <c r="AL15" s="238"/>
      <c r="AM15" s="239"/>
      <c r="AN15" s="240">
        <v>380</v>
      </c>
      <c r="AO15" s="241"/>
      <c r="AP15" s="242"/>
      <c r="AQ15" s="240" t="s">
        <v>165</v>
      </c>
      <c r="AR15" s="241"/>
      <c r="AS15" s="241"/>
      <c r="AT15" s="241"/>
      <c r="AU15" s="241"/>
      <c r="AV15" s="241"/>
      <c r="AW15" s="242"/>
      <c r="AX15" s="240" t="s">
        <v>164</v>
      </c>
      <c r="AY15" s="241"/>
      <c r="AZ15" s="241"/>
      <c r="BA15" s="241"/>
      <c r="BB15" s="241"/>
      <c r="BC15" s="241"/>
      <c r="BD15" s="242"/>
      <c r="BE15" s="713"/>
      <c r="BF15" s="714"/>
      <c r="BG15" s="714"/>
      <c r="BH15" s="714"/>
      <c r="BI15" s="715"/>
    </row>
    <row r="16" spans="1:61" ht="19.5" customHeight="1">
      <c r="A16" s="146" t="s">
        <v>320</v>
      </c>
      <c r="B16" s="135"/>
      <c r="C16" s="135"/>
      <c r="D16" s="135"/>
      <c r="E16" s="135"/>
      <c r="F16" s="135"/>
      <c r="G16" s="775"/>
      <c r="H16" s="776"/>
      <c r="I16" s="776"/>
      <c r="J16" s="776"/>
      <c r="K16" s="776"/>
      <c r="L16" s="777"/>
      <c r="M16" s="713"/>
      <c r="N16" s="714"/>
      <c r="O16" s="714"/>
      <c r="P16" s="713"/>
      <c r="Q16" s="714"/>
      <c r="R16" s="714"/>
      <c r="S16" s="714"/>
      <c r="T16" s="714"/>
      <c r="U16" s="714"/>
      <c r="V16" s="714"/>
      <c r="W16" s="715"/>
      <c r="X16" s="243" t="s">
        <v>299</v>
      </c>
      <c r="Y16" s="244"/>
      <c r="Z16" s="244"/>
      <c r="AA16" s="244"/>
      <c r="AB16" s="244"/>
      <c r="AC16" s="244"/>
      <c r="AD16" s="244"/>
      <c r="AE16" s="245"/>
      <c r="AF16" s="714"/>
      <c r="AG16" s="714"/>
      <c r="AH16" s="714"/>
      <c r="AI16" s="715"/>
      <c r="AJ16" s="237">
        <v>1.0900000000000001</v>
      </c>
      <c r="AK16" s="238"/>
      <c r="AL16" s="238"/>
      <c r="AM16" s="239"/>
      <c r="AN16" s="240">
        <v>220</v>
      </c>
      <c r="AO16" s="241"/>
      <c r="AP16" s="242"/>
      <c r="AQ16" s="240" t="s">
        <v>146</v>
      </c>
      <c r="AR16" s="241"/>
      <c r="AS16" s="241"/>
      <c r="AT16" s="241"/>
      <c r="AU16" s="241"/>
      <c r="AV16" s="241"/>
      <c r="AW16" s="242"/>
      <c r="AX16" s="240" t="s">
        <v>15</v>
      </c>
      <c r="AY16" s="241"/>
      <c r="AZ16" s="241"/>
      <c r="BA16" s="241"/>
      <c r="BB16" s="241"/>
      <c r="BC16" s="241"/>
      <c r="BD16" s="242"/>
      <c r="BE16" s="713"/>
      <c r="BF16" s="714"/>
      <c r="BG16" s="714"/>
      <c r="BH16" s="714"/>
      <c r="BI16" s="715"/>
    </row>
    <row r="17" spans="1:61" ht="19.5" customHeight="1">
      <c r="A17" s="146" t="s">
        <v>320</v>
      </c>
      <c r="B17" s="135"/>
      <c r="C17" s="135"/>
      <c r="D17" s="135"/>
      <c r="E17" s="135"/>
      <c r="F17" s="135"/>
      <c r="G17" s="775"/>
      <c r="H17" s="776"/>
      <c r="I17" s="776"/>
      <c r="J17" s="776"/>
      <c r="K17" s="776"/>
      <c r="L17" s="777"/>
      <c r="M17" s="246"/>
      <c r="N17" s="247"/>
      <c r="O17" s="247"/>
      <c r="P17" s="246"/>
      <c r="Q17" s="247"/>
      <c r="R17" s="247"/>
      <c r="S17" s="247"/>
      <c r="T17" s="247"/>
      <c r="U17" s="247"/>
      <c r="V17" s="247"/>
      <c r="W17" s="248"/>
      <c r="X17" s="246"/>
      <c r="Y17" s="247"/>
      <c r="Z17" s="247"/>
      <c r="AA17" s="247"/>
      <c r="AB17" s="247"/>
      <c r="AC17" s="247"/>
      <c r="AD17" s="247"/>
      <c r="AE17" s="248"/>
      <c r="AF17" s="247"/>
      <c r="AG17" s="247"/>
      <c r="AH17" s="247"/>
      <c r="AI17" s="248"/>
      <c r="AJ17" s="237">
        <v>1.01</v>
      </c>
      <c r="AK17" s="238"/>
      <c r="AL17" s="238"/>
      <c r="AM17" s="239"/>
      <c r="AN17" s="240">
        <v>220</v>
      </c>
      <c r="AO17" s="241"/>
      <c r="AP17" s="242"/>
      <c r="AQ17" s="240" t="s">
        <v>146</v>
      </c>
      <c r="AR17" s="241"/>
      <c r="AS17" s="241"/>
      <c r="AT17" s="241"/>
      <c r="AU17" s="241"/>
      <c r="AV17" s="241"/>
      <c r="AW17" s="242"/>
      <c r="AX17" s="240" t="s">
        <v>158</v>
      </c>
      <c r="AY17" s="241"/>
      <c r="AZ17" s="241"/>
      <c r="BA17" s="241"/>
      <c r="BB17" s="241"/>
      <c r="BC17" s="241"/>
      <c r="BD17" s="242"/>
      <c r="BE17" s="246"/>
      <c r="BF17" s="247"/>
      <c r="BG17" s="247"/>
      <c r="BH17" s="247"/>
      <c r="BI17" s="248"/>
    </row>
    <row r="18" spans="1:61" ht="48.75" customHeight="1">
      <c r="A18" s="146" t="s">
        <v>320</v>
      </c>
      <c r="B18" s="135"/>
      <c r="C18" s="135"/>
      <c r="D18" s="135"/>
      <c r="E18" s="135"/>
      <c r="F18" s="135"/>
      <c r="G18" s="740"/>
      <c r="H18" s="741"/>
      <c r="I18" s="741"/>
      <c r="J18" s="741"/>
      <c r="K18" s="741"/>
      <c r="L18" s="742"/>
      <c r="M18" s="716" t="s">
        <v>305</v>
      </c>
      <c r="N18" s="221"/>
      <c r="O18" s="221"/>
      <c r="P18" s="221"/>
      <c r="Q18" s="221"/>
      <c r="R18" s="221"/>
      <c r="S18" s="221"/>
      <c r="T18" s="221"/>
      <c r="U18" s="221"/>
      <c r="V18" s="221"/>
      <c r="W18" s="221"/>
      <c r="X18" s="221"/>
      <c r="Y18" s="221"/>
      <c r="Z18" s="221"/>
      <c r="AA18" s="221"/>
      <c r="AB18" s="221"/>
      <c r="AC18" s="221"/>
      <c r="AD18" s="221"/>
      <c r="AE18" s="221"/>
      <c r="AF18" s="221"/>
      <c r="AG18" s="221"/>
      <c r="AH18" s="221"/>
      <c r="AI18" s="221"/>
      <c r="AJ18" s="221"/>
      <c r="AK18" s="221"/>
      <c r="AL18" s="221"/>
      <c r="AM18" s="221"/>
      <c r="AN18" s="221"/>
      <c r="AO18" s="221"/>
      <c r="AP18" s="221"/>
      <c r="AQ18" s="221"/>
      <c r="AR18" s="221"/>
      <c r="AS18" s="221"/>
      <c r="AT18" s="221"/>
      <c r="AU18" s="221"/>
      <c r="AV18" s="221"/>
      <c r="AW18" s="221"/>
      <c r="AX18" s="221"/>
      <c r="AY18" s="221"/>
      <c r="AZ18" s="221"/>
      <c r="BA18" s="221"/>
      <c r="BB18" s="221"/>
      <c r="BC18" s="221"/>
      <c r="BD18" s="221"/>
      <c r="BE18" s="221"/>
      <c r="BF18" s="221"/>
      <c r="BG18" s="221"/>
      <c r="BH18" s="221"/>
      <c r="BI18" s="222"/>
    </row>
    <row r="19" spans="1:61" ht="15" customHeight="1">
      <c r="A19" s="135" t="s">
        <v>319</v>
      </c>
      <c r="B19" s="77"/>
      <c r="C19" s="77"/>
      <c r="D19" s="77"/>
      <c r="E19" s="77"/>
      <c r="F19" s="127"/>
      <c r="G19" s="747" t="s">
        <v>319</v>
      </c>
      <c r="H19" s="747"/>
      <c r="I19" s="747"/>
      <c r="J19" s="747"/>
      <c r="K19" s="747"/>
      <c r="L19" s="747"/>
      <c r="M19" s="243">
        <v>380</v>
      </c>
      <c r="N19" s="244"/>
      <c r="O19" s="245"/>
      <c r="P19" s="243" t="s">
        <v>173</v>
      </c>
      <c r="Q19" s="244"/>
      <c r="R19" s="244"/>
      <c r="S19" s="244"/>
      <c r="T19" s="244"/>
      <c r="U19" s="244"/>
      <c r="V19" s="244"/>
      <c r="W19" s="245"/>
      <c r="X19" s="243" t="s">
        <v>83</v>
      </c>
      <c r="Y19" s="244"/>
      <c r="Z19" s="244"/>
      <c r="AA19" s="244"/>
      <c r="AB19" s="244"/>
      <c r="AC19" s="244"/>
      <c r="AD19" s="244"/>
      <c r="AE19" s="245"/>
      <c r="AF19" s="243" t="s">
        <v>93</v>
      </c>
      <c r="AG19" s="244"/>
      <c r="AH19" s="244"/>
      <c r="AI19" s="245"/>
      <c r="AJ19" s="709">
        <v>1</v>
      </c>
      <c r="AK19" s="700"/>
      <c r="AL19" s="700"/>
      <c r="AM19" s="701"/>
      <c r="AN19" s="243">
        <v>220</v>
      </c>
      <c r="AO19" s="244"/>
      <c r="AP19" s="245"/>
      <c r="AQ19" s="243" t="s">
        <v>146</v>
      </c>
      <c r="AR19" s="244"/>
      <c r="AS19" s="244"/>
      <c r="AT19" s="244"/>
      <c r="AU19" s="244"/>
      <c r="AV19" s="244"/>
      <c r="AW19" s="245"/>
      <c r="AX19" s="243" t="s">
        <v>158</v>
      </c>
      <c r="AY19" s="244"/>
      <c r="AZ19" s="244"/>
      <c r="BA19" s="244"/>
      <c r="BB19" s="244"/>
      <c r="BC19" s="244"/>
      <c r="BD19" s="245"/>
      <c r="BE19" s="243"/>
      <c r="BF19" s="244"/>
      <c r="BG19" s="244"/>
      <c r="BH19" s="244"/>
      <c r="BI19" s="245"/>
    </row>
    <row r="20" spans="1:61" ht="15" customHeight="1">
      <c r="A20" s="146" t="s">
        <v>319</v>
      </c>
      <c r="B20" s="77"/>
      <c r="C20" s="77"/>
      <c r="D20" s="77"/>
      <c r="E20" s="77"/>
      <c r="F20" s="127"/>
      <c r="G20" s="747"/>
      <c r="H20" s="747"/>
      <c r="I20" s="747"/>
      <c r="J20" s="747"/>
      <c r="K20" s="747"/>
      <c r="L20" s="747"/>
      <c r="M20" s="246"/>
      <c r="N20" s="247"/>
      <c r="O20" s="248"/>
      <c r="P20" s="782" t="s">
        <v>174</v>
      </c>
      <c r="Q20" s="783"/>
      <c r="R20" s="783"/>
      <c r="S20" s="783"/>
      <c r="T20" s="783"/>
      <c r="U20" s="783"/>
      <c r="V20" s="783"/>
      <c r="W20" s="783"/>
      <c r="X20" s="783"/>
      <c r="Y20" s="783"/>
      <c r="Z20" s="783"/>
      <c r="AA20" s="783"/>
      <c r="AB20" s="783"/>
      <c r="AC20" s="783"/>
      <c r="AD20" s="783"/>
      <c r="AE20" s="784"/>
      <c r="AF20" s="246"/>
      <c r="AG20" s="247"/>
      <c r="AH20" s="247"/>
      <c r="AI20" s="248"/>
      <c r="AJ20" s="758"/>
      <c r="AK20" s="759"/>
      <c r="AL20" s="759"/>
      <c r="AM20" s="760"/>
      <c r="AN20" s="246"/>
      <c r="AO20" s="247"/>
      <c r="AP20" s="248"/>
      <c r="AQ20" s="246"/>
      <c r="AR20" s="247"/>
      <c r="AS20" s="247"/>
      <c r="AT20" s="247"/>
      <c r="AU20" s="247"/>
      <c r="AV20" s="247"/>
      <c r="AW20" s="248"/>
      <c r="AX20" s="246"/>
      <c r="AY20" s="247"/>
      <c r="AZ20" s="247"/>
      <c r="BA20" s="247"/>
      <c r="BB20" s="247"/>
      <c r="BC20" s="247"/>
      <c r="BD20" s="248"/>
      <c r="BE20" s="246"/>
      <c r="BF20" s="247"/>
      <c r="BG20" s="247"/>
      <c r="BH20" s="247"/>
      <c r="BI20" s="248"/>
    </row>
    <row r="21" spans="1:61" ht="26.25" customHeight="1">
      <c r="A21" s="146" t="s">
        <v>319</v>
      </c>
      <c r="C21" s="93"/>
      <c r="D21" s="93"/>
      <c r="E21" s="93"/>
      <c r="F21" s="93"/>
      <c r="G21" s="747"/>
      <c r="H21" s="747"/>
      <c r="I21" s="747"/>
      <c r="J21" s="747"/>
      <c r="K21" s="747"/>
      <c r="L21" s="747"/>
      <c r="M21" s="716" t="s">
        <v>303</v>
      </c>
      <c r="N21" s="221"/>
      <c r="O21" s="221"/>
      <c r="P21" s="221"/>
      <c r="Q21" s="221"/>
      <c r="R21" s="221"/>
      <c r="S21" s="221"/>
      <c r="T21" s="221"/>
      <c r="U21" s="221"/>
      <c r="V21" s="221"/>
      <c r="W21" s="221"/>
      <c r="X21" s="221"/>
      <c r="Y21" s="221"/>
      <c r="Z21" s="221"/>
      <c r="AA21" s="221"/>
      <c r="AB21" s="221"/>
      <c r="AC21" s="221"/>
      <c r="AD21" s="221"/>
      <c r="AE21" s="221"/>
      <c r="AF21" s="221"/>
      <c r="AG21" s="221"/>
      <c r="AH21" s="221"/>
      <c r="AI21" s="221"/>
      <c r="AJ21" s="221"/>
      <c r="AK21" s="221"/>
      <c r="AL21" s="221"/>
      <c r="AM21" s="221"/>
      <c r="AN21" s="221"/>
      <c r="AO21" s="221"/>
      <c r="AP21" s="221"/>
      <c r="AQ21" s="221"/>
      <c r="AR21" s="221"/>
      <c r="AS21" s="221"/>
      <c r="AT21" s="221"/>
      <c r="AU21" s="221"/>
      <c r="AV21" s="221"/>
      <c r="AW21" s="221"/>
      <c r="AX21" s="221"/>
      <c r="AY21" s="221"/>
      <c r="AZ21" s="221"/>
      <c r="BA21" s="221"/>
      <c r="BB21" s="221"/>
      <c r="BC21" s="221"/>
      <c r="BD21" s="221"/>
      <c r="BE21" s="221"/>
      <c r="BF21" s="221"/>
      <c r="BG21" s="221"/>
      <c r="BH21" s="221"/>
      <c r="BI21" s="222"/>
    </row>
    <row r="22" spans="1:61" ht="15" customHeight="1">
      <c r="A22" s="135" t="s">
        <v>291</v>
      </c>
      <c r="B22" s="135"/>
      <c r="C22" s="135"/>
      <c r="D22" s="135"/>
      <c r="E22" s="135"/>
      <c r="F22" s="135"/>
      <c r="G22" s="747" t="s">
        <v>291</v>
      </c>
      <c r="H22" s="738"/>
      <c r="I22" s="738"/>
      <c r="J22" s="738"/>
      <c r="K22" s="738"/>
      <c r="L22" s="739"/>
      <c r="M22" s="243">
        <v>380</v>
      </c>
      <c r="N22" s="244"/>
      <c r="O22" s="245"/>
      <c r="P22" s="243" t="s">
        <v>284</v>
      </c>
      <c r="Q22" s="244"/>
      <c r="R22" s="244"/>
      <c r="S22" s="244"/>
      <c r="T22" s="244"/>
      <c r="U22" s="244"/>
      <c r="V22" s="244"/>
      <c r="W22" s="244"/>
      <c r="X22" s="244"/>
      <c r="Y22" s="244"/>
      <c r="Z22" s="244"/>
      <c r="AA22" s="244"/>
      <c r="AB22" s="244"/>
      <c r="AC22" s="244"/>
      <c r="AD22" s="244"/>
      <c r="AE22" s="245"/>
      <c r="AF22" s="243" t="s">
        <v>93</v>
      </c>
      <c r="AG22" s="244"/>
      <c r="AH22" s="244"/>
      <c r="AI22" s="245"/>
      <c r="AJ22" s="237">
        <v>1.01</v>
      </c>
      <c r="AK22" s="238"/>
      <c r="AL22" s="238"/>
      <c r="AM22" s="239"/>
      <c r="AN22" s="240">
        <v>220</v>
      </c>
      <c r="AO22" s="241"/>
      <c r="AP22" s="242"/>
      <c r="AQ22" s="240" t="s">
        <v>146</v>
      </c>
      <c r="AR22" s="241"/>
      <c r="AS22" s="241"/>
      <c r="AT22" s="241"/>
      <c r="AU22" s="241"/>
      <c r="AV22" s="241"/>
      <c r="AW22" s="242"/>
      <c r="AX22" s="240" t="s">
        <v>15</v>
      </c>
      <c r="AY22" s="241"/>
      <c r="AZ22" s="241"/>
      <c r="BA22" s="241"/>
      <c r="BB22" s="241"/>
      <c r="BC22" s="241"/>
      <c r="BD22" s="242"/>
      <c r="BE22" s="243"/>
      <c r="BF22" s="244"/>
      <c r="BG22" s="244"/>
      <c r="BH22" s="244"/>
      <c r="BI22" s="245"/>
    </row>
    <row r="23" spans="1:61">
      <c r="A23" s="146" t="s">
        <v>291</v>
      </c>
      <c r="B23" s="135"/>
      <c r="C23" s="135"/>
      <c r="D23" s="135"/>
      <c r="E23" s="135"/>
      <c r="F23" s="135"/>
      <c r="G23" s="775"/>
      <c r="H23" s="776"/>
      <c r="I23" s="776"/>
      <c r="J23" s="776"/>
      <c r="K23" s="776"/>
      <c r="L23" s="777"/>
      <c r="M23" s="246"/>
      <c r="N23" s="247"/>
      <c r="O23" s="248"/>
      <c r="P23" s="246"/>
      <c r="Q23" s="247"/>
      <c r="R23" s="247"/>
      <c r="S23" s="247"/>
      <c r="T23" s="247"/>
      <c r="U23" s="247"/>
      <c r="V23" s="247"/>
      <c r="W23" s="247"/>
      <c r="X23" s="247"/>
      <c r="Y23" s="247"/>
      <c r="Z23" s="247"/>
      <c r="AA23" s="247"/>
      <c r="AB23" s="247"/>
      <c r="AC23" s="247"/>
      <c r="AD23" s="247"/>
      <c r="AE23" s="248"/>
      <c r="AF23" s="246"/>
      <c r="AG23" s="247"/>
      <c r="AH23" s="247"/>
      <c r="AI23" s="248"/>
      <c r="AJ23" s="237">
        <v>1.1399999999999999</v>
      </c>
      <c r="AK23" s="238"/>
      <c r="AL23" s="238"/>
      <c r="AM23" s="239"/>
      <c r="AN23" s="240">
        <v>220</v>
      </c>
      <c r="AO23" s="241"/>
      <c r="AP23" s="242"/>
      <c r="AQ23" s="240" t="s">
        <v>208</v>
      </c>
      <c r="AR23" s="241"/>
      <c r="AS23" s="241"/>
      <c r="AT23" s="241"/>
      <c r="AU23" s="241"/>
      <c r="AV23" s="241"/>
      <c r="AW23" s="242"/>
      <c r="AX23" s="240" t="s">
        <v>209</v>
      </c>
      <c r="AY23" s="241"/>
      <c r="AZ23" s="241"/>
      <c r="BA23" s="241"/>
      <c r="BB23" s="241"/>
      <c r="BC23" s="241"/>
      <c r="BD23" s="242"/>
      <c r="BE23" s="246"/>
      <c r="BF23" s="247"/>
      <c r="BG23" s="247"/>
      <c r="BH23" s="247"/>
      <c r="BI23" s="248"/>
    </row>
    <row r="24" spans="1:61" ht="30.75" customHeight="1">
      <c r="A24" s="146" t="s">
        <v>291</v>
      </c>
      <c r="B24" s="135"/>
      <c r="C24" s="135"/>
      <c r="D24" s="135"/>
      <c r="E24" s="135"/>
      <c r="F24" s="135"/>
      <c r="G24" s="740"/>
      <c r="H24" s="741"/>
      <c r="I24" s="741"/>
      <c r="J24" s="741"/>
      <c r="K24" s="741"/>
      <c r="L24" s="742"/>
      <c r="M24" s="716" t="s">
        <v>304</v>
      </c>
      <c r="N24" s="221"/>
      <c r="O24" s="221"/>
      <c r="P24" s="221"/>
      <c r="Q24" s="221"/>
      <c r="R24" s="221"/>
      <c r="S24" s="221"/>
      <c r="T24" s="221"/>
      <c r="U24" s="221"/>
      <c r="V24" s="221"/>
      <c r="W24" s="221"/>
      <c r="X24" s="221"/>
      <c r="Y24" s="221"/>
      <c r="Z24" s="221"/>
      <c r="AA24" s="221"/>
      <c r="AB24" s="221"/>
      <c r="AC24" s="221"/>
      <c r="AD24" s="221"/>
      <c r="AE24" s="221"/>
      <c r="AF24" s="221"/>
      <c r="AG24" s="221"/>
      <c r="AH24" s="221"/>
      <c r="AI24" s="221"/>
      <c r="AJ24" s="221"/>
      <c r="AK24" s="221"/>
      <c r="AL24" s="221"/>
      <c r="AM24" s="221"/>
      <c r="AN24" s="221"/>
      <c r="AO24" s="221"/>
      <c r="AP24" s="221"/>
      <c r="AQ24" s="221"/>
      <c r="AR24" s="221"/>
      <c r="AS24" s="221"/>
      <c r="AT24" s="221"/>
      <c r="AU24" s="221"/>
      <c r="AV24" s="221"/>
      <c r="AW24" s="221"/>
      <c r="AX24" s="221"/>
      <c r="AY24" s="221"/>
      <c r="AZ24" s="221"/>
      <c r="BA24" s="221"/>
      <c r="BB24" s="221"/>
      <c r="BC24" s="221"/>
      <c r="BD24" s="221"/>
      <c r="BE24" s="221"/>
      <c r="BF24" s="221"/>
      <c r="BG24" s="221"/>
      <c r="BH24" s="221"/>
      <c r="BI24" s="222"/>
    </row>
    <row r="25" spans="1:61" ht="15" customHeight="1">
      <c r="A25" s="137" t="s">
        <v>291</v>
      </c>
      <c r="B25" s="137"/>
      <c r="C25" s="137"/>
      <c r="D25" s="137"/>
      <c r="E25" s="137"/>
      <c r="F25" s="137"/>
      <c r="G25" s="761" t="s">
        <v>291</v>
      </c>
      <c r="H25" s="761"/>
      <c r="I25" s="761"/>
      <c r="J25" s="761"/>
      <c r="K25" s="761"/>
      <c r="L25" s="761"/>
      <c r="M25" s="762">
        <v>380</v>
      </c>
      <c r="N25" s="762"/>
      <c r="O25" s="762"/>
      <c r="P25" s="754" t="s">
        <v>284</v>
      </c>
      <c r="Q25" s="755"/>
      <c r="R25" s="755"/>
      <c r="S25" s="755"/>
      <c r="T25" s="755"/>
      <c r="U25" s="755"/>
      <c r="V25" s="755"/>
      <c r="W25" s="755"/>
      <c r="X25" s="755"/>
      <c r="Y25" s="755"/>
      <c r="Z25" s="755"/>
      <c r="AA25" s="755"/>
      <c r="AB25" s="755"/>
      <c r="AC25" s="755"/>
      <c r="AD25" s="755"/>
      <c r="AE25" s="756"/>
      <c r="AF25" s="763" t="s">
        <v>93</v>
      </c>
      <c r="AG25" s="764"/>
      <c r="AH25" s="764"/>
      <c r="AI25" s="765"/>
      <c r="AJ25" s="766">
        <v>1.08</v>
      </c>
      <c r="AK25" s="767"/>
      <c r="AL25" s="767"/>
      <c r="AM25" s="768"/>
      <c r="AN25" s="763">
        <v>220</v>
      </c>
      <c r="AO25" s="764"/>
      <c r="AP25" s="765"/>
      <c r="AQ25" s="763" t="s">
        <v>158</v>
      </c>
      <c r="AR25" s="764"/>
      <c r="AS25" s="764"/>
      <c r="AT25" s="764"/>
      <c r="AU25" s="764"/>
      <c r="AV25" s="764"/>
      <c r="AW25" s="765"/>
      <c r="AX25" s="754" t="s">
        <v>229</v>
      </c>
      <c r="AY25" s="755"/>
      <c r="AZ25" s="755"/>
      <c r="BA25" s="755"/>
      <c r="BB25" s="755"/>
      <c r="BC25" s="755"/>
      <c r="BD25" s="756"/>
      <c r="BE25" s="763"/>
      <c r="BF25" s="764"/>
      <c r="BG25" s="764"/>
      <c r="BH25" s="764"/>
      <c r="BI25" s="765"/>
    </row>
    <row r="26" spans="1:61" ht="21.75" customHeight="1">
      <c r="A26" s="145" t="s">
        <v>291</v>
      </c>
      <c r="B26" s="137"/>
      <c r="C26" s="137"/>
      <c r="D26" s="137"/>
      <c r="E26" s="137"/>
      <c r="F26" s="137"/>
      <c r="G26" s="761"/>
      <c r="H26" s="761"/>
      <c r="I26" s="761"/>
      <c r="J26" s="761"/>
      <c r="K26" s="761"/>
      <c r="L26" s="761"/>
      <c r="M26" s="781" t="s">
        <v>307</v>
      </c>
      <c r="N26" s="770"/>
      <c r="O26" s="770"/>
      <c r="P26" s="770"/>
      <c r="Q26" s="770"/>
      <c r="R26" s="770"/>
      <c r="S26" s="770"/>
      <c r="T26" s="770"/>
      <c r="U26" s="770"/>
      <c r="V26" s="770"/>
      <c r="W26" s="770"/>
      <c r="X26" s="770"/>
      <c r="Y26" s="770"/>
      <c r="Z26" s="770"/>
      <c r="AA26" s="770"/>
      <c r="AB26" s="770"/>
      <c r="AC26" s="770"/>
      <c r="AD26" s="770"/>
      <c r="AE26" s="770"/>
      <c r="AF26" s="770"/>
      <c r="AG26" s="770"/>
      <c r="AH26" s="770"/>
      <c r="AI26" s="770"/>
      <c r="AJ26" s="770"/>
      <c r="AK26" s="770"/>
      <c r="AL26" s="770"/>
      <c r="AM26" s="770"/>
      <c r="AN26" s="770"/>
      <c r="AO26" s="770"/>
      <c r="AP26" s="770"/>
      <c r="AQ26" s="770"/>
      <c r="AR26" s="770"/>
      <c r="AS26" s="770"/>
      <c r="AT26" s="770"/>
      <c r="AU26" s="770"/>
      <c r="AV26" s="770"/>
      <c r="AW26" s="770"/>
      <c r="AX26" s="770"/>
      <c r="AY26" s="770"/>
      <c r="AZ26" s="770"/>
      <c r="BA26" s="770"/>
      <c r="BB26" s="770"/>
      <c r="BC26" s="770"/>
      <c r="BD26" s="770"/>
      <c r="BE26" s="770"/>
      <c r="BF26" s="770"/>
      <c r="BG26" s="770"/>
      <c r="BH26" s="770"/>
      <c r="BI26" s="771"/>
    </row>
    <row r="27" spans="1:61" ht="15" customHeight="1">
      <c r="A27" s="135" t="s">
        <v>291</v>
      </c>
      <c r="B27" s="138"/>
      <c r="C27" s="138"/>
      <c r="D27" s="138"/>
      <c r="E27" s="138"/>
      <c r="F27" s="138"/>
      <c r="G27" s="712" t="s">
        <v>291</v>
      </c>
      <c r="H27" s="712"/>
      <c r="I27" s="712"/>
      <c r="J27" s="712"/>
      <c r="K27" s="712"/>
      <c r="L27" s="712"/>
      <c r="M27" s="243">
        <v>380</v>
      </c>
      <c r="N27" s="244"/>
      <c r="O27" s="245"/>
      <c r="P27" s="240" t="s">
        <v>279</v>
      </c>
      <c r="Q27" s="241"/>
      <c r="R27" s="241"/>
      <c r="S27" s="241"/>
      <c r="T27" s="241"/>
      <c r="U27" s="241"/>
      <c r="V27" s="241"/>
      <c r="W27" s="241"/>
      <c r="X27" s="241"/>
      <c r="Y27" s="241"/>
      <c r="Z27" s="241"/>
      <c r="AA27" s="241"/>
      <c r="AB27" s="241"/>
      <c r="AC27" s="241"/>
      <c r="AD27" s="241"/>
      <c r="AE27" s="242"/>
      <c r="AF27" s="243" t="s">
        <v>93</v>
      </c>
      <c r="AG27" s="794"/>
      <c r="AH27" s="794"/>
      <c r="AI27" s="795"/>
      <c r="AJ27" s="237">
        <v>1.1399999999999999</v>
      </c>
      <c r="AK27" s="238"/>
      <c r="AL27" s="238"/>
      <c r="AM27" s="239"/>
      <c r="AN27" s="246">
        <v>380</v>
      </c>
      <c r="AO27" s="247"/>
      <c r="AP27" s="248"/>
      <c r="AQ27" s="246" t="s">
        <v>286</v>
      </c>
      <c r="AR27" s="247"/>
      <c r="AS27" s="247"/>
      <c r="AT27" s="247"/>
      <c r="AU27" s="247"/>
      <c r="AV27" s="247"/>
      <c r="AW27" s="248"/>
      <c r="AX27" s="246" t="s">
        <v>287</v>
      </c>
      <c r="AY27" s="247"/>
      <c r="AZ27" s="247"/>
      <c r="BA27" s="247"/>
      <c r="BB27" s="247"/>
      <c r="BC27" s="247"/>
      <c r="BD27" s="248"/>
      <c r="BE27" s="246"/>
      <c r="BF27" s="247"/>
      <c r="BG27" s="247"/>
      <c r="BH27" s="247"/>
      <c r="BI27" s="248"/>
    </row>
    <row r="28" spans="1:61">
      <c r="A28" s="146" t="s">
        <v>291</v>
      </c>
      <c r="B28" s="138"/>
      <c r="C28" s="138"/>
      <c r="D28" s="138"/>
      <c r="E28" s="138"/>
      <c r="F28" s="138"/>
      <c r="G28" s="712"/>
      <c r="H28" s="712"/>
      <c r="I28" s="712"/>
      <c r="J28" s="712"/>
      <c r="K28" s="712"/>
      <c r="L28" s="712"/>
      <c r="M28" s="246"/>
      <c r="N28" s="247"/>
      <c r="O28" s="248"/>
      <c r="P28" s="744" t="s">
        <v>280</v>
      </c>
      <c r="Q28" s="745"/>
      <c r="R28" s="745"/>
      <c r="S28" s="745"/>
      <c r="T28" s="745"/>
      <c r="U28" s="745"/>
      <c r="V28" s="745"/>
      <c r="W28" s="745"/>
      <c r="X28" s="745"/>
      <c r="Y28" s="745"/>
      <c r="Z28" s="745"/>
      <c r="AA28" s="745"/>
      <c r="AB28" s="745"/>
      <c r="AC28" s="745"/>
      <c r="AD28" s="745"/>
      <c r="AE28" s="746"/>
      <c r="AF28" s="796"/>
      <c r="AG28" s="797"/>
      <c r="AH28" s="797"/>
      <c r="AI28" s="798"/>
      <c r="AJ28" s="237">
        <v>1.1299999999999999</v>
      </c>
      <c r="AK28" s="238"/>
      <c r="AL28" s="238"/>
      <c r="AM28" s="239"/>
      <c r="AN28" s="240">
        <v>220</v>
      </c>
      <c r="AO28" s="241"/>
      <c r="AP28" s="242"/>
      <c r="AQ28" s="240" t="s">
        <v>158</v>
      </c>
      <c r="AR28" s="241"/>
      <c r="AS28" s="241"/>
      <c r="AT28" s="241"/>
      <c r="AU28" s="241"/>
      <c r="AV28" s="241"/>
      <c r="AW28" s="242"/>
      <c r="AX28" s="240" t="s">
        <v>146</v>
      </c>
      <c r="AY28" s="241"/>
      <c r="AZ28" s="241"/>
      <c r="BA28" s="241"/>
      <c r="BB28" s="241"/>
      <c r="BC28" s="241"/>
      <c r="BD28" s="242"/>
      <c r="BE28" s="124"/>
      <c r="BF28" s="125"/>
      <c r="BG28" s="125"/>
      <c r="BH28" s="125"/>
      <c r="BI28" s="126"/>
    </row>
    <row r="29" spans="1:61">
      <c r="A29" s="146" t="s">
        <v>291</v>
      </c>
      <c r="B29" s="138"/>
      <c r="C29" s="138"/>
      <c r="D29" s="138"/>
      <c r="E29" s="138"/>
      <c r="F29" s="138"/>
      <c r="G29" s="712"/>
      <c r="H29" s="712"/>
      <c r="I29" s="712"/>
      <c r="J29" s="712"/>
      <c r="K29" s="712"/>
      <c r="L29" s="712"/>
      <c r="M29" s="243">
        <v>380</v>
      </c>
      <c r="N29" s="244"/>
      <c r="O29" s="245"/>
      <c r="P29" s="748" t="s">
        <v>288</v>
      </c>
      <c r="Q29" s="749"/>
      <c r="R29" s="749"/>
      <c r="S29" s="749"/>
      <c r="T29" s="749"/>
      <c r="U29" s="749"/>
      <c r="V29" s="749"/>
      <c r="W29" s="749"/>
      <c r="X29" s="749"/>
      <c r="Y29" s="749"/>
      <c r="Z29" s="749"/>
      <c r="AA29" s="749"/>
      <c r="AB29" s="749"/>
      <c r="AC29" s="749"/>
      <c r="AD29" s="749"/>
      <c r="AE29" s="750"/>
      <c r="AF29" s="240" t="s">
        <v>93</v>
      </c>
      <c r="AG29" s="751"/>
      <c r="AH29" s="751"/>
      <c r="AI29" s="752"/>
      <c r="AJ29" s="758">
        <v>1.0900000000000001</v>
      </c>
      <c r="AK29" s="759"/>
      <c r="AL29" s="759"/>
      <c r="AM29" s="760"/>
      <c r="AN29" s="246">
        <v>380</v>
      </c>
      <c r="AO29" s="247"/>
      <c r="AP29" s="248"/>
      <c r="AQ29" s="246" t="s">
        <v>286</v>
      </c>
      <c r="AR29" s="247"/>
      <c r="AS29" s="247"/>
      <c r="AT29" s="247"/>
      <c r="AU29" s="247"/>
      <c r="AV29" s="247"/>
      <c r="AW29" s="248"/>
      <c r="AX29" s="246" t="s">
        <v>287</v>
      </c>
      <c r="AY29" s="247"/>
      <c r="AZ29" s="247"/>
      <c r="BA29" s="247"/>
      <c r="BB29" s="247"/>
      <c r="BC29" s="247"/>
      <c r="BD29" s="248"/>
      <c r="BE29" s="246"/>
      <c r="BF29" s="247"/>
      <c r="BG29" s="247"/>
      <c r="BH29" s="247"/>
      <c r="BI29" s="248"/>
    </row>
    <row r="30" spans="1:61" ht="62.25" customHeight="1">
      <c r="A30" s="146" t="s">
        <v>291</v>
      </c>
      <c r="B30" s="138"/>
      <c r="C30" s="138"/>
      <c r="D30" s="138"/>
      <c r="E30" s="138"/>
      <c r="F30" s="138"/>
      <c r="G30" s="712"/>
      <c r="H30" s="712"/>
      <c r="I30" s="712"/>
      <c r="J30" s="712"/>
      <c r="K30" s="712"/>
      <c r="L30" s="712"/>
      <c r="M30" s="716" t="s">
        <v>306</v>
      </c>
      <c r="N30" s="221"/>
      <c r="O30" s="221"/>
      <c r="P30" s="221"/>
      <c r="Q30" s="221"/>
      <c r="R30" s="221"/>
      <c r="S30" s="221"/>
      <c r="T30" s="221"/>
      <c r="U30" s="221"/>
      <c r="V30" s="221"/>
      <c r="W30" s="221"/>
      <c r="X30" s="221"/>
      <c r="Y30" s="221"/>
      <c r="Z30" s="221"/>
      <c r="AA30" s="221"/>
      <c r="AB30" s="221"/>
      <c r="AC30" s="221"/>
      <c r="AD30" s="221"/>
      <c r="AE30" s="221"/>
      <c r="AF30" s="221"/>
      <c r="AG30" s="221"/>
      <c r="AH30" s="221"/>
      <c r="AI30" s="221"/>
      <c r="AJ30" s="221"/>
      <c r="AK30" s="221"/>
      <c r="AL30" s="221"/>
      <c r="AM30" s="221"/>
      <c r="AN30" s="221"/>
      <c r="AO30" s="221"/>
      <c r="AP30" s="221"/>
      <c r="AQ30" s="221"/>
      <c r="AR30" s="221"/>
      <c r="AS30" s="221"/>
      <c r="AT30" s="221"/>
      <c r="AU30" s="221"/>
      <c r="AV30" s="221"/>
      <c r="AW30" s="221"/>
      <c r="AX30" s="221"/>
      <c r="AY30" s="221"/>
      <c r="AZ30" s="221"/>
      <c r="BA30" s="221"/>
      <c r="BB30" s="221"/>
      <c r="BC30" s="221"/>
      <c r="BD30" s="221"/>
      <c r="BE30" s="221"/>
      <c r="BF30" s="221"/>
      <c r="BG30" s="221"/>
      <c r="BH30" s="221"/>
      <c r="BI30" s="222"/>
    </row>
    <row r="31" spans="1:61" ht="15" customHeight="1">
      <c r="A31" s="138" t="s">
        <v>295</v>
      </c>
      <c r="B31" s="138"/>
      <c r="C31" s="138"/>
      <c r="D31" s="138"/>
      <c r="E31" s="138"/>
      <c r="F31" s="138"/>
      <c r="G31" s="712" t="s">
        <v>295</v>
      </c>
      <c r="H31" s="712"/>
      <c r="I31" s="712"/>
      <c r="J31" s="712"/>
      <c r="K31" s="712"/>
      <c r="L31" s="712"/>
      <c r="M31" s="243">
        <v>380</v>
      </c>
      <c r="N31" s="244"/>
      <c r="O31" s="245"/>
      <c r="P31" s="243" t="s">
        <v>284</v>
      </c>
      <c r="Q31" s="244"/>
      <c r="R31" s="244"/>
      <c r="S31" s="244"/>
      <c r="T31" s="244"/>
      <c r="U31" s="244"/>
      <c r="V31" s="244"/>
      <c r="W31" s="244"/>
      <c r="X31" s="244"/>
      <c r="Y31" s="244"/>
      <c r="Z31" s="244"/>
      <c r="AA31" s="244"/>
      <c r="AB31" s="244"/>
      <c r="AC31" s="244"/>
      <c r="AD31" s="244"/>
      <c r="AE31" s="245"/>
      <c r="AF31" s="243" t="s">
        <v>93</v>
      </c>
      <c r="AG31" s="244"/>
      <c r="AH31" s="244"/>
      <c r="AI31" s="245"/>
      <c r="AJ31" s="709">
        <v>1.1599999999999999</v>
      </c>
      <c r="AK31" s="700"/>
      <c r="AL31" s="700"/>
      <c r="AM31" s="701"/>
      <c r="AN31" s="243">
        <v>380</v>
      </c>
      <c r="AO31" s="244"/>
      <c r="AP31" s="245"/>
      <c r="AQ31" s="243" t="s">
        <v>144</v>
      </c>
      <c r="AR31" s="244"/>
      <c r="AS31" s="244"/>
      <c r="AT31" s="244"/>
      <c r="AU31" s="244"/>
      <c r="AV31" s="244"/>
      <c r="AW31" s="245"/>
      <c r="AX31" s="243" t="s">
        <v>261</v>
      </c>
      <c r="AY31" s="244"/>
      <c r="AZ31" s="244"/>
      <c r="BA31" s="244"/>
      <c r="BB31" s="244"/>
      <c r="BC31" s="244"/>
      <c r="BD31" s="245"/>
      <c r="BE31" s="243"/>
      <c r="BF31" s="244"/>
      <c r="BG31" s="244"/>
      <c r="BH31" s="244"/>
      <c r="BI31" s="245"/>
    </row>
    <row r="32" spans="1:61">
      <c r="A32" s="147" t="s">
        <v>295</v>
      </c>
      <c r="B32" s="138"/>
      <c r="C32" s="138"/>
      <c r="D32" s="138"/>
      <c r="E32" s="138"/>
      <c r="F32" s="138"/>
      <c r="G32" s="712"/>
      <c r="H32" s="712"/>
      <c r="I32" s="712"/>
      <c r="J32" s="712"/>
      <c r="K32" s="712"/>
      <c r="L32" s="712"/>
      <c r="M32" s="713"/>
      <c r="N32" s="714"/>
      <c r="O32" s="715"/>
      <c r="P32" s="713"/>
      <c r="Q32" s="714"/>
      <c r="R32" s="714"/>
      <c r="S32" s="714"/>
      <c r="T32" s="714"/>
      <c r="U32" s="714"/>
      <c r="V32" s="714"/>
      <c r="W32" s="714"/>
      <c r="X32" s="714"/>
      <c r="Y32" s="714"/>
      <c r="Z32" s="714"/>
      <c r="AA32" s="714"/>
      <c r="AB32" s="714"/>
      <c r="AC32" s="714"/>
      <c r="AD32" s="714"/>
      <c r="AE32" s="715"/>
      <c r="AF32" s="713"/>
      <c r="AG32" s="714"/>
      <c r="AH32" s="714"/>
      <c r="AI32" s="715"/>
      <c r="AJ32" s="709">
        <v>1.02</v>
      </c>
      <c r="AK32" s="700"/>
      <c r="AL32" s="700"/>
      <c r="AM32" s="701"/>
      <c r="AN32" s="243">
        <v>380</v>
      </c>
      <c r="AO32" s="244"/>
      <c r="AP32" s="245"/>
      <c r="AQ32" s="243" t="s">
        <v>165</v>
      </c>
      <c r="AR32" s="244"/>
      <c r="AS32" s="244"/>
      <c r="AT32" s="244"/>
      <c r="AU32" s="244"/>
      <c r="AV32" s="244"/>
      <c r="AW32" s="245"/>
      <c r="AX32" s="240" t="s">
        <v>164</v>
      </c>
      <c r="AY32" s="241"/>
      <c r="AZ32" s="241"/>
      <c r="BA32" s="241"/>
      <c r="BB32" s="241"/>
      <c r="BC32" s="241"/>
      <c r="BD32" s="242"/>
      <c r="BE32" s="243"/>
      <c r="BF32" s="244"/>
      <c r="BG32" s="244"/>
      <c r="BH32" s="244"/>
      <c r="BI32" s="245"/>
    </row>
    <row r="33" spans="1:61">
      <c r="A33" s="147" t="s">
        <v>295</v>
      </c>
      <c r="B33" s="138"/>
      <c r="C33" s="138"/>
      <c r="D33" s="138"/>
      <c r="E33" s="138"/>
      <c r="F33" s="138"/>
      <c r="G33" s="712"/>
      <c r="H33" s="712"/>
      <c r="I33" s="712"/>
      <c r="J33" s="712"/>
      <c r="K33" s="712"/>
      <c r="L33" s="712"/>
      <c r="M33" s="246"/>
      <c r="N33" s="247"/>
      <c r="O33" s="248"/>
      <c r="P33" s="246"/>
      <c r="Q33" s="247"/>
      <c r="R33" s="247"/>
      <c r="S33" s="247"/>
      <c r="T33" s="247"/>
      <c r="U33" s="247"/>
      <c r="V33" s="247"/>
      <c r="W33" s="247"/>
      <c r="X33" s="247"/>
      <c r="Y33" s="247"/>
      <c r="Z33" s="247"/>
      <c r="AA33" s="247"/>
      <c r="AB33" s="247"/>
      <c r="AC33" s="247"/>
      <c r="AD33" s="247"/>
      <c r="AE33" s="248"/>
      <c r="AF33" s="246"/>
      <c r="AG33" s="247"/>
      <c r="AH33" s="247"/>
      <c r="AI33" s="248"/>
      <c r="AJ33" s="709">
        <v>1.01</v>
      </c>
      <c r="AK33" s="700"/>
      <c r="AL33" s="700"/>
      <c r="AM33" s="701"/>
      <c r="AN33" s="243">
        <v>380</v>
      </c>
      <c r="AO33" s="244"/>
      <c r="AP33" s="245"/>
      <c r="AQ33" s="243" t="s">
        <v>211</v>
      </c>
      <c r="AR33" s="244"/>
      <c r="AS33" s="244"/>
      <c r="AT33" s="244"/>
      <c r="AU33" s="244"/>
      <c r="AV33" s="244"/>
      <c r="AW33" s="245"/>
      <c r="AX33" s="240" t="s">
        <v>262</v>
      </c>
      <c r="AY33" s="241"/>
      <c r="AZ33" s="241"/>
      <c r="BA33" s="241"/>
      <c r="BB33" s="241"/>
      <c r="BC33" s="241"/>
      <c r="BD33" s="242"/>
      <c r="BE33" s="243"/>
      <c r="BF33" s="244"/>
      <c r="BG33" s="244"/>
      <c r="BH33" s="244"/>
      <c r="BI33" s="245"/>
    </row>
    <row r="34" spans="1:61" ht="76.5" customHeight="1">
      <c r="A34" s="147" t="s">
        <v>295</v>
      </c>
      <c r="B34" s="138"/>
      <c r="C34" s="138"/>
      <c r="D34" s="138"/>
      <c r="E34" s="138"/>
      <c r="F34" s="138"/>
      <c r="G34" s="712"/>
      <c r="H34" s="712"/>
      <c r="I34" s="712"/>
      <c r="J34" s="712"/>
      <c r="K34" s="712"/>
      <c r="L34" s="712"/>
      <c r="M34" s="716" t="s">
        <v>308</v>
      </c>
      <c r="N34" s="221"/>
      <c r="O34" s="221"/>
      <c r="P34" s="221"/>
      <c r="Q34" s="221"/>
      <c r="R34" s="221"/>
      <c r="S34" s="221"/>
      <c r="T34" s="221"/>
      <c r="U34" s="221"/>
      <c r="V34" s="221"/>
      <c r="W34" s="221"/>
      <c r="X34" s="221"/>
      <c r="Y34" s="221"/>
      <c r="Z34" s="221"/>
      <c r="AA34" s="221"/>
      <c r="AB34" s="221"/>
      <c r="AC34" s="221"/>
      <c r="AD34" s="221"/>
      <c r="AE34" s="221"/>
      <c r="AF34" s="221"/>
      <c r="AG34" s="221"/>
      <c r="AH34" s="221"/>
      <c r="AI34" s="221"/>
      <c r="AJ34" s="221"/>
      <c r="AK34" s="221"/>
      <c r="AL34" s="221"/>
      <c r="AM34" s="221"/>
      <c r="AN34" s="221"/>
      <c r="AO34" s="221"/>
      <c r="AP34" s="221"/>
      <c r="AQ34" s="221"/>
      <c r="AR34" s="221"/>
      <c r="AS34" s="221"/>
      <c r="AT34" s="221"/>
      <c r="AU34" s="221"/>
      <c r="AV34" s="221"/>
      <c r="AW34" s="221"/>
      <c r="AX34" s="221"/>
      <c r="AY34" s="221"/>
      <c r="AZ34" s="221"/>
      <c r="BA34" s="221"/>
      <c r="BB34" s="221"/>
      <c r="BC34" s="221"/>
      <c r="BD34" s="221"/>
      <c r="BE34" s="221"/>
      <c r="BF34" s="221"/>
      <c r="BG34" s="221"/>
      <c r="BH34" s="221"/>
      <c r="BI34" s="222"/>
    </row>
    <row r="35" spans="1:61" ht="15" customHeight="1">
      <c r="A35" s="152" t="s">
        <v>290</v>
      </c>
      <c r="B35" s="77"/>
      <c r="C35" s="77"/>
      <c r="D35" s="77"/>
      <c r="E35" s="77"/>
      <c r="F35" s="127"/>
      <c r="G35" s="747" t="s">
        <v>290</v>
      </c>
      <c r="H35" s="747"/>
      <c r="I35" s="747"/>
      <c r="J35" s="747"/>
      <c r="K35" s="747"/>
      <c r="L35" s="747"/>
      <c r="M35" s="243">
        <v>380</v>
      </c>
      <c r="N35" s="244"/>
      <c r="O35" s="245"/>
      <c r="P35" s="243" t="s">
        <v>84</v>
      </c>
      <c r="Q35" s="244"/>
      <c r="R35" s="244"/>
      <c r="S35" s="244"/>
      <c r="T35" s="244"/>
      <c r="U35" s="244"/>
      <c r="V35" s="244"/>
      <c r="W35" s="245"/>
      <c r="X35" s="243" t="s">
        <v>85</v>
      </c>
      <c r="Y35" s="244"/>
      <c r="Z35" s="244"/>
      <c r="AA35" s="244"/>
      <c r="AB35" s="244"/>
      <c r="AC35" s="244"/>
      <c r="AD35" s="244"/>
      <c r="AE35" s="245"/>
      <c r="AF35" s="243"/>
      <c r="AG35" s="244"/>
      <c r="AH35" s="244"/>
      <c r="AI35" s="245"/>
      <c r="AJ35" s="709">
        <v>1.28</v>
      </c>
      <c r="AK35" s="700"/>
      <c r="AL35" s="700"/>
      <c r="AM35" s="701"/>
      <c r="AN35" s="243">
        <v>220</v>
      </c>
      <c r="AO35" s="244"/>
      <c r="AP35" s="245"/>
      <c r="AQ35" s="243" t="s">
        <v>84</v>
      </c>
      <c r="AR35" s="244"/>
      <c r="AS35" s="244"/>
      <c r="AT35" s="244"/>
      <c r="AU35" s="244"/>
      <c r="AV35" s="244"/>
      <c r="AW35" s="245"/>
      <c r="AX35" s="240" t="s">
        <v>85</v>
      </c>
      <c r="AY35" s="241"/>
      <c r="AZ35" s="241"/>
      <c r="BA35" s="241"/>
      <c r="BB35" s="241"/>
      <c r="BC35" s="241"/>
      <c r="BD35" s="242"/>
      <c r="BE35" s="243"/>
      <c r="BF35" s="244"/>
      <c r="BG35" s="244"/>
      <c r="BH35" s="244"/>
      <c r="BI35" s="245"/>
    </row>
    <row r="36" spans="1:61" ht="26.25" customHeight="1">
      <c r="A36" s="153" t="s">
        <v>290</v>
      </c>
      <c r="B36" s="77"/>
      <c r="C36" s="77"/>
      <c r="D36" s="77"/>
      <c r="E36" s="77"/>
      <c r="F36" s="127"/>
      <c r="G36" s="747"/>
      <c r="H36" s="747"/>
      <c r="I36" s="747"/>
      <c r="J36" s="747"/>
      <c r="K36" s="747"/>
      <c r="L36" s="747"/>
      <c r="M36" s="717" t="s">
        <v>309</v>
      </c>
      <c r="N36" s="718"/>
      <c r="O36" s="718"/>
      <c r="P36" s="718"/>
      <c r="Q36" s="718"/>
      <c r="R36" s="718"/>
      <c r="S36" s="718"/>
      <c r="T36" s="718"/>
      <c r="U36" s="718"/>
      <c r="V36" s="718"/>
      <c r="W36" s="718"/>
      <c r="X36" s="718"/>
      <c r="Y36" s="718"/>
      <c r="Z36" s="718"/>
      <c r="AA36" s="718"/>
      <c r="AB36" s="718"/>
      <c r="AC36" s="718"/>
      <c r="AD36" s="718"/>
      <c r="AE36" s="718"/>
      <c r="AF36" s="718"/>
      <c r="AG36" s="718"/>
      <c r="AH36" s="718"/>
      <c r="AI36" s="718"/>
      <c r="AJ36" s="718"/>
      <c r="AK36" s="718"/>
      <c r="AL36" s="718"/>
      <c r="AM36" s="718"/>
      <c r="AN36" s="718"/>
      <c r="AO36" s="718"/>
      <c r="AP36" s="718"/>
      <c r="AQ36" s="718"/>
      <c r="AR36" s="718"/>
      <c r="AS36" s="718"/>
      <c r="AT36" s="718"/>
      <c r="AU36" s="718"/>
      <c r="AV36" s="718"/>
      <c r="AW36" s="718"/>
      <c r="AX36" s="718"/>
      <c r="AY36" s="718"/>
      <c r="AZ36" s="718"/>
      <c r="BA36" s="718"/>
      <c r="BB36" s="718"/>
      <c r="BC36" s="718"/>
      <c r="BD36" s="718"/>
      <c r="BE36" s="718"/>
      <c r="BF36" s="718"/>
      <c r="BG36" s="718"/>
      <c r="BH36" s="718"/>
      <c r="BI36" s="719"/>
    </row>
    <row r="37" spans="1:61" ht="15" customHeight="1">
      <c r="A37" s="152" t="s">
        <v>290</v>
      </c>
      <c r="B37" s="77"/>
      <c r="C37" s="77"/>
      <c r="D37" s="77"/>
      <c r="E37" s="77"/>
      <c r="F37" s="127"/>
      <c r="G37" s="747" t="s">
        <v>290</v>
      </c>
      <c r="H37" s="747"/>
      <c r="I37" s="747"/>
      <c r="J37" s="747"/>
      <c r="K37" s="747"/>
      <c r="L37" s="747"/>
      <c r="M37" s="243">
        <v>380</v>
      </c>
      <c r="N37" s="244"/>
      <c r="O37" s="245"/>
      <c r="P37" s="243" t="s">
        <v>84</v>
      </c>
      <c r="Q37" s="244"/>
      <c r="R37" s="244"/>
      <c r="S37" s="244"/>
      <c r="T37" s="244"/>
      <c r="U37" s="244"/>
      <c r="V37" s="244"/>
      <c r="W37" s="245"/>
      <c r="X37" s="243" t="s">
        <v>85</v>
      </c>
      <c r="Y37" s="244"/>
      <c r="Z37" s="244"/>
      <c r="AA37" s="244"/>
      <c r="AB37" s="244"/>
      <c r="AC37" s="244"/>
      <c r="AD37" s="244"/>
      <c r="AE37" s="245"/>
      <c r="AF37" s="243" t="s">
        <v>93</v>
      </c>
      <c r="AG37" s="244"/>
      <c r="AH37" s="244"/>
      <c r="AI37" s="245"/>
      <c r="AJ37" s="709">
        <v>1.44</v>
      </c>
      <c r="AK37" s="700"/>
      <c r="AL37" s="700"/>
      <c r="AM37" s="701"/>
      <c r="AN37" s="243">
        <v>220</v>
      </c>
      <c r="AO37" s="244"/>
      <c r="AP37" s="245"/>
      <c r="AQ37" s="243" t="s">
        <v>161</v>
      </c>
      <c r="AR37" s="244"/>
      <c r="AS37" s="244"/>
      <c r="AT37" s="244"/>
      <c r="AU37" s="244"/>
      <c r="AV37" s="244"/>
      <c r="AW37" s="245"/>
      <c r="AX37" s="240" t="s">
        <v>162</v>
      </c>
      <c r="AY37" s="241"/>
      <c r="AZ37" s="241"/>
      <c r="BA37" s="241"/>
      <c r="BB37" s="241"/>
      <c r="BC37" s="241"/>
      <c r="BD37" s="242"/>
      <c r="BE37" s="243"/>
      <c r="BF37" s="244"/>
      <c r="BG37" s="244"/>
      <c r="BH37" s="244"/>
      <c r="BI37" s="245"/>
    </row>
    <row r="38" spans="1:61" ht="26.25" customHeight="1">
      <c r="A38" s="153" t="s">
        <v>290</v>
      </c>
      <c r="B38" s="77"/>
      <c r="C38" s="77"/>
      <c r="D38" s="77"/>
      <c r="E38" s="77"/>
      <c r="F38" s="127"/>
      <c r="G38" s="747"/>
      <c r="H38" s="747"/>
      <c r="I38" s="747"/>
      <c r="J38" s="747"/>
      <c r="K38" s="747"/>
      <c r="L38" s="747"/>
      <c r="M38" s="717" t="s">
        <v>296</v>
      </c>
      <c r="N38" s="718"/>
      <c r="O38" s="718"/>
      <c r="P38" s="718"/>
      <c r="Q38" s="718"/>
      <c r="R38" s="718"/>
      <c r="S38" s="718"/>
      <c r="T38" s="718"/>
      <c r="U38" s="718"/>
      <c r="V38" s="718"/>
      <c r="W38" s="718"/>
      <c r="X38" s="718"/>
      <c r="Y38" s="718"/>
      <c r="Z38" s="718"/>
      <c r="AA38" s="718"/>
      <c r="AB38" s="718"/>
      <c r="AC38" s="718"/>
      <c r="AD38" s="718"/>
      <c r="AE38" s="718"/>
      <c r="AF38" s="718"/>
      <c r="AG38" s="718"/>
      <c r="AH38" s="718"/>
      <c r="AI38" s="718"/>
      <c r="AJ38" s="718"/>
      <c r="AK38" s="718"/>
      <c r="AL38" s="718"/>
      <c r="AM38" s="718"/>
      <c r="AN38" s="718"/>
      <c r="AO38" s="718"/>
      <c r="AP38" s="718"/>
      <c r="AQ38" s="718"/>
      <c r="AR38" s="718"/>
      <c r="AS38" s="718"/>
      <c r="AT38" s="718"/>
      <c r="AU38" s="718"/>
      <c r="AV38" s="718"/>
      <c r="AW38" s="718"/>
      <c r="AX38" s="718"/>
      <c r="AY38" s="718"/>
      <c r="AZ38" s="718"/>
      <c r="BA38" s="718"/>
      <c r="BB38" s="718"/>
      <c r="BC38" s="718"/>
      <c r="BD38" s="718"/>
      <c r="BE38" s="718"/>
      <c r="BF38" s="718"/>
      <c r="BG38" s="718"/>
      <c r="BH38" s="718"/>
      <c r="BI38" s="719"/>
    </row>
    <row r="39" spans="1:61" ht="15" customHeight="1">
      <c r="A39" s="136" t="s">
        <v>290</v>
      </c>
      <c r="B39" s="136"/>
      <c r="C39" s="136"/>
      <c r="D39" s="136"/>
      <c r="E39" s="136"/>
      <c r="F39" s="136"/>
      <c r="G39" s="757" t="s">
        <v>290</v>
      </c>
      <c r="H39" s="757"/>
      <c r="I39" s="757"/>
      <c r="J39" s="757"/>
      <c r="K39" s="757"/>
      <c r="L39" s="757"/>
      <c r="M39" s="698">
        <v>380</v>
      </c>
      <c r="N39" s="698"/>
      <c r="O39" s="698"/>
      <c r="P39" s="698" t="s">
        <v>243</v>
      </c>
      <c r="Q39" s="698"/>
      <c r="R39" s="698"/>
      <c r="S39" s="698"/>
      <c r="T39" s="698"/>
      <c r="U39" s="698"/>
      <c r="V39" s="698"/>
      <c r="W39" s="698"/>
      <c r="X39" s="698" t="s">
        <v>241</v>
      </c>
      <c r="Y39" s="698"/>
      <c r="Z39" s="698"/>
      <c r="AA39" s="698"/>
      <c r="AB39" s="698"/>
      <c r="AC39" s="698"/>
      <c r="AD39" s="698"/>
      <c r="AE39" s="698"/>
      <c r="AF39" s="243" t="s">
        <v>223</v>
      </c>
      <c r="AG39" s="244"/>
      <c r="AH39" s="244"/>
      <c r="AI39" s="245"/>
      <c r="AJ39" s="709">
        <v>1.1299999999999999</v>
      </c>
      <c r="AK39" s="700"/>
      <c r="AL39" s="700"/>
      <c r="AM39" s="701"/>
      <c r="AN39" s="243">
        <v>220</v>
      </c>
      <c r="AO39" s="244"/>
      <c r="AP39" s="245"/>
      <c r="AQ39" s="240" t="s">
        <v>243</v>
      </c>
      <c r="AR39" s="241"/>
      <c r="AS39" s="241"/>
      <c r="AT39" s="241"/>
      <c r="AU39" s="241"/>
      <c r="AV39" s="241"/>
      <c r="AW39" s="242"/>
      <c r="AX39" s="240" t="s">
        <v>242</v>
      </c>
      <c r="AY39" s="241"/>
      <c r="AZ39" s="241"/>
      <c r="BA39" s="241"/>
      <c r="BB39" s="241"/>
      <c r="BC39" s="241"/>
      <c r="BD39" s="242"/>
      <c r="BE39" s="799" t="s">
        <v>244</v>
      </c>
      <c r="BF39" s="800"/>
      <c r="BG39" s="800"/>
      <c r="BH39" s="800"/>
      <c r="BI39" s="801"/>
    </row>
    <row r="40" spans="1:61" ht="32.25" customHeight="1">
      <c r="A40" s="144" t="s">
        <v>290</v>
      </c>
      <c r="B40" s="136"/>
      <c r="C40" s="136"/>
      <c r="D40" s="136"/>
      <c r="E40" s="136"/>
      <c r="F40" s="136"/>
      <c r="G40" s="757"/>
      <c r="H40" s="757"/>
      <c r="I40" s="757"/>
      <c r="J40" s="757"/>
      <c r="K40" s="757"/>
      <c r="L40" s="757"/>
      <c r="M40" s="716" t="s">
        <v>245</v>
      </c>
      <c r="N40" s="718"/>
      <c r="O40" s="718"/>
      <c r="P40" s="718"/>
      <c r="Q40" s="718"/>
      <c r="R40" s="718"/>
      <c r="S40" s="718"/>
      <c r="T40" s="718"/>
      <c r="U40" s="718"/>
      <c r="V40" s="718"/>
      <c r="W40" s="718"/>
      <c r="X40" s="718"/>
      <c r="Y40" s="718"/>
      <c r="Z40" s="718"/>
      <c r="AA40" s="718"/>
      <c r="AB40" s="718"/>
      <c r="AC40" s="718"/>
      <c r="AD40" s="718"/>
      <c r="AE40" s="718"/>
      <c r="AF40" s="718"/>
      <c r="AG40" s="718"/>
      <c r="AH40" s="718"/>
      <c r="AI40" s="718"/>
      <c r="AJ40" s="718"/>
      <c r="AK40" s="718"/>
      <c r="AL40" s="718"/>
      <c r="AM40" s="718"/>
      <c r="AN40" s="718"/>
      <c r="AO40" s="718"/>
      <c r="AP40" s="718"/>
      <c r="AQ40" s="718"/>
      <c r="AR40" s="718"/>
      <c r="AS40" s="718"/>
      <c r="AT40" s="718"/>
      <c r="AU40" s="718"/>
      <c r="AV40" s="718"/>
      <c r="AW40" s="718"/>
      <c r="AX40" s="718"/>
      <c r="AY40" s="718"/>
      <c r="AZ40" s="718"/>
      <c r="BA40" s="718"/>
      <c r="BB40" s="718"/>
      <c r="BC40" s="718"/>
      <c r="BD40" s="718"/>
      <c r="BE40" s="718"/>
      <c r="BF40" s="718"/>
      <c r="BG40" s="718"/>
      <c r="BH40" s="718"/>
      <c r="BI40" s="719"/>
    </row>
    <row r="41" spans="1:61" ht="15" customHeight="1">
      <c r="A41" s="135" t="s">
        <v>281</v>
      </c>
      <c r="B41" s="135"/>
      <c r="C41" s="135"/>
      <c r="D41" s="135"/>
      <c r="E41" s="135"/>
      <c r="F41" s="135"/>
      <c r="G41" s="747" t="s">
        <v>281</v>
      </c>
      <c r="H41" s="747"/>
      <c r="I41" s="747"/>
      <c r="J41" s="747"/>
      <c r="K41" s="747"/>
      <c r="L41" s="747"/>
      <c r="M41" s="243">
        <v>380</v>
      </c>
      <c r="N41" s="244"/>
      <c r="O41" s="245"/>
      <c r="P41" s="240" t="s">
        <v>282</v>
      </c>
      <c r="Q41" s="241"/>
      <c r="R41" s="241"/>
      <c r="S41" s="241"/>
      <c r="T41" s="241"/>
      <c r="U41" s="241"/>
      <c r="V41" s="241"/>
      <c r="W41" s="241"/>
      <c r="X41" s="241"/>
      <c r="Y41" s="241"/>
      <c r="Z41" s="241"/>
      <c r="AA41" s="241"/>
      <c r="AB41" s="241"/>
      <c r="AC41" s="241"/>
      <c r="AD41" s="241"/>
      <c r="AE41" s="242"/>
      <c r="AF41" s="243" t="s">
        <v>223</v>
      </c>
      <c r="AG41" s="244"/>
      <c r="AH41" s="244"/>
      <c r="AI41" s="245"/>
      <c r="AJ41" s="237">
        <v>1.28</v>
      </c>
      <c r="AK41" s="238"/>
      <c r="AL41" s="238"/>
      <c r="AM41" s="239"/>
      <c r="AN41" s="243">
        <v>220</v>
      </c>
      <c r="AO41" s="244"/>
      <c r="AP41" s="245"/>
      <c r="AQ41" s="243" t="s">
        <v>283</v>
      </c>
      <c r="AR41" s="244"/>
      <c r="AS41" s="244"/>
      <c r="AT41" s="244"/>
      <c r="AU41" s="244"/>
      <c r="AV41" s="244"/>
      <c r="AW41" s="245"/>
      <c r="AX41" s="243" t="s">
        <v>242</v>
      </c>
      <c r="AY41" s="244"/>
      <c r="AZ41" s="244"/>
      <c r="BA41" s="244"/>
      <c r="BB41" s="244"/>
      <c r="BC41" s="244"/>
      <c r="BD41" s="245"/>
      <c r="BE41" s="243"/>
      <c r="BF41" s="244"/>
      <c r="BG41" s="244"/>
      <c r="BH41" s="244"/>
      <c r="BI41" s="245"/>
    </row>
    <row r="42" spans="1:61">
      <c r="A42" s="146" t="s">
        <v>281</v>
      </c>
      <c r="B42" s="135"/>
      <c r="C42" s="135"/>
      <c r="D42" s="135"/>
      <c r="E42" s="135"/>
      <c r="F42" s="135"/>
      <c r="G42" s="747"/>
      <c r="H42" s="747"/>
      <c r="I42" s="747"/>
      <c r="J42" s="747"/>
      <c r="K42" s="747"/>
      <c r="L42" s="747"/>
      <c r="M42" s="246"/>
      <c r="N42" s="247"/>
      <c r="O42" s="248"/>
      <c r="P42" s="744" t="s">
        <v>284</v>
      </c>
      <c r="Q42" s="745"/>
      <c r="R42" s="745"/>
      <c r="S42" s="745"/>
      <c r="T42" s="745"/>
      <c r="U42" s="745"/>
      <c r="V42" s="745"/>
      <c r="W42" s="745"/>
      <c r="X42" s="745"/>
      <c r="Y42" s="745"/>
      <c r="Z42" s="745"/>
      <c r="AA42" s="745"/>
      <c r="AB42" s="745"/>
      <c r="AC42" s="745"/>
      <c r="AD42" s="745"/>
      <c r="AE42" s="746"/>
      <c r="AF42" s="243" t="s">
        <v>93</v>
      </c>
      <c r="AG42" s="244"/>
      <c r="AH42" s="244"/>
      <c r="AI42" s="245"/>
      <c r="AJ42" s="237">
        <v>1.21</v>
      </c>
      <c r="AK42" s="238"/>
      <c r="AL42" s="238"/>
      <c r="AM42" s="239"/>
      <c r="AN42" s="246"/>
      <c r="AO42" s="247"/>
      <c r="AP42" s="248"/>
      <c r="AQ42" s="246"/>
      <c r="AR42" s="247"/>
      <c r="AS42" s="247"/>
      <c r="AT42" s="247"/>
      <c r="AU42" s="247"/>
      <c r="AV42" s="247"/>
      <c r="AW42" s="248"/>
      <c r="AX42" s="246"/>
      <c r="AY42" s="247"/>
      <c r="AZ42" s="247"/>
      <c r="BA42" s="247"/>
      <c r="BB42" s="247"/>
      <c r="BC42" s="247"/>
      <c r="BD42" s="248"/>
      <c r="BE42" s="246"/>
      <c r="BF42" s="247"/>
      <c r="BG42" s="247"/>
      <c r="BH42" s="247"/>
      <c r="BI42" s="248"/>
    </row>
    <row r="43" spans="1:61" ht="18.75" customHeight="1">
      <c r="A43" s="146" t="s">
        <v>281</v>
      </c>
      <c r="B43" s="135"/>
      <c r="C43" s="135"/>
      <c r="D43" s="135"/>
      <c r="E43" s="135"/>
      <c r="F43" s="135"/>
      <c r="G43" s="747"/>
      <c r="H43" s="747"/>
      <c r="I43" s="747"/>
      <c r="J43" s="747"/>
      <c r="K43" s="747"/>
      <c r="L43" s="747"/>
      <c r="M43" s="716" t="s">
        <v>285</v>
      </c>
      <c r="N43" s="221"/>
      <c r="O43" s="221"/>
      <c r="P43" s="221"/>
      <c r="Q43" s="221"/>
      <c r="R43" s="221"/>
      <c r="S43" s="221"/>
      <c r="T43" s="221"/>
      <c r="U43" s="221"/>
      <c r="V43" s="221"/>
      <c r="W43" s="221"/>
      <c r="X43" s="221"/>
      <c r="Y43" s="221"/>
      <c r="Z43" s="221"/>
      <c r="AA43" s="221"/>
      <c r="AB43" s="221"/>
      <c r="AC43" s="221"/>
      <c r="AD43" s="221"/>
      <c r="AE43" s="221"/>
      <c r="AF43" s="221"/>
      <c r="AG43" s="221"/>
      <c r="AH43" s="221"/>
      <c r="AI43" s="221"/>
      <c r="AJ43" s="221"/>
      <c r="AK43" s="221"/>
      <c r="AL43" s="221"/>
      <c r="AM43" s="221"/>
      <c r="AN43" s="221"/>
      <c r="AO43" s="221"/>
      <c r="AP43" s="221"/>
      <c r="AQ43" s="221"/>
      <c r="AR43" s="221"/>
      <c r="AS43" s="221"/>
      <c r="AT43" s="221"/>
      <c r="AU43" s="221"/>
      <c r="AV43" s="221"/>
      <c r="AW43" s="221"/>
      <c r="AX43" s="221"/>
      <c r="AY43" s="221"/>
      <c r="AZ43" s="221"/>
      <c r="BA43" s="221"/>
      <c r="BB43" s="221"/>
      <c r="BC43" s="221"/>
      <c r="BD43" s="221"/>
      <c r="BE43" s="221"/>
      <c r="BF43" s="221"/>
      <c r="BG43" s="221"/>
      <c r="BH43" s="221"/>
      <c r="BI43" s="222"/>
    </row>
    <row r="44" spans="1:61" ht="15" customHeight="1">
      <c r="A44" s="137" t="s">
        <v>268</v>
      </c>
      <c r="B44" s="137"/>
      <c r="C44" s="137"/>
      <c r="D44" s="137"/>
      <c r="E44" s="137"/>
      <c r="F44" s="137"/>
      <c r="G44" s="761" t="s">
        <v>268</v>
      </c>
      <c r="H44" s="761"/>
      <c r="I44" s="761"/>
      <c r="J44" s="761"/>
      <c r="K44" s="761"/>
      <c r="L44" s="761"/>
      <c r="M44" s="762">
        <v>380</v>
      </c>
      <c r="N44" s="762"/>
      <c r="O44" s="762"/>
      <c r="P44" s="762" t="s">
        <v>165</v>
      </c>
      <c r="Q44" s="762"/>
      <c r="R44" s="762"/>
      <c r="S44" s="762"/>
      <c r="T44" s="762"/>
      <c r="U44" s="762"/>
      <c r="V44" s="762"/>
      <c r="W44" s="762"/>
      <c r="X44" s="762" t="s">
        <v>164</v>
      </c>
      <c r="Y44" s="762"/>
      <c r="Z44" s="762"/>
      <c r="AA44" s="762"/>
      <c r="AB44" s="762"/>
      <c r="AC44" s="762"/>
      <c r="AD44" s="762"/>
      <c r="AE44" s="762"/>
      <c r="AF44" s="763"/>
      <c r="AG44" s="764"/>
      <c r="AH44" s="764"/>
      <c r="AI44" s="765"/>
      <c r="AJ44" s="766">
        <v>1.18</v>
      </c>
      <c r="AK44" s="767"/>
      <c r="AL44" s="767"/>
      <c r="AM44" s="768"/>
      <c r="AN44" s="763">
        <v>220</v>
      </c>
      <c r="AO44" s="764"/>
      <c r="AP44" s="765"/>
      <c r="AQ44" s="763" t="s">
        <v>166</v>
      </c>
      <c r="AR44" s="764"/>
      <c r="AS44" s="764"/>
      <c r="AT44" s="764"/>
      <c r="AU44" s="764"/>
      <c r="AV44" s="764"/>
      <c r="AW44" s="765"/>
      <c r="AX44" s="754" t="s">
        <v>167</v>
      </c>
      <c r="AY44" s="755"/>
      <c r="AZ44" s="755"/>
      <c r="BA44" s="755"/>
      <c r="BB44" s="755"/>
      <c r="BC44" s="755"/>
      <c r="BD44" s="756"/>
      <c r="BE44" s="763"/>
      <c r="BF44" s="764"/>
      <c r="BG44" s="764"/>
      <c r="BH44" s="764"/>
      <c r="BI44" s="765"/>
    </row>
    <row r="45" spans="1:61" ht="20.25" customHeight="1">
      <c r="A45" s="145" t="s">
        <v>268</v>
      </c>
      <c r="B45" s="137"/>
      <c r="C45" s="137"/>
      <c r="D45" s="137"/>
      <c r="E45" s="137"/>
      <c r="F45" s="137"/>
      <c r="G45" s="761"/>
      <c r="H45" s="761"/>
      <c r="I45" s="761"/>
      <c r="J45" s="761"/>
      <c r="K45" s="761"/>
      <c r="L45" s="761"/>
      <c r="M45" s="769" t="s">
        <v>231</v>
      </c>
      <c r="N45" s="770"/>
      <c r="O45" s="770"/>
      <c r="P45" s="770"/>
      <c r="Q45" s="770"/>
      <c r="R45" s="770"/>
      <c r="S45" s="770"/>
      <c r="T45" s="770"/>
      <c r="U45" s="770"/>
      <c r="V45" s="770"/>
      <c r="W45" s="770"/>
      <c r="X45" s="770"/>
      <c r="Y45" s="770"/>
      <c r="Z45" s="770"/>
      <c r="AA45" s="770"/>
      <c r="AB45" s="770"/>
      <c r="AC45" s="770"/>
      <c r="AD45" s="770"/>
      <c r="AE45" s="770"/>
      <c r="AF45" s="770"/>
      <c r="AG45" s="770"/>
      <c r="AH45" s="770"/>
      <c r="AI45" s="770"/>
      <c r="AJ45" s="770"/>
      <c r="AK45" s="770"/>
      <c r="AL45" s="770"/>
      <c r="AM45" s="770"/>
      <c r="AN45" s="770"/>
      <c r="AO45" s="770"/>
      <c r="AP45" s="770"/>
      <c r="AQ45" s="770"/>
      <c r="AR45" s="770"/>
      <c r="AS45" s="770"/>
      <c r="AT45" s="770"/>
      <c r="AU45" s="770"/>
      <c r="AV45" s="770"/>
      <c r="AW45" s="770"/>
      <c r="AX45" s="770"/>
      <c r="AY45" s="770"/>
      <c r="AZ45" s="770"/>
      <c r="BA45" s="770"/>
      <c r="BB45" s="770"/>
      <c r="BC45" s="770"/>
      <c r="BD45" s="770"/>
      <c r="BE45" s="770"/>
      <c r="BF45" s="770"/>
      <c r="BG45" s="770"/>
      <c r="BH45" s="770"/>
      <c r="BI45" s="771"/>
    </row>
    <row r="46" spans="1:61" ht="15" customHeight="1">
      <c r="A46" s="136" t="s">
        <v>268</v>
      </c>
      <c r="B46" s="136"/>
      <c r="C46" s="136"/>
      <c r="D46" s="136"/>
      <c r="E46" s="136"/>
      <c r="F46" s="136"/>
      <c r="G46" s="757" t="s">
        <v>268</v>
      </c>
      <c r="H46" s="757"/>
      <c r="I46" s="757"/>
      <c r="J46" s="757"/>
      <c r="K46" s="757"/>
      <c r="L46" s="757"/>
      <c r="M46" s="243">
        <v>380</v>
      </c>
      <c r="N46" s="244"/>
      <c r="O46" s="245"/>
      <c r="P46" s="240" t="s">
        <v>183</v>
      </c>
      <c r="Q46" s="241"/>
      <c r="R46" s="241"/>
      <c r="S46" s="241"/>
      <c r="T46" s="241"/>
      <c r="U46" s="241"/>
      <c r="V46" s="241"/>
      <c r="W46" s="242"/>
      <c r="X46" s="240" t="s">
        <v>83</v>
      </c>
      <c r="Y46" s="241"/>
      <c r="Z46" s="241"/>
      <c r="AA46" s="241"/>
      <c r="AB46" s="241"/>
      <c r="AC46" s="241"/>
      <c r="AD46" s="241"/>
      <c r="AE46" s="242"/>
      <c r="AF46" s="243" t="s">
        <v>93</v>
      </c>
      <c r="AG46" s="244"/>
      <c r="AH46" s="244"/>
      <c r="AI46" s="245"/>
      <c r="AJ46" s="709">
        <v>1.02</v>
      </c>
      <c r="AK46" s="700"/>
      <c r="AL46" s="700"/>
      <c r="AM46" s="701"/>
      <c r="AN46" s="243">
        <v>380</v>
      </c>
      <c r="AO46" s="244"/>
      <c r="AP46" s="245"/>
      <c r="AQ46" s="243" t="s">
        <v>186</v>
      </c>
      <c r="AR46" s="244"/>
      <c r="AS46" s="244"/>
      <c r="AT46" s="244"/>
      <c r="AU46" s="244"/>
      <c r="AV46" s="244"/>
      <c r="AW46" s="245"/>
      <c r="AX46" s="243" t="s">
        <v>185</v>
      </c>
      <c r="AY46" s="244"/>
      <c r="AZ46" s="244"/>
      <c r="BA46" s="244"/>
      <c r="BB46" s="244"/>
      <c r="BC46" s="244"/>
      <c r="BD46" s="245"/>
      <c r="BE46" s="243"/>
      <c r="BF46" s="244"/>
      <c r="BG46" s="244"/>
      <c r="BH46" s="244"/>
      <c r="BI46" s="245"/>
    </row>
    <row r="47" spans="1:61" ht="15" customHeight="1">
      <c r="A47" s="140" t="s">
        <v>268</v>
      </c>
      <c r="B47" s="136"/>
      <c r="C47" s="136"/>
      <c r="D47" s="136"/>
      <c r="E47" s="136"/>
      <c r="F47" s="136"/>
      <c r="G47" s="757"/>
      <c r="H47" s="757"/>
      <c r="I47" s="757"/>
      <c r="J47" s="757"/>
      <c r="K47" s="757"/>
      <c r="L47" s="757"/>
      <c r="M47" s="713"/>
      <c r="N47" s="714"/>
      <c r="O47" s="715"/>
      <c r="P47" s="246" t="s">
        <v>184</v>
      </c>
      <c r="Q47" s="247"/>
      <c r="R47" s="247"/>
      <c r="S47" s="247"/>
      <c r="T47" s="247"/>
      <c r="U47" s="247"/>
      <c r="V47" s="247"/>
      <c r="W47" s="248"/>
      <c r="X47" s="246" t="s">
        <v>83</v>
      </c>
      <c r="Y47" s="247"/>
      <c r="Z47" s="247"/>
      <c r="AA47" s="247"/>
      <c r="AB47" s="247"/>
      <c r="AC47" s="247"/>
      <c r="AD47" s="247"/>
      <c r="AE47" s="248"/>
      <c r="AF47" s="246"/>
      <c r="AG47" s="247"/>
      <c r="AH47" s="247"/>
      <c r="AI47" s="248"/>
      <c r="AJ47" s="758"/>
      <c r="AK47" s="759"/>
      <c r="AL47" s="759"/>
      <c r="AM47" s="760"/>
      <c r="AN47" s="713"/>
      <c r="AO47" s="714"/>
      <c r="AP47" s="715"/>
      <c r="AQ47" s="713"/>
      <c r="AR47" s="714"/>
      <c r="AS47" s="714"/>
      <c r="AT47" s="714"/>
      <c r="AU47" s="714"/>
      <c r="AV47" s="714"/>
      <c r="AW47" s="715"/>
      <c r="AX47" s="713"/>
      <c r="AY47" s="714"/>
      <c r="AZ47" s="714"/>
      <c r="BA47" s="714"/>
      <c r="BB47" s="714"/>
      <c r="BC47" s="714"/>
      <c r="BD47" s="715"/>
      <c r="BE47" s="713"/>
      <c r="BF47" s="714"/>
      <c r="BG47" s="714"/>
      <c r="BH47" s="714"/>
      <c r="BI47" s="715"/>
    </row>
    <row r="48" spans="1:61" ht="15" customHeight="1">
      <c r="A48" s="140" t="s">
        <v>268</v>
      </c>
      <c r="B48" s="136"/>
      <c r="C48" s="136"/>
      <c r="D48" s="136"/>
      <c r="E48" s="136"/>
      <c r="F48" s="136"/>
      <c r="G48" s="757"/>
      <c r="H48" s="757"/>
      <c r="I48" s="757"/>
      <c r="J48" s="757"/>
      <c r="K48" s="757"/>
      <c r="L48" s="757"/>
      <c r="M48" s="713"/>
      <c r="N48" s="714"/>
      <c r="O48" s="715"/>
      <c r="P48" s="240" t="s">
        <v>183</v>
      </c>
      <c r="Q48" s="241"/>
      <c r="R48" s="241"/>
      <c r="S48" s="241"/>
      <c r="T48" s="241"/>
      <c r="U48" s="241"/>
      <c r="V48" s="241"/>
      <c r="W48" s="242"/>
      <c r="X48" s="240" t="s">
        <v>83</v>
      </c>
      <c r="Y48" s="241"/>
      <c r="Z48" s="241"/>
      <c r="AA48" s="241"/>
      <c r="AB48" s="241"/>
      <c r="AC48" s="241"/>
      <c r="AD48" s="241"/>
      <c r="AE48" s="242"/>
      <c r="AF48" s="243" t="s">
        <v>93</v>
      </c>
      <c r="AG48" s="244"/>
      <c r="AH48" s="244"/>
      <c r="AI48" s="245"/>
      <c r="AJ48" s="709">
        <v>1.08</v>
      </c>
      <c r="AK48" s="700"/>
      <c r="AL48" s="700"/>
      <c r="AM48" s="701"/>
      <c r="AN48" s="713"/>
      <c r="AO48" s="714"/>
      <c r="AP48" s="715"/>
      <c r="AQ48" s="713"/>
      <c r="AR48" s="714"/>
      <c r="AS48" s="714"/>
      <c r="AT48" s="714"/>
      <c r="AU48" s="714"/>
      <c r="AV48" s="714"/>
      <c r="AW48" s="715"/>
      <c r="AX48" s="713"/>
      <c r="AY48" s="714"/>
      <c r="AZ48" s="714"/>
      <c r="BA48" s="714"/>
      <c r="BB48" s="714"/>
      <c r="BC48" s="714"/>
      <c r="BD48" s="715"/>
      <c r="BE48" s="713"/>
      <c r="BF48" s="714"/>
      <c r="BG48" s="714"/>
      <c r="BH48" s="714"/>
      <c r="BI48" s="715"/>
    </row>
    <row r="49" spans="1:61" ht="15" customHeight="1">
      <c r="A49" s="140" t="s">
        <v>268</v>
      </c>
      <c r="B49" s="136"/>
      <c r="C49" s="136"/>
      <c r="D49" s="136"/>
      <c r="E49" s="136"/>
      <c r="F49" s="136"/>
      <c r="G49" s="757"/>
      <c r="H49" s="757"/>
      <c r="I49" s="757"/>
      <c r="J49" s="757"/>
      <c r="K49" s="757"/>
      <c r="L49" s="757"/>
      <c r="M49" s="246"/>
      <c r="N49" s="247"/>
      <c r="O49" s="248"/>
      <c r="P49" s="246" t="s">
        <v>184</v>
      </c>
      <c r="Q49" s="247"/>
      <c r="R49" s="247"/>
      <c r="S49" s="247"/>
      <c r="T49" s="247"/>
      <c r="U49" s="247"/>
      <c r="V49" s="247"/>
      <c r="W49" s="248"/>
      <c r="X49" s="246" t="s">
        <v>185</v>
      </c>
      <c r="Y49" s="247"/>
      <c r="Z49" s="247"/>
      <c r="AA49" s="247"/>
      <c r="AB49" s="247"/>
      <c r="AC49" s="247"/>
      <c r="AD49" s="247"/>
      <c r="AE49" s="248"/>
      <c r="AF49" s="246"/>
      <c r="AG49" s="247"/>
      <c r="AH49" s="247"/>
      <c r="AI49" s="248"/>
      <c r="AJ49" s="758"/>
      <c r="AK49" s="759"/>
      <c r="AL49" s="759"/>
      <c r="AM49" s="760"/>
      <c r="AN49" s="246"/>
      <c r="AO49" s="247"/>
      <c r="AP49" s="248"/>
      <c r="AQ49" s="246"/>
      <c r="AR49" s="247"/>
      <c r="AS49" s="247"/>
      <c r="AT49" s="247"/>
      <c r="AU49" s="247"/>
      <c r="AV49" s="247"/>
      <c r="AW49" s="248"/>
      <c r="AX49" s="246"/>
      <c r="AY49" s="247"/>
      <c r="AZ49" s="247"/>
      <c r="BA49" s="247"/>
      <c r="BB49" s="247"/>
      <c r="BC49" s="247"/>
      <c r="BD49" s="248"/>
      <c r="BE49" s="246"/>
      <c r="BF49" s="247"/>
      <c r="BG49" s="247"/>
      <c r="BH49" s="247"/>
      <c r="BI49" s="248"/>
    </row>
    <row r="50" spans="1:61" ht="32.25" customHeight="1">
      <c r="A50" s="140" t="s">
        <v>268</v>
      </c>
      <c r="B50" s="136"/>
      <c r="C50" s="136"/>
      <c r="D50" s="136"/>
      <c r="E50" s="136"/>
      <c r="F50" s="136"/>
      <c r="G50" s="757"/>
      <c r="H50" s="757"/>
      <c r="I50" s="757"/>
      <c r="J50" s="757"/>
      <c r="K50" s="757"/>
      <c r="L50" s="757"/>
      <c r="M50" s="717" t="s">
        <v>310</v>
      </c>
      <c r="N50" s="718"/>
      <c r="O50" s="718"/>
      <c r="P50" s="718"/>
      <c r="Q50" s="718"/>
      <c r="R50" s="718"/>
      <c r="S50" s="718"/>
      <c r="T50" s="718"/>
      <c r="U50" s="718"/>
      <c r="V50" s="718"/>
      <c r="W50" s="718"/>
      <c r="X50" s="718"/>
      <c r="Y50" s="718"/>
      <c r="Z50" s="718"/>
      <c r="AA50" s="718"/>
      <c r="AB50" s="718"/>
      <c r="AC50" s="718"/>
      <c r="AD50" s="718"/>
      <c r="AE50" s="718"/>
      <c r="AF50" s="718"/>
      <c r="AG50" s="718"/>
      <c r="AH50" s="718"/>
      <c r="AI50" s="718"/>
      <c r="AJ50" s="718"/>
      <c r="AK50" s="718"/>
      <c r="AL50" s="718"/>
      <c r="AM50" s="718"/>
      <c r="AN50" s="718"/>
      <c r="AO50" s="718"/>
      <c r="AP50" s="718"/>
      <c r="AQ50" s="718"/>
      <c r="AR50" s="718"/>
      <c r="AS50" s="718"/>
      <c r="AT50" s="718"/>
      <c r="AU50" s="718"/>
      <c r="AV50" s="718"/>
      <c r="AW50" s="718"/>
      <c r="AX50" s="718"/>
      <c r="AY50" s="718"/>
      <c r="AZ50" s="718"/>
      <c r="BA50" s="718"/>
      <c r="BB50" s="718"/>
      <c r="BC50" s="718"/>
      <c r="BD50" s="718"/>
      <c r="BE50" s="718"/>
      <c r="BF50" s="718"/>
      <c r="BG50" s="718"/>
      <c r="BH50" s="718"/>
      <c r="BI50" s="719"/>
    </row>
    <row r="51" spans="1:61" ht="15" customHeight="1">
      <c r="A51" s="135" t="s">
        <v>268</v>
      </c>
      <c r="B51" s="135"/>
      <c r="C51" s="135"/>
      <c r="D51" s="135"/>
      <c r="E51" s="135"/>
      <c r="F51" s="135"/>
      <c r="G51" s="747" t="s">
        <v>268</v>
      </c>
      <c r="H51" s="747"/>
      <c r="I51" s="747"/>
      <c r="J51" s="747"/>
      <c r="K51" s="747"/>
      <c r="L51" s="747"/>
      <c r="M51" s="243">
        <v>380</v>
      </c>
      <c r="N51" s="244"/>
      <c r="O51" s="245"/>
      <c r="P51" s="243" t="s">
        <v>83</v>
      </c>
      <c r="Q51" s="244"/>
      <c r="R51" s="244"/>
      <c r="S51" s="244"/>
      <c r="T51" s="244"/>
      <c r="U51" s="244"/>
      <c r="V51" s="244"/>
      <c r="W51" s="245"/>
      <c r="X51" s="244" t="s">
        <v>183</v>
      </c>
      <c r="Y51" s="244"/>
      <c r="Z51" s="244"/>
      <c r="AA51" s="244"/>
      <c r="AB51" s="244"/>
      <c r="AC51" s="244"/>
      <c r="AD51" s="244"/>
      <c r="AE51" s="245"/>
      <c r="AF51" s="243" t="s">
        <v>93</v>
      </c>
      <c r="AG51" s="244"/>
      <c r="AH51" s="244"/>
      <c r="AI51" s="245"/>
      <c r="AJ51" s="709">
        <v>1.1599999999999999</v>
      </c>
      <c r="AK51" s="700"/>
      <c r="AL51" s="700"/>
      <c r="AM51" s="701"/>
      <c r="AN51" s="243">
        <v>380</v>
      </c>
      <c r="AO51" s="244"/>
      <c r="AP51" s="245"/>
      <c r="AQ51" s="243" t="s">
        <v>144</v>
      </c>
      <c r="AR51" s="244"/>
      <c r="AS51" s="244"/>
      <c r="AT51" s="244"/>
      <c r="AU51" s="244"/>
      <c r="AV51" s="244"/>
      <c r="AW51" s="245"/>
      <c r="AX51" s="243" t="s">
        <v>261</v>
      </c>
      <c r="AY51" s="244"/>
      <c r="AZ51" s="244"/>
      <c r="BA51" s="244"/>
      <c r="BB51" s="244"/>
      <c r="BC51" s="244"/>
      <c r="BD51" s="245"/>
      <c r="BE51" s="243"/>
      <c r="BF51" s="244"/>
      <c r="BG51" s="244"/>
      <c r="BH51" s="244"/>
      <c r="BI51" s="245"/>
    </row>
    <row r="52" spans="1:61">
      <c r="A52" s="146" t="s">
        <v>268</v>
      </c>
      <c r="B52" s="135"/>
      <c r="C52" s="135"/>
      <c r="D52" s="135"/>
      <c r="E52" s="135"/>
      <c r="F52" s="135"/>
      <c r="G52" s="747"/>
      <c r="H52" s="747"/>
      <c r="I52" s="747"/>
      <c r="J52" s="747"/>
      <c r="K52" s="747"/>
      <c r="L52" s="747"/>
      <c r="M52" s="713"/>
      <c r="N52" s="714"/>
      <c r="O52" s="715"/>
      <c r="P52" s="713"/>
      <c r="Q52" s="714"/>
      <c r="R52" s="714"/>
      <c r="S52" s="714"/>
      <c r="T52" s="714"/>
      <c r="U52" s="714"/>
      <c r="V52" s="714"/>
      <c r="W52" s="715"/>
      <c r="X52" s="247"/>
      <c r="Y52" s="247"/>
      <c r="Z52" s="247"/>
      <c r="AA52" s="247"/>
      <c r="AB52" s="247"/>
      <c r="AC52" s="247"/>
      <c r="AD52" s="247"/>
      <c r="AE52" s="248"/>
      <c r="AF52" s="713"/>
      <c r="AG52" s="714"/>
      <c r="AH52" s="714"/>
      <c r="AI52" s="715"/>
      <c r="AJ52" s="758"/>
      <c r="AK52" s="759"/>
      <c r="AL52" s="759"/>
      <c r="AM52" s="760"/>
      <c r="AN52" s="246"/>
      <c r="AO52" s="247"/>
      <c r="AP52" s="248"/>
      <c r="AQ52" s="246"/>
      <c r="AR52" s="247"/>
      <c r="AS52" s="247"/>
      <c r="AT52" s="247"/>
      <c r="AU52" s="247"/>
      <c r="AV52" s="247"/>
      <c r="AW52" s="248"/>
      <c r="AX52" s="246"/>
      <c r="AY52" s="247"/>
      <c r="AZ52" s="247"/>
      <c r="BA52" s="247"/>
      <c r="BB52" s="247"/>
      <c r="BC52" s="247"/>
      <c r="BD52" s="248"/>
      <c r="BE52" s="246"/>
      <c r="BF52" s="247"/>
      <c r="BG52" s="247"/>
      <c r="BH52" s="247"/>
      <c r="BI52" s="248"/>
    </row>
    <row r="53" spans="1:61">
      <c r="A53" s="146" t="s">
        <v>268</v>
      </c>
      <c r="B53" s="135"/>
      <c r="C53" s="135"/>
      <c r="D53" s="135"/>
      <c r="E53" s="135"/>
      <c r="F53" s="135"/>
      <c r="G53" s="747"/>
      <c r="H53" s="747"/>
      <c r="I53" s="747"/>
      <c r="J53" s="747"/>
      <c r="K53" s="747"/>
      <c r="L53" s="747"/>
      <c r="M53" s="713"/>
      <c r="N53" s="714"/>
      <c r="O53" s="715"/>
      <c r="P53" s="713"/>
      <c r="Q53" s="714"/>
      <c r="R53" s="714"/>
      <c r="S53" s="714"/>
      <c r="T53" s="714"/>
      <c r="U53" s="714"/>
      <c r="V53" s="714"/>
      <c r="W53" s="715"/>
      <c r="X53" s="244" t="s">
        <v>185</v>
      </c>
      <c r="Y53" s="244"/>
      <c r="Z53" s="244"/>
      <c r="AA53" s="244"/>
      <c r="AB53" s="244"/>
      <c r="AC53" s="244"/>
      <c r="AD53" s="244"/>
      <c r="AE53" s="245"/>
      <c r="AF53" s="713"/>
      <c r="AG53" s="714"/>
      <c r="AH53" s="714"/>
      <c r="AI53" s="715"/>
      <c r="AJ53" s="709">
        <v>1.05</v>
      </c>
      <c r="AK53" s="700"/>
      <c r="AL53" s="700"/>
      <c r="AM53" s="701"/>
      <c r="AN53" s="243">
        <v>380</v>
      </c>
      <c r="AO53" s="244"/>
      <c r="AP53" s="245"/>
      <c r="AQ53" s="240" t="s">
        <v>262</v>
      </c>
      <c r="AR53" s="241"/>
      <c r="AS53" s="241"/>
      <c r="AT53" s="241"/>
      <c r="AU53" s="241"/>
      <c r="AV53" s="241"/>
      <c r="AW53" s="242"/>
      <c r="AX53" s="240" t="s">
        <v>211</v>
      </c>
      <c r="AY53" s="241"/>
      <c r="AZ53" s="241"/>
      <c r="BA53" s="241"/>
      <c r="BB53" s="241"/>
      <c r="BC53" s="241"/>
      <c r="BD53" s="242"/>
      <c r="BE53" s="243"/>
      <c r="BF53" s="244"/>
      <c r="BG53" s="244"/>
      <c r="BH53" s="244"/>
      <c r="BI53" s="245"/>
    </row>
    <row r="54" spans="1:61">
      <c r="A54" s="146" t="s">
        <v>268</v>
      </c>
      <c r="B54" s="135"/>
      <c r="C54" s="135"/>
      <c r="D54" s="135"/>
      <c r="E54" s="135"/>
      <c r="F54" s="135"/>
      <c r="G54" s="747"/>
      <c r="H54" s="747"/>
      <c r="I54" s="747"/>
      <c r="J54" s="747"/>
      <c r="K54" s="747"/>
      <c r="L54" s="747"/>
      <c r="M54" s="246"/>
      <c r="N54" s="247"/>
      <c r="O54" s="248"/>
      <c r="P54" s="246"/>
      <c r="Q54" s="247"/>
      <c r="R54" s="247"/>
      <c r="S54" s="247"/>
      <c r="T54" s="247"/>
      <c r="U54" s="247"/>
      <c r="V54" s="247"/>
      <c r="W54" s="248"/>
      <c r="X54" s="247"/>
      <c r="Y54" s="247"/>
      <c r="Z54" s="247"/>
      <c r="AA54" s="247"/>
      <c r="AB54" s="247"/>
      <c r="AC54" s="247"/>
      <c r="AD54" s="247"/>
      <c r="AE54" s="248"/>
      <c r="AF54" s="246"/>
      <c r="AG54" s="247"/>
      <c r="AH54" s="247"/>
      <c r="AI54" s="248"/>
      <c r="AJ54" s="709">
        <v>1.01</v>
      </c>
      <c r="AK54" s="700"/>
      <c r="AL54" s="700"/>
      <c r="AM54" s="701"/>
      <c r="AN54" s="243">
        <v>380</v>
      </c>
      <c r="AO54" s="244"/>
      <c r="AP54" s="245"/>
      <c r="AQ54" s="240" t="s">
        <v>165</v>
      </c>
      <c r="AR54" s="241"/>
      <c r="AS54" s="241"/>
      <c r="AT54" s="241"/>
      <c r="AU54" s="241"/>
      <c r="AV54" s="241"/>
      <c r="AW54" s="242"/>
      <c r="AX54" s="240" t="s">
        <v>164</v>
      </c>
      <c r="AY54" s="241"/>
      <c r="AZ54" s="241"/>
      <c r="BA54" s="241"/>
      <c r="BB54" s="241"/>
      <c r="BC54" s="241"/>
      <c r="BD54" s="242"/>
      <c r="BE54" s="243"/>
      <c r="BF54" s="244"/>
      <c r="BG54" s="244"/>
      <c r="BH54" s="244"/>
      <c r="BI54" s="245"/>
    </row>
    <row r="55" spans="1:61" ht="30" customHeight="1">
      <c r="A55" s="146" t="s">
        <v>268</v>
      </c>
      <c r="B55" s="135"/>
      <c r="C55" s="135"/>
      <c r="D55" s="135"/>
      <c r="E55" s="135"/>
      <c r="F55" s="135"/>
      <c r="G55" s="747"/>
      <c r="H55" s="747"/>
      <c r="I55" s="747"/>
      <c r="J55" s="747"/>
      <c r="K55" s="747"/>
      <c r="L55" s="747"/>
      <c r="M55" s="717" t="s">
        <v>311</v>
      </c>
      <c r="N55" s="221"/>
      <c r="O55" s="221"/>
      <c r="P55" s="221"/>
      <c r="Q55" s="221"/>
      <c r="R55" s="221"/>
      <c r="S55" s="221"/>
      <c r="T55" s="221"/>
      <c r="U55" s="221"/>
      <c r="V55" s="221"/>
      <c r="W55" s="221"/>
      <c r="X55" s="221"/>
      <c r="Y55" s="221"/>
      <c r="Z55" s="221"/>
      <c r="AA55" s="221"/>
      <c r="AB55" s="221"/>
      <c r="AC55" s="221"/>
      <c r="AD55" s="221"/>
      <c r="AE55" s="221"/>
      <c r="AF55" s="221"/>
      <c r="AG55" s="221"/>
      <c r="AH55" s="221"/>
      <c r="AI55" s="221"/>
      <c r="AJ55" s="221"/>
      <c r="AK55" s="221"/>
      <c r="AL55" s="221"/>
      <c r="AM55" s="221"/>
      <c r="AN55" s="221"/>
      <c r="AO55" s="221"/>
      <c r="AP55" s="221"/>
      <c r="AQ55" s="221"/>
      <c r="AR55" s="221"/>
      <c r="AS55" s="221"/>
      <c r="AT55" s="221"/>
      <c r="AU55" s="221"/>
      <c r="AV55" s="221"/>
      <c r="AW55" s="221"/>
      <c r="AX55" s="221"/>
      <c r="AY55" s="221"/>
      <c r="AZ55" s="221"/>
      <c r="BA55" s="221"/>
      <c r="BB55" s="221"/>
      <c r="BC55" s="221"/>
      <c r="BD55" s="221"/>
      <c r="BE55" s="221"/>
      <c r="BF55" s="221"/>
      <c r="BG55" s="221"/>
      <c r="BH55" s="221"/>
      <c r="BI55" s="222"/>
    </row>
    <row r="56" spans="1:61" ht="15" customHeight="1">
      <c r="A56" s="139" t="s">
        <v>268</v>
      </c>
      <c r="B56" s="139"/>
      <c r="C56" s="139"/>
      <c r="D56" s="139"/>
      <c r="E56" s="139"/>
      <c r="F56" s="139"/>
      <c r="G56" s="249" t="s">
        <v>268</v>
      </c>
      <c r="H56" s="250"/>
      <c r="I56" s="250"/>
      <c r="J56" s="250"/>
      <c r="K56" s="250"/>
      <c r="L56" s="251"/>
      <c r="M56" s="243">
        <v>380</v>
      </c>
      <c r="N56" s="244"/>
      <c r="O56" s="245"/>
      <c r="P56" s="240" t="s">
        <v>183</v>
      </c>
      <c r="Q56" s="241"/>
      <c r="R56" s="241"/>
      <c r="S56" s="241"/>
      <c r="T56" s="241"/>
      <c r="U56" s="241"/>
      <c r="V56" s="241"/>
      <c r="W56" s="242"/>
      <c r="X56" s="240" t="s">
        <v>83</v>
      </c>
      <c r="Y56" s="241"/>
      <c r="Z56" s="241"/>
      <c r="AA56" s="241"/>
      <c r="AB56" s="241"/>
      <c r="AC56" s="241"/>
      <c r="AD56" s="241"/>
      <c r="AE56" s="242"/>
      <c r="AF56" s="243" t="s">
        <v>93</v>
      </c>
      <c r="AG56" s="244"/>
      <c r="AH56" s="244"/>
      <c r="AI56" s="245"/>
      <c r="AJ56" s="709">
        <v>1.04</v>
      </c>
      <c r="AK56" s="700"/>
      <c r="AL56" s="700"/>
      <c r="AM56" s="701"/>
      <c r="AN56" s="243">
        <v>380</v>
      </c>
      <c r="AO56" s="244"/>
      <c r="AP56" s="245"/>
      <c r="AQ56" s="243" t="s">
        <v>262</v>
      </c>
      <c r="AR56" s="244"/>
      <c r="AS56" s="244"/>
      <c r="AT56" s="244"/>
      <c r="AU56" s="244"/>
      <c r="AV56" s="244"/>
      <c r="AW56" s="245"/>
      <c r="AX56" s="243" t="s">
        <v>211</v>
      </c>
      <c r="AY56" s="244"/>
      <c r="AZ56" s="244"/>
      <c r="BA56" s="244"/>
      <c r="BB56" s="244"/>
      <c r="BC56" s="244"/>
      <c r="BD56" s="245"/>
      <c r="BE56" s="243"/>
      <c r="BF56" s="244"/>
      <c r="BG56" s="244"/>
      <c r="BH56" s="244"/>
      <c r="BI56" s="245"/>
    </row>
    <row r="57" spans="1:61">
      <c r="A57" s="148" t="s">
        <v>268</v>
      </c>
      <c r="B57" s="139"/>
      <c r="C57" s="139"/>
      <c r="D57" s="139"/>
      <c r="E57" s="139"/>
      <c r="F57" s="139"/>
      <c r="G57" s="772"/>
      <c r="H57" s="773"/>
      <c r="I57" s="773"/>
      <c r="J57" s="773"/>
      <c r="K57" s="773"/>
      <c r="L57" s="774"/>
      <c r="M57" s="246"/>
      <c r="N57" s="247"/>
      <c r="O57" s="248"/>
      <c r="P57" s="246" t="s">
        <v>184</v>
      </c>
      <c r="Q57" s="247"/>
      <c r="R57" s="247"/>
      <c r="S57" s="247"/>
      <c r="T57" s="247"/>
      <c r="U57" s="247"/>
      <c r="V57" s="247"/>
      <c r="W57" s="248"/>
      <c r="X57" s="246" t="s">
        <v>185</v>
      </c>
      <c r="Y57" s="247"/>
      <c r="Z57" s="247"/>
      <c r="AA57" s="247"/>
      <c r="AB57" s="247"/>
      <c r="AC57" s="247"/>
      <c r="AD57" s="247"/>
      <c r="AE57" s="248"/>
      <c r="AF57" s="246"/>
      <c r="AG57" s="247"/>
      <c r="AH57" s="247"/>
      <c r="AI57" s="248"/>
      <c r="AJ57" s="758"/>
      <c r="AK57" s="759"/>
      <c r="AL57" s="759"/>
      <c r="AM57" s="760"/>
      <c r="AN57" s="246"/>
      <c r="AO57" s="247"/>
      <c r="AP57" s="248"/>
      <c r="AQ57" s="246"/>
      <c r="AR57" s="247"/>
      <c r="AS57" s="247"/>
      <c r="AT57" s="247"/>
      <c r="AU57" s="247"/>
      <c r="AV57" s="247"/>
      <c r="AW57" s="248"/>
      <c r="AX57" s="246"/>
      <c r="AY57" s="247"/>
      <c r="AZ57" s="247"/>
      <c r="BA57" s="247"/>
      <c r="BB57" s="247"/>
      <c r="BC57" s="247"/>
      <c r="BD57" s="248"/>
      <c r="BE57" s="246"/>
      <c r="BF57" s="247"/>
      <c r="BG57" s="247"/>
      <c r="BH57" s="247"/>
      <c r="BI57" s="248"/>
    </row>
    <row r="58" spans="1:61">
      <c r="A58" s="148" t="s">
        <v>268</v>
      </c>
      <c r="B58" s="139"/>
      <c r="C58" s="139"/>
      <c r="D58" s="139"/>
      <c r="E58" s="139"/>
      <c r="F58" s="139"/>
      <c r="G58" s="252"/>
      <c r="H58" s="253"/>
      <c r="I58" s="253"/>
      <c r="J58" s="253"/>
      <c r="K58" s="253"/>
      <c r="L58" s="254"/>
      <c r="M58" s="717" t="s">
        <v>289</v>
      </c>
      <c r="N58" s="718"/>
      <c r="O58" s="718"/>
      <c r="P58" s="718"/>
      <c r="Q58" s="718"/>
      <c r="R58" s="718"/>
      <c r="S58" s="718"/>
      <c r="T58" s="718"/>
      <c r="U58" s="718"/>
      <c r="V58" s="718"/>
      <c r="W58" s="718"/>
      <c r="X58" s="718"/>
      <c r="Y58" s="718"/>
      <c r="Z58" s="718"/>
      <c r="AA58" s="718"/>
      <c r="AB58" s="718"/>
      <c r="AC58" s="718"/>
      <c r="AD58" s="718"/>
      <c r="AE58" s="718"/>
      <c r="AF58" s="718"/>
      <c r="AG58" s="718"/>
      <c r="AH58" s="718"/>
      <c r="AI58" s="718"/>
      <c r="AJ58" s="718"/>
      <c r="AK58" s="718"/>
      <c r="AL58" s="718"/>
      <c r="AM58" s="718"/>
      <c r="AN58" s="718"/>
      <c r="AO58" s="718"/>
      <c r="AP58" s="718"/>
      <c r="AQ58" s="718"/>
      <c r="AR58" s="718"/>
      <c r="AS58" s="718"/>
      <c r="AT58" s="718"/>
      <c r="AU58" s="718"/>
      <c r="AV58" s="718"/>
      <c r="AW58" s="718"/>
      <c r="AX58" s="718"/>
      <c r="AY58" s="718"/>
      <c r="AZ58" s="718"/>
      <c r="BA58" s="718"/>
      <c r="BB58" s="718"/>
      <c r="BC58" s="718"/>
      <c r="BD58" s="718"/>
      <c r="BE58" s="718"/>
      <c r="BF58" s="718"/>
      <c r="BG58" s="718"/>
      <c r="BH58" s="718"/>
      <c r="BI58" s="719"/>
    </row>
    <row r="59" spans="1:61" ht="15" customHeight="1">
      <c r="A59" s="136" t="s">
        <v>268</v>
      </c>
      <c r="B59" s="136"/>
      <c r="C59" s="136"/>
      <c r="D59" s="136"/>
      <c r="E59" s="136"/>
      <c r="F59" s="136"/>
      <c r="G59" s="693" t="s">
        <v>268</v>
      </c>
      <c r="H59" s="694"/>
      <c r="I59" s="694"/>
      <c r="J59" s="694"/>
      <c r="K59" s="694"/>
      <c r="L59" s="708"/>
      <c r="M59" s="243">
        <v>380</v>
      </c>
      <c r="N59" s="244"/>
      <c r="O59" s="245"/>
      <c r="P59" s="244" t="s">
        <v>83</v>
      </c>
      <c r="Q59" s="244"/>
      <c r="R59" s="244"/>
      <c r="S59" s="244"/>
      <c r="T59" s="244"/>
      <c r="U59" s="244"/>
      <c r="V59" s="244"/>
      <c r="W59" s="245"/>
      <c r="X59" s="240" t="s">
        <v>277</v>
      </c>
      <c r="Y59" s="241"/>
      <c r="Z59" s="241"/>
      <c r="AA59" s="241"/>
      <c r="AB59" s="241"/>
      <c r="AC59" s="241"/>
      <c r="AD59" s="241"/>
      <c r="AE59" s="242"/>
      <c r="AF59" s="243" t="s">
        <v>93</v>
      </c>
      <c r="AG59" s="244"/>
      <c r="AH59" s="244"/>
      <c r="AI59" s="245"/>
      <c r="AJ59" s="709">
        <v>1.01</v>
      </c>
      <c r="AK59" s="700"/>
      <c r="AL59" s="700"/>
      <c r="AM59" s="701"/>
      <c r="AN59" s="250">
        <v>380</v>
      </c>
      <c r="AO59" s="250"/>
      <c r="AP59" s="250"/>
      <c r="AQ59" s="243" t="s">
        <v>262</v>
      </c>
      <c r="AR59" s="244"/>
      <c r="AS59" s="244"/>
      <c r="AT59" s="244"/>
      <c r="AU59" s="244"/>
      <c r="AV59" s="244"/>
      <c r="AW59" s="245"/>
      <c r="AX59" s="243" t="s">
        <v>211</v>
      </c>
      <c r="AY59" s="244"/>
      <c r="AZ59" s="244"/>
      <c r="BA59" s="244"/>
      <c r="BB59" s="244"/>
      <c r="BC59" s="244"/>
      <c r="BD59" s="245"/>
      <c r="BE59" s="249"/>
      <c r="BF59" s="250"/>
      <c r="BG59" s="250"/>
      <c r="BH59" s="250"/>
      <c r="BI59" s="251"/>
    </row>
    <row r="60" spans="1:61">
      <c r="A60" s="144" t="s">
        <v>268</v>
      </c>
      <c r="B60" s="136"/>
      <c r="C60" s="136"/>
      <c r="D60" s="136"/>
      <c r="E60" s="136"/>
      <c r="F60" s="136"/>
      <c r="G60" s="710"/>
      <c r="H60" s="711"/>
      <c r="I60" s="711"/>
      <c r="J60" s="711"/>
      <c r="K60" s="711"/>
      <c r="L60" s="780"/>
      <c r="M60" s="246"/>
      <c r="N60" s="247"/>
      <c r="O60" s="248"/>
      <c r="P60" s="247"/>
      <c r="Q60" s="247"/>
      <c r="R60" s="247"/>
      <c r="S60" s="247"/>
      <c r="T60" s="247"/>
      <c r="U60" s="247"/>
      <c r="V60" s="247"/>
      <c r="W60" s="248"/>
      <c r="X60" s="240" t="s">
        <v>183</v>
      </c>
      <c r="Y60" s="241"/>
      <c r="Z60" s="241"/>
      <c r="AA60" s="241"/>
      <c r="AB60" s="241"/>
      <c r="AC60" s="241"/>
      <c r="AD60" s="241"/>
      <c r="AE60" s="242"/>
      <c r="AF60" s="246"/>
      <c r="AG60" s="247"/>
      <c r="AH60" s="247"/>
      <c r="AI60" s="248"/>
      <c r="AJ60" s="758"/>
      <c r="AK60" s="759"/>
      <c r="AL60" s="759"/>
      <c r="AM60" s="760"/>
      <c r="AN60" s="253"/>
      <c r="AO60" s="253"/>
      <c r="AP60" s="253"/>
      <c r="AQ60" s="246"/>
      <c r="AR60" s="247"/>
      <c r="AS60" s="247"/>
      <c r="AT60" s="247"/>
      <c r="AU60" s="247"/>
      <c r="AV60" s="247"/>
      <c r="AW60" s="248"/>
      <c r="AX60" s="246"/>
      <c r="AY60" s="247"/>
      <c r="AZ60" s="247"/>
      <c r="BA60" s="247"/>
      <c r="BB60" s="247"/>
      <c r="BC60" s="247"/>
      <c r="BD60" s="248"/>
      <c r="BE60" s="252"/>
      <c r="BF60" s="253"/>
      <c r="BG60" s="253"/>
      <c r="BH60" s="253"/>
      <c r="BI60" s="254"/>
    </row>
    <row r="61" spans="1:61" ht="20.25" customHeight="1">
      <c r="A61" s="144" t="s">
        <v>268</v>
      </c>
      <c r="B61" s="136"/>
      <c r="C61" s="136"/>
      <c r="D61" s="136"/>
      <c r="E61" s="136"/>
      <c r="F61" s="136"/>
      <c r="G61" s="695"/>
      <c r="H61" s="696"/>
      <c r="I61" s="696"/>
      <c r="J61" s="696"/>
      <c r="K61" s="696"/>
      <c r="L61" s="697"/>
      <c r="M61" s="718" t="s">
        <v>301</v>
      </c>
      <c r="N61" s="718"/>
      <c r="O61" s="718"/>
      <c r="P61" s="718"/>
      <c r="Q61" s="718"/>
      <c r="R61" s="718"/>
      <c r="S61" s="718"/>
      <c r="T61" s="718"/>
      <c r="U61" s="718"/>
      <c r="V61" s="718"/>
      <c r="W61" s="718"/>
      <c r="X61" s="718"/>
      <c r="Y61" s="718"/>
      <c r="Z61" s="718"/>
      <c r="AA61" s="718"/>
      <c r="AB61" s="718"/>
      <c r="AC61" s="718"/>
      <c r="AD61" s="718"/>
      <c r="AE61" s="718"/>
      <c r="AF61" s="718"/>
      <c r="AG61" s="718"/>
      <c r="AH61" s="718"/>
      <c r="AI61" s="718"/>
      <c r="AJ61" s="718"/>
      <c r="AK61" s="718"/>
      <c r="AL61" s="718"/>
      <c r="AM61" s="718"/>
      <c r="AN61" s="718"/>
      <c r="AO61" s="718"/>
      <c r="AP61" s="718"/>
      <c r="AQ61" s="718"/>
      <c r="AR61" s="718"/>
      <c r="AS61" s="718"/>
      <c r="AT61" s="718"/>
      <c r="AU61" s="718"/>
      <c r="AV61" s="718"/>
      <c r="AW61" s="718"/>
      <c r="AX61" s="718"/>
      <c r="AY61" s="718"/>
      <c r="AZ61" s="718"/>
      <c r="BA61" s="718"/>
      <c r="BB61" s="718"/>
      <c r="BC61" s="718"/>
      <c r="BD61" s="718"/>
      <c r="BE61" s="718"/>
      <c r="BF61" s="718"/>
      <c r="BG61" s="718"/>
      <c r="BH61" s="718"/>
      <c r="BI61" s="719"/>
    </row>
    <row r="62" spans="1:61" ht="21.75" customHeight="1">
      <c r="A62" s="135" t="s">
        <v>268</v>
      </c>
      <c r="B62" s="135"/>
      <c r="C62" s="135"/>
      <c r="D62" s="135"/>
      <c r="E62" s="135"/>
      <c r="F62" s="135"/>
      <c r="G62" s="747" t="s">
        <v>268</v>
      </c>
      <c r="H62" s="747"/>
      <c r="I62" s="747"/>
      <c r="J62" s="747"/>
      <c r="K62" s="747"/>
      <c r="L62" s="747"/>
      <c r="M62" s="243">
        <v>220</v>
      </c>
      <c r="N62" s="244"/>
      <c r="O62" s="245"/>
      <c r="P62" s="243" t="s">
        <v>312</v>
      </c>
      <c r="Q62" s="244"/>
      <c r="R62" s="244"/>
      <c r="S62" s="244"/>
      <c r="T62" s="244"/>
      <c r="U62" s="244"/>
      <c r="V62" s="244"/>
      <c r="W62" s="245"/>
      <c r="X62" s="243" t="s">
        <v>269</v>
      </c>
      <c r="Y62" s="244"/>
      <c r="Z62" s="244"/>
      <c r="AA62" s="244"/>
      <c r="AB62" s="244"/>
      <c r="AC62" s="244"/>
      <c r="AD62" s="244"/>
      <c r="AE62" s="245"/>
      <c r="AF62" s="243"/>
      <c r="AG62" s="244"/>
      <c r="AH62" s="244"/>
      <c r="AI62" s="245"/>
      <c r="AJ62" s="237">
        <v>1.03</v>
      </c>
      <c r="AK62" s="238"/>
      <c r="AL62" s="238"/>
      <c r="AM62" s="239"/>
      <c r="AN62" s="240">
        <v>220</v>
      </c>
      <c r="AO62" s="241"/>
      <c r="AP62" s="242"/>
      <c r="AQ62" s="240" t="s">
        <v>271</v>
      </c>
      <c r="AR62" s="241"/>
      <c r="AS62" s="241"/>
      <c r="AT62" s="241"/>
      <c r="AU62" s="241"/>
      <c r="AV62" s="241"/>
      <c r="AW62" s="242"/>
      <c r="AX62" s="240" t="s">
        <v>270</v>
      </c>
      <c r="AY62" s="241"/>
      <c r="AZ62" s="241"/>
      <c r="BA62" s="241"/>
      <c r="BB62" s="241"/>
      <c r="BC62" s="241"/>
      <c r="BD62" s="242"/>
      <c r="BE62" s="243"/>
      <c r="BF62" s="244"/>
      <c r="BG62" s="244"/>
      <c r="BH62" s="244"/>
      <c r="BI62" s="245"/>
    </row>
    <row r="63" spans="1:61" ht="21.75" customHeight="1">
      <c r="A63" s="146" t="s">
        <v>268</v>
      </c>
      <c r="B63" s="135"/>
      <c r="C63" s="135"/>
      <c r="D63" s="135"/>
      <c r="E63" s="135"/>
      <c r="F63" s="135"/>
      <c r="G63" s="747"/>
      <c r="H63" s="747"/>
      <c r="I63" s="747"/>
      <c r="J63" s="747"/>
      <c r="K63" s="747"/>
      <c r="L63" s="747"/>
      <c r="M63" s="716" t="s">
        <v>300</v>
      </c>
      <c r="N63" s="221"/>
      <c r="O63" s="221"/>
      <c r="P63" s="221"/>
      <c r="Q63" s="221"/>
      <c r="R63" s="221"/>
      <c r="S63" s="221"/>
      <c r="T63" s="221"/>
      <c r="U63" s="221"/>
      <c r="V63" s="221"/>
      <c r="W63" s="221"/>
      <c r="X63" s="221"/>
      <c r="Y63" s="221"/>
      <c r="Z63" s="221"/>
      <c r="AA63" s="221"/>
      <c r="AB63" s="221"/>
      <c r="AC63" s="221"/>
      <c r="AD63" s="221"/>
      <c r="AE63" s="221"/>
      <c r="AF63" s="221"/>
      <c r="AG63" s="221"/>
      <c r="AH63" s="221"/>
      <c r="AI63" s="221"/>
      <c r="AJ63" s="221"/>
      <c r="AK63" s="221"/>
      <c r="AL63" s="221"/>
      <c r="AM63" s="221"/>
      <c r="AN63" s="221"/>
      <c r="AO63" s="221"/>
      <c r="AP63" s="221"/>
      <c r="AQ63" s="221"/>
      <c r="AR63" s="221"/>
      <c r="AS63" s="221"/>
      <c r="AT63" s="221"/>
      <c r="AU63" s="221"/>
      <c r="AV63" s="221"/>
      <c r="AW63" s="221"/>
      <c r="AX63" s="221"/>
      <c r="AY63" s="221"/>
      <c r="AZ63" s="221"/>
      <c r="BA63" s="221"/>
      <c r="BB63" s="221"/>
      <c r="BC63" s="221"/>
      <c r="BD63" s="221"/>
      <c r="BE63" s="221"/>
      <c r="BF63" s="221"/>
      <c r="BG63" s="221"/>
      <c r="BH63" s="221"/>
      <c r="BI63" s="222"/>
    </row>
    <row r="64" spans="1:61">
      <c r="A64" s="136" t="s">
        <v>39</v>
      </c>
      <c r="B64" s="136"/>
      <c r="C64" s="136"/>
      <c r="D64" s="136"/>
      <c r="E64" s="136"/>
      <c r="F64" s="136"/>
      <c r="G64" s="757" t="s">
        <v>39</v>
      </c>
      <c r="H64" s="757"/>
      <c r="I64" s="757"/>
      <c r="J64" s="757"/>
      <c r="K64" s="757"/>
      <c r="L64" s="757"/>
      <c r="M64" s="698"/>
      <c r="N64" s="698"/>
      <c r="O64" s="698"/>
      <c r="P64" s="698" t="s">
        <v>272</v>
      </c>
      <c r="Q64" s="698"/>
      <c r="R64" s="698"/>
      <c r="S64" s="698"/>
      <c r="T64" s="698"/>
      <c r="U64" s="698"/>
      <c r="V64" s="698"/>
      <c r="W64" s="698"/>
      <c r="X64" s="698" t="s">
        <v>273</v>
      </c>
      <c r="Y64" s="698"/>
      <c r="Z64" s="698"/>
      <c r="AA64" s="698"/>
      <c r="AB64" s="698"/>
      <c r="AC64" s="698"/>
      <c r="AD64" s="698"/>
      <c r="AE64" s="698"/>
      <c r="AF64" s="243" t="s">
        <v>274</v>
      </c>
      <c r="AG64" s="244"/>
      <c r="AH64" s="244"/>
      <c r="AI64" s="245"/>
      <c r="AJ64" s="709">
        <v>1.01</v>
      </c>
      <c r="AK64" s="700"/>
      <c r="AL64" s="700"/>
      <c r="AM64" s="701"/>
      <c r="AN64" s="243">
        <v>380</v>
      </c>
      <c r="AO64" s="244"/>
      <c r="AP64" s="245"/>
      <c r="AQ64" s="243" t="s">
        <v>275</v>
      </c>
      <c r="AR64" s="244"/>
      <c r="AS64" s="244"/>
      <c r="AT64" s="244"/>
      <c r="AU64" s="244"/>
      <c r="AV64" s="244"/>
      <c r="AW64" s="245"/>
      <c r="AX64" s="240" t="s">
        <v>276</v>
      </c>
      <c r="AY64" s="241"/>
      <c r="AZ64" s="241"/>
      <c r="BA64" s="241"/>
      <c r="BB64" s="241"/>
      <c r="BC64" s="241"/>
      <c r="BD64" s="242"/>
      <c r="BE64" s="243"/>
      <c r="BF64" s="244"/>
      <c r="BG64" s="244"/>
      <c r="BH64" s="244"/>
      <c r="BI64" s="245"/>
    </row>
    <row r="65" spans="1:61" ht="30" customHeight="1">
      <c r="A65" s="144" t="s">
        <v>39</v>
      </c>
      <c r="B65" s="136"/>
      <c r="C65" s="136"/>
      <c r="D65" s="136"/>
      <c r="E65" s="136"/>
      <c r="F65" s="136"/>
      <c r="G65" s="802"/>
      <c r="H65" s="802"/>
      <c r="I65" s="802"/>
      <c r="J65" s="802"/>
      <c r="K65" s="802"/>
      <c r="L65" s="802"/>
      <c r="M65" s="792" t="s">
        <v>297</v>
      </c>
      <c r="N65" s="793"/>
      <c r="O65" s="793"/>
      <c r="P65" s="718"/>
      <c r="Q65" s="718"/>
      <c r="R65" s="718"/>
      <c r="S65" s="718"/>
      <c r="T65" s="718"/>
      <c r="U65" s="718"/>
      <c r="V65" s="718"/>
      <c r="W65" s="718"/>
      <c r="X65" s="718"/>
      <c r="Y65" s="718"/>
      <c r="Z65" s="718"/>
      <c r="AA65" s="718"/>
      <c r="AB65" s="718"/>
      <c r="AC65" s="718"/>
      <c r="AD65" s="718"/>
      <c r="AE65" s="718"/>
      <c r="AF65" s="718"/>
      <c r="AG65" s="718"/>
      <c r="AH65" s="718"/>
      <c r="AI65" s="718"/>
      <c r="AJ65" s="718"/>
      <c r="AK65" s="718"/>
      <c r="AL65" s="718"/>
      <c r="AM65" s="718"/>
      <c r="AN65" s="718"/>
      <c r="AO65" s="718"/>
      <c r="AP65" s="718"/>
      <c r="AQ65" s="718"/>
      <c r="AR65" s="718"/>
      <c r="AS65" s="718"/>
      <c r="AT65" s="718"/>
      <c r="AU65" s="718"/>
      <c r="AV65" s="718"/>
      <c r="AW65" s="718"/>
      <c r="AX65" s="718"/>
      <c r="AY65" s="718"/>
      <c r="AZ65" s="718"/>
      <c r="BA65" s="718"/>
      <c r="BB65" s="718"/>
      <c r="BC65" s="718"/>
      <c r="BD65" s="718"/>
      <c r="BE65" s="718"/>
      <c r="BF65" s="718"/>
      <c r="BG65" s="718"/>
      <c r="BH65" s="718"/>
      <c r="BI65" s="719"/>
    </row>
    <row r="66" spans="1:61" ht="15" customHeight="1">
      <c r="A66" s="136" t="s">
        <v>294</v>
      </c>
      <c r="B66" s="136"/>
      <c r="C66" s="136"/>
      <c r="D66" s="136"/>
      <c r="E66" s="136"/>
      <c r="F66" s="136"/>
      <c r="G66" s="757" t="s">
        <v>294</v>
      </c>
      <c r="H66" s="757"/>
      <c r="I66" s="757"/>
      <c r="J66" s="757"/>
      <c r="K66" s="757"/>
      <c r="L66" s="757"/>
      <c r="M66" s="243">
        <v>380</v>
      </c>
      <c r="N66" s="244"/>
      <c r="O66" s="244"/>
      <c r="P66" s="243" t="s">
        <v>252</v>
      </c>
      <c r="Q66" s="244"/>
      <c r="R66" s="244"/>
      <c r="S66" s="244"/>
      <c r="T66" s="244"/>
      <c r="U66" s="244"/>
      <c r="V66" s="244"/>
      <c r="W66" s="245"/>
      <c r="X66" s="243" t="s">
        <v>253</v>
      </c>
      <c r="Y66" s="244"/>
      <c r="Z66" s="244"/>
      <c r="AA66" s="244"/>
      <c r="AB66" s="244"/>
      <c r="AC66" s="244"/>
      <c r="AD66" s="244"/>
      <c r="AE66" s="245"/>
      <c r="AF66" s="244"/>
      <c r="AG66" s="244"/>
      <c r="AH66" s="244"/>
      <c r="AI66" s="245"/>
      <c r="AJ66" s="709">
        <v>1.1599999999999999</v>
      </c>
      <c r="AK66" s="700"/>
      <c r="AL66" s="700"/>
      <c r="AM66" s="701"/>
      <c r="AN66" s="243">
        <v>220</v>
      </c>
      <c r="AO66" s="244"/>
      <c r="AP66" s="245"/>
      <c r="AQ66" s="243" t="s">
        <v>254</v>
      </c>
      <c r="AR66" s="244"/>
      <c r="AS66" s="244"/>
      <c r="AT66" s="244"/>
      <c r="AU66" s="244"/>
      <c r="AV66" s="244"/>
      <c r="AW66" s="245"/>
      <c r="AX66" s="240" t="s">
        <v>253</v>
      </c>
      <c r="AY66" s="241"/>
      <c r="AZ66" s="241"/>
      <c r="BA66" s="241"/>
      <c r="BB66" s="241"/>
      <c r="BC66" s="241"/>
      <c r="BD66" s="242"/>
      <c r="BE66" s="243">
        <v>1</v>
      </c>
      <c r="BF66" s="244"/>
      <c r="BG66" s="244"/>
      <c r="BH66" s="244"/>
      <c r="BI66" s="245"/>
    </row>
    <row r="67" spans="1:61">
      <c r="A67" s="144" t="s">
        <v>294</v>
      </c>
      <c r="B67" s="136"/>
      <c r="C67" s="136"/>
      <c r="D67" s="136"/>
      <c r="E67" s="136"/>
      <c r="F67" s="136"/>
      <c r="G67" s="757"/>
      <c r="H67" s="757"/>
      <c r="I67" s="757"/>
      <c r="J67" s="757"/>
      <c r="K67" s="757"/>
      <c r="L67" s="757"/>
      <c r="M67" s="120"/>
      <c r="N67" s="121"/>
      <c r="O67" s="122"/>
      <c r="P67" s="788" t="s">
        <v>251</v>
      </c>
      <c r="Q67" s="789"/>
      <c r="R67" s="789"/>
      <c r="S67" s="789"/>
      <c r="T67" s="789"/>
      <c r="U67" s="789"/>
      <c r="V67" s="789"/>
      <c r="W67" s="790"/>
      <c r="X67" s="117"/>
      <c r="Y67" s="118"/>
      <c r="Z67" s="118"/>
      <c r="AA67" s="118"/>
      <c r="AB67" s="118"/>
      <c r="AC67" s="118"/>
      <c r="AD67" s="118"/>
      <c r="AE67" s="119"/>
      <c r="AF67" s="118"/>
      <c r="AG67" s="118"/>
      <c r="AH67" s="118"/>
      <c r="AI67" s="119"/>
      <c r="AJ67" s="709">
        <v>1.1599999999999999</v>
      </c>
      <c r="AK67" s="700"/>
      <c r="AL67" s="700"/>
      <c r="AM67" s="701"/>
      <c r="AN67" s="243">
        <v>220</v>
      </c>
      <c r="AO67" s="244"/>
      <c r="AP67" s="245"/>
      <c r="AQ67" s="243" t="s">
        <v>254</v>
      </c>
      <c r="AR67" s="244"/>
      <c r="AS67" s="244"/>
      <c r="AT67" s="244"/>
      <c r="AU67" s="244"/>
      <c r="AV67" s="244"/>
      <c r="AW67" s="245"/>
      <c r="AX67" s="240" t="s">
        <v>253</v>
      </c>
      <c r="AY67" s="241"/>
      <c r="AZ67" s="241"/>
      <c r="BA67" s="241"/>
      <c r="BB67" s="241"/>
      <c r="BC67" s="241"/>
      <c r="BD67" s="242"/>
      <c r="BE67" s="243">
        <v>2</v>
      </c>
      <c r="BF67" s="244"/>
      <c r="BG67" s="244"/>
      <c r="BH67" s="244"/>
      <c r="BI67" s="245"/>
    </row>
    <row r="68" spans="1:61">
      <c r="A68" s="144" t="s">
        <v>294</v>
      </c>
      <c r="B68" s="136"/>
      <c r="C68" s="136"/>
      <c r="D68" s="136"/>
      <c r="E68" s="136"/>
      <c r="F68" s="136"/>
      <c r="G68" s="757"/>
      <c r="H68" s="757"/>
      <c r="I68" s="757"/>
      <c r="J68" s="757"/>
      <c r="K68" s="757"/>
      <c r="L68" s="757"/>
      <c r="M68" s="240">
        <v>380</v>
      </c>
      <c r="N68" s="241"/>
      <c r="O68" s="242"/>
      <c r="P68" s="243" t="s">
        <v>252</v>
      </c>
      <c r="Q68" s="244"/>
      <c r="R68" s="244"/>
      <c r="S68" s="244"/>
      <c r="T68" s="244"/>
      <c r="U68" s="244"/>
      <c r="V68" s="244"/>
      <c r="W68" s="245"/>
      <c r="X68" s="243" t="s">
        <v>216</v>
      </c>
      <c r="Y68" s="244"/>
      <c r="Z68" s="244"/>
      <c r="AA68" s="244"/>
      <c r="AB68" s="244"/>
      <c r="AC68" s="244"/>
      <c r="AD68" s="244"/>
      <c r="AE68" s="245"/>
      <c r="AF68" s="244">
        <v>1</v>
      </c>
      <c r="AG68" s="244"/>
      <c r="AH68" s="244"/>
      <c r="AI68" s="245"/>
      <c r="AJ68" s="709">
        <v>1.02</v>
      </c>
      <c r="AK68" s="700"/>
      <c r="AL68" s="700"/>
      <c r="AM68" s="701"/>
      <c r="AN68" s="243">
        <v>220</v>
      </c>
      <c r="AO68" s="244"/>
      <c r="AP68" s="245"/>
      <c r="AQ68" s="243" t="s">
        <v>255</v>
      </c>
      <c r="AR68" s="244"/>
      <c r="AS68" s="244"/>
      <c r="AT68" s="244"/>
      <c r="AU68" s="244"/>
      <c r="AV68" s="244"/>
      <c r="AW68" s="245"/>
      <c r="AX68" s="240" t="s">
        <v>256</v>
      </c>
      <c r="AY68" s="241"/>
      <c r="AZ68" s="241"/>
      <c r="BA68" s="241"/>
      <c r="BB68" s="241"/>
      <c r="BC68" s="241"/>
      <c r="BD68" s="242"/>
      <c r="BE68" s="243"/>
      <c r="BF68" s="244"/>
      <c r="BG68" s="244"/>
      <c r="BH68" s="244"/>
      <c r="BI68" s="245"/>
    </row>
    <row r="69" spans="1:61" ht="29.25" customHeight="1">
      <c r="A69" s="144" t="s">
        <v>294</v>
      </c>
      <c r="B69" s="136"/>
      <c r="C69" s="136"/>
      <c r="D69" s="136"/>
      <c r="E69" s="136"/>
      <c r="F69" s="136"/>
      <c r="G69" s="757"/>
      <c r="H69" s="757"/>
      <c r="I69" s="757"/>
      <c r="J69" s="757"/>
      <c r="K69" s="757"/>
      <c r="L69" s="757"/>
      <c r="M69" s="717" t="s">
        <v>298</v>
      </c>
      <c r="N69" s="718"/>
      <c r="O69" s="718"/>
      <c r="P69" s="718"/>
      <c r="Q69" s="718"/>
      <c r="R69" s="718"/>
      <c r="S69" s="718"/>
      <c r="T69" s="718"/>
      <c r="U69" s="718"/>
      <c r="V69" s="718"/>
      <c r="W69" s="718"/>
      <c r="X69" s="718"/>
      <c r="Y69" s="718"/>
      <c r="Z69" s="718"/>
      <c r="AA69" s="718"/>
      <c r="AB69" s="718"/>
      <c r="AC69" s="718"/>
      <c r="AD69" s="718"/>
      <c r="AE69" s="718"/>
      <c r="AF69" s="718"/>
      <c r="AG69" s="718"/>
      <c r="AH69" s="718"/>
      <c r="AI69" s="718"/>
      <c r="AJ69" s="718"/>
      <c r="AK69" s="718"/>
      <c r="AL69" s="718"/>
      <c r="AM69" s="718"/>
      <c r="AN69" s="718"/>
      <c r="AO69" s="718"/>
      <c r="AP69" s="718"/>
      <c r="AQ69" s="718"/>
      <c r="AR69" s="718"/>
      <c r="AS69" s="718"/>
      <c r="AT69" s="718"/>
      <c r="AU69" s="718"/>
      <c r="AV69" s="718"/>
      <c r="AW69" s="718"/>
      <c r="AX69" s="718"/>
      <c r="AY69" s="718"/>
      <c r="AZ69" s="718"/>
      <c r="BA69" s="718"/>
      <c r="BB69" s="718"/>
      <c r="BC69" s="718"/>
      <c r="BD69" s="718"/>
      <c r="BE69" s="718"/>
      <c r="BF69" s="718"/>
      <c r="BG69" s="718"/>
      <c r="BH69" s="718"/>
      <c r="BI69" s="719"/>
    </row>
    <row r="70" spans="1:61" ht="15" customHeight="1">
      <c r="A70" s="135" t="s">
        <v>293</v>
      </c>
      <c r="B70" s="135"/>
      <c r="C70" s="135"/>
      <c r="D70" s="135"/>
      <c r="E70" s="135"/>
      <c r="F70" s="135"/>
      <c r="G70" s="747" t="s">
        <v>293</v>
      </c>
      <c r="H70" s="747"/>
      <c r="I70" s="747"/>
      <c r="J70" s="747"/>
      <c r="K70" s="747"/>
      <c r="L70" s="747"/>
      <c r="M70" s="243">
        <v>380</v>
      </c>
      <c r="N70" s="244"/>
      <c r="O70" s="245"/>
      <c r="P70" s="243" t="s">
        <v>85</v>
      </c>
      <c r="Q70" s="244"/>
      <c r="R70" s="244"/>
      <c r="S70" s="244"/>
      <c r="T70" s="244"/>
      <c r="U70" s="244"/>
      <c r="V70" s="244"/>
      <c r="W70" s="245"/>
      <c r="X70" s="243" t="s">
        <v>169</v>
      </c>
      <c r="Y70" s="244"/>
      <c r="Z70" s="244"/>
      <c r="AA70" s="244"/>
      <c r="AB70" s="244"/>
      <c r="AC70" s="244"/>
      <c r="AD70" s="244"/>
      <c r="AE70" s="245"/>
      <c r="AF70" s="243"/>
      <c r="AG70" s="244"/>
      <c r="AH70" s="244"/>
      <c r="AI70" s="245"/>
      <c r="AJ70" s="709">
        <v>1.05</v>
      </c>
      <c r="AK70" s="700"/>
      <c r="AL70" s="700"/>
      <c r="AM70" s="701"/>
      <c r="AN70" s="243">
        <v>220</v>
      </c>
      <c r="AO70" s="244"/>
      <c r="AP70" s="245"/>
      <c r="AQ70" s="243" t="s">
        <v>170</v>
      </c>
      <c r="AR70" s="244"/>
      <c r="AS70" s="244"/>
      <c r="AT70" s="244"/>
      <c r="AU70" s="244"/>
      <c r="AV70" s="244"/>
      <c r="AW70" s="245"/>
      <c r="AX70" s="240" t="s">
        <v>85</v>
      </c>
      <c r="AY70" s="241"/>
      <c r="AZ70" s="241"/>
      <c r="BA70" s="241"/>
      <c r="BB70" s="241"/>
      <c r="BC70" s="241"/>
      <c r="BD70" s="242"/>
      <c r="BE70" s="243"/>
      <c r="BF70" s="244"/>
      <c r="BG70" s="244"/>
      <c r="BH70" s="244"/>
      <c r="BI70" s="245"/>
    </row>
    <row r="71" spans="1:61" ht="25.5" customHeight="1">
      <c r="A71" s="142" t="s">
        <v>293</v>
      </c>
      <c r="B71" s="135"/>
      <c r="C71" s="135"/>
      <c r="D71" s="135"/>
      <c r="E71" s="135"/>
      <c r="F71" s="135"/>
      <c r="G71" s="747"/>
      <c r="H71" s="747"/>
      <c r="I71" s="747"/>
      <c r="J71" s="747"/>
      <c r="K71" s="747"/>
      <c r="L71" s="747"/>
      <c r="M71" s="716" t="s">
        <v>171</v>
      </c>
      <c r="N71" s="221"/>
      <c r="O71" s="221"/>
      <c r="P71" s="221"/>
      <c r="Q71" s="221"/>
      <c r="R71" s="221"/>
      <c r="S71" s="221"/>
      <c r="T71" s="221"/>
      <c r="U71" s="221"/>
      <c r="V71" s="221"/>
      <c r="W71" s="221"/>
      <c r="X71" s="221"/>
      <c r="Y71" s="221"/>
      <c r="Z71" s="221"/>
      <c r="AA71" s="221"/>
      <c r="AB71" s="221"/>
      <c r="AC71" s="221"/>
      <c r="AD71" s="221"/>
      <c r="AE71" s="221"/>
      <c r="AF71" s="221"/>
      <c r="AG71" s="221"/>
      <c r="AH71" s="221"/>
      <c r="AI71" s="221"/>
      <c r="AJ71" s="221"/>
      <c r="AK71" s="221"/>
      <c r="AL71" s="221"/>
      <c r="AM71" s="221"/>
      <c r="AN71" s="221"/>
      <c r="AO71" s="221"/>
      <c r="AP71" s="221"/>
      <c r="AQ71" s="221"/>
      <c r="AR71" s="221"/>
      <c r="AS71" s="221"/>
      <c r="AT71" s="221"/>
      <c r="AU71" s="221"/>
      <c r="AV71" s="221"/>
      <c r="AW71" s="221"/>
      <c r="AX71" s="221"/>
      <c r="AY71" s="221"/>
      <c r="AZ71" s="221"/>
      <c r="BA71" s="221"/>
      <c r="BB71" s="221"/>
      <c r="BC71" s="221"/>
      <c r="BD71" s="221"/>
      <c r="BE71" s="221"/>
      <c r="BF71" s="221"/>
      <c r="BG71" s="221"/>
      <c r="BH71" s="221"/>
      <c r="BI71" s="222"/>
    </row>
    <row r="72" spans="1:61" ht="15" customHeight="1">
      <c r="A72" s="135" t="s">
        <v>240</v>
      </c>
      <c r="B72" s="135"/>
      <c r="C72" s="135"/>
      <c r="D72" s="135"/>
      <c r="E72" s="135"/>
      <c r="F72" s="135"/>
      <c r="G72" s="747" t="s">
        <v>240</v>
      </c>
      <c r="H72" s="747"/>
      <c r="I72" s="747"/>
      <c r="J72" s="747"/>
      <c r="K72" s="747"/>
      <c r="L72" s="747"/>
      <c r="M72" s="243">
        <v>380</v>
      </c>
      <c r="N72" s="244"/>
      <c r="O72" s="245"/>
      <c r="P72" s="243" t="s">
        <v>42</v>
      </c>
      <c r="Q72" s="244"/>
      <c r="R72" s="244"/>
      <c r="S72" s="244"/>
      <c r="T72" s="244"/>
      <c r="U72" s="244"/>
      <c r="V72" s="244"/>
      <c r="W72" s="245"/>
      <c r="X72" s="243" t="s">
        <v>92</v>
      </c>
      <c r="Y72" s="244"/>
      <c r="Z72" s="244"/>
      <c r="AA72" s="244"/>
      <c r="AB72" s="244"/>
      <c r="AC72" s="244"/>
      <c r="AD72" s="244"/>
      <c r="AE72" s="245"/>
      <c r="AF72" s="243" t="s">
        <v>93</v>
      </c>
      <c r="AG72" s="244"/>
      <c r="AH72" s="244"/>
      <c r="AI72" s="245"/>
      <c r="AJ72" s="709">
        <v>1.28</v>
      </c>
      <c r="AK72" s="700"/>
      <c r="AL72" s="700"/>
      <c r="AM72" s="701"/>
      <c r="AN72" s="243">
        <v>220</v>
      </c>
      <c r="AO72" s="244"/>
      <c r="AP72" s="245"/>
      <c r="AQ72" s="243" t="s">
        <v>159</v>
      </c>
      <c r="AR72" s="244"/>
      <c r="AS72" s="244"/>
      <c r="AT72" s="244"/>
      <c r="AU72" s="244"/>
      <c r="AV72" s="244"/>
      <c r="AW72" s="245"/>
      <c r="AX72" s="240" t="s">
        <v>163</v>
      </c>
      <c r="AY72" s="241"/>
      <c r="AZ72" s="241"/>
      <c r="BA72" s="241"/>
      <c r="BB72" s="241"/>
      <c r="BC72" s="241"/>
      <c r="BD72" s="242"/>
      <c r="BE72" s="243"/>
      <c r="BF72" s="244"/>
      <c r="BG72" s="244"/>
      <c r="BH72" s="244"/>
      <c r="BI72" s="245"/>
    </row>
    <row r="73" spans="1:61" ht="26.25" customHeight="1">
      <c r="A73" s="142" t="s">
        <v>240</v>
      </c>
      <c r="B73" s="135"/>
      <c r="C73" s="135"/>
      <c r="D73" s="135"/>
      <c r="E73" s="135"/>
      <c r="F73" s="135"/>
      <c r="G73" s="747"/>
      <c r="H73" s="747"/>
      <c r="I73" s="747"/>
      <c r="J73" s="747"/>
      <c r="K73" s="747"/>
      <c r="L73" s="747"/>
      <c r="M73" s="717" t="s">
        <v>168</v>
      </c>
      <c r="N73" s="718"/>
      <c r="O73" s="718"/>
      <c r="P73" s="718"/>
      <c r="Q73" s="718"/>
      <c r="R73" s="718"/>
      <c r="S73" s="718"/>
      <c r="T73" s="718"/>
      <c r="U73" s="718"/>
      <c r="V73" s="718"/>
      <c r="W73" s="718"/>
      <c r="X73" s="718"/>
      <c r="Y73" s="718"/>
      <c r="Z73" s="718"/>
      <c r="AA73" s="718"/>
      <c r="AB73" s="718"/>
      <c r="AC73" s="718"/>
      <c r="AD73" s="718"/>
      <c r="AE73" s="718"/>
      <c r="AF73" s="718"/>
      <c r="AG73" s="718"/>
      <c r="AH73" s="718"/>
      <c r="AI73" s="718"/>
      <c r="AJ73" s="718"/>
      <c r="AK73" s="718"/>
      <c r="AL73" s="718"/>
      <c r="AM73" s="718"/>
      <c r="AN73" s="718"/>
      <c r="AO73" s="718"/>
      <c r="AP73" s="718"/>
      <c r="AQ73" s="718"/>
      <c r="AR73" s="718"/>
      <c r="AS73" s="718"/>
      <c r="AT73" s="718"/>
      <c r="AU73" s="718"/>
      <c r="AV73" s="718"/>
      <c r="AW73" s="718"/>
      <c r="AX73" s="718"/>
      <c r="AY73" s="718"/>
      <c r="AZ73" s="718"/>
      <c r="BA73" s="718"/>
      <c r="BB73" s="718"/>
      <c r="BC73" s="718"/>
      <c r="BD73" s="718"/>
      <c r="BE73" s="718"/>
      <c r="BF73" s="718"/>
      <c r="BG73" s="718"/>
      <c r="BH73" s="718"/>
      <c r="BI73" s="719"/>
    </row>
    <row r="74" spans="1:61">
      <c r="A74" s="136" t="s">
        <v>240</v>
      </c>
      <c r="B74" s="136"/>
      <c r="C74" s="136"/>
      <c r="D74" s="136"/>
      <c r="E74" s="136"/>
      <c r="F74" s="136"/>
      <c r="G74" s="757" t="s">
        <v>240</v>
      </c>
      <c r="H74" s="757"/>
      <c r="I74" s="757"/>
      <c r="J74" s="757"/>
      <c r="K74" s="757"/>
      <c r="L74" s="757"/>
      <c r="M74" s="698">
        <v>380</v>
      </c>
      <c r="N74" s="698"/>
      <c r="O74" s="698"/>
      <c r="P74" s="698" t="s">
        <v>42</v>
      </c>
      <c r="Q74" s="698"/>
      <c r="R74" s="698"/>
      <c r="S74" s="698"/>
      <c r="T74" s="698"/>
      <c r="U74" s="698"/>
      <c r="V74" s="698"/>
      <c r="W74" s="698"/>
      <c r="X74" s="698" t="s">
        <v>92</v>
      </c>
      <c r="Y74" s="698"/>
      <c r="Z74" s="698"/>
      <c r="AA74" s="698"/>
      <c r="AB74" s="698"/>
      <c r="AC74" s="698"/>
      <c r="AD74" s="698"/>
      <c r="AE74" s="698"/>
      <c r="AF74" s="243" t="s">
        <v>93</v>
      </c>
      <c r="AG74" s="244"/>
      <c r="AH74" s="244"/>
      <c r="AI74" s="245"/>
      <c r="AJ74" s="709" t="s">
        <v>237</v>
      </c>
      <c r="AK74" s="700"/>
      <c r="AL74" s="700"/>
      <c r="AM74" s="701"/>
      <c r="AN74" s="243">
        <v>380</v>
      </c>
      <c r="AO74" s="244"/>
      <c r="AP74" s="245"/>
      <c r="AQ74" s="243" t="s">
        <v>238</v>
      </c>
      <c r="AR74" s="244"/>
      <c r="AS74" s="244"/>
      <c r="AT74" s="244"/>
      <c r="AU74" s="244"/>
      <c r="AV74" s="244"/>
      <c r="AW74" s="245"/>
      <c r="AX74" s="240" t="s">
        <v>15</v>
      </c>
      <c r="AY74" s="241"/>
      <c r="AZ74" s="241"/>
      <c r="BA74" s="241"/>
      <c r="BB74" s="241"/>
      <c r="BC74" s="241"/>
      <c r="BD74" s="242"/>
      <c r="BE74" s="243"/>
      <c r="BF74" s="244"/>
      <c r="BG74" s="244"/>
      <c r="BH74" s="244"/>
      <c r="BI74" s="245"/>
    </row>
    <row r="75" spans="1:61" ht="22.5" customHeight="1">
      <c r="A75" s="144" t="s">
        <v>240</v>
      </c>
      <c r="B75" s="136"/>
      <c r="C75" s="136"/>
      <c r="D75" s="136"/>
      <c r="E75" s="136"/>
      <c r="F75" s="136"/>
      <c r="G75" s="757"/>
      <c r="H75" s="757"/>
      <c r="I75" s="757"/>
      <c r="J75" s="757"/>
      <c r="K75" s="757"/>
      <c r="L75" s="757"/>
      <c r="M75" s="220" t="s">
        <v>239</v>
      </c>
      <c r="N75" s="718"/>
      <c r="O75" s="718"/>
      <c r="P75" s="718"/>
      <c r="Q75" s="718"/>
      <c r="R75" s="718"/>
      <c r="S75" s="718"/>
      <c r="T75" s="718"/>
      <c r="U75" s="718"/>
      <c r="V75" s="718"/>
      <c r="W75" s="718"/>
      <c r="X75" s="718"/>
      <c r="Y75" s="718"/>
      <c r="Z75" s="718"/>
      <c r="AA75" s="718"/>
      <c r="AB75" s="718"/>
      <c r="AC75" s="718"/>
      <c r="AD75" s="718"/>
      <c r="AE75" s="718"/>
      <c r="AF75" s="718"/>
      <c r="AG75" s="718"/>
      <c r="AH75" s="718"/>
      <c r="AI75" s="718"/>
      <c r="AJ75" s="718"/>
      <c r="AK75" s="718"/>
      <c r="AL75" s="718"/>
      <c r="AM75" s="718"/>
      <c r="AN75" s="718"/>
      <c r="AO75" s="718"/>
      <c r="AP75" s="718"/>
      <c r="AQ75" s="718"/>
      <c r="AR75" s="718"/>
      <c r="AS75" s="718"/>
      <c r="AT75" s="718"/>
      <c r="AU75" s="718"/>
      <c r="AV75" s="718"/>
      <c r="AW75" s="718"/>
      <c r="AX75" s="718"/>
      <c r="AY75" s="718"/>
      <c r="AZ75" s="718"/>
      <c r="BA75" s="718"/>
      <c r="BB75" s="718"/>
      <c r="BC75" s="718"/>
      <c r="BD75" s="718"/>
      <c r="BE75" s="718"/>
      <c r="BF75" s="718"/>
      <c r="BG75" s="718"/>
      <c r="BH75" s="718"/>
      <c r="BI75" s="719"/>
    </row>
    <row r="76" spans="1:61">
      <c r="A76" s="135" t="s">
        <v>240</v>
      </c>
      <c r="B76" s="135"/>
      <c r="C76" s="135"/>
      <c r="D76" s="135"/>
      <c r="E76" s="135"/>
      <c r="F76" s="135"/>
      <c r="G76" s="737" t="s">
        <v>240</v>
      </c>
      <c r="H76" s="738"/>
      <c r="I76" s="738"/>
      <c r="J76" s="738"/>
      <c r="K76" s="738"/>
      <c r="L76" s="739"/>
      <c r="M76" s="243">
        <v>380</v>
      </c>
      <c r="N76" s="244"/>
      <c r="O76" s="245"/>
      <c r="P76" s="243" t="s">
        <v>42</v>
      </c>
      <c r="Q76" s="244"/>
      <c r="R76" s="244"/>
      <c r="S76" s="244"/>
      <c r="T76" s="244"/>
      <c r="U76" s="244"/>
      <c r="V76" s="244"/>
      <c r="W76" s="245"/>
      <c r="X76" s="243" t="s">
        <v>92</v>
      </c>
      <c r="Y76" s="244"/>
      <c r="Z76" s="244"/>
      <c r="AA76" s="244"/>
      <c r="AB76" s="244"/>
      <c r="AC76" s="244"/>
      <c r="AD76" s="244"/>
      <c r="AE76" s="245"/>
      <c r="AF76" s="243" t="s">
        <v>93</v>
      </c>
      <c r="AG76" s="244"/>
      <c r="AH76" s="244"/>
      <c r="AI76" s="245"/>
      <c r="AJ76" s="237">
        <v>1.04</v>
      </c>
      <c r="AK76" s="238"/>
      <c r="AL76" s="238"/>
      <c r="AM76" s="239"/>
      <c r="AN76" s="240">
        <v>380</v>
      </c>
      <c r="AO76" s="241"/>
      <c r="AP76" s="242"/>
      <c r="AQ76" s="240" t="s">
        <v>238</v>
      </c>
      <c r="AR76" s="241"/>
      <c r="AS76" s="241"/>
      <c r="AT76" s="241"/>
      <c r="AU76" s="241"/>
      <c r="AV76" s="241"/>
      <c r="AW76" s="242"/>
      <c r="AX76" s="240" t="s">
        <v>15</v>
      </c>
      <c r="AY76" s="241"/>
      <c r="AZ76" s="241"/>
      <c r="BA76" s="241"/>
      <c r="BB76" s="241"/>
      <c r="BC76" s="241"/>
      <c r="BD76" s="242"/>
      <c r="BE76" s="243"/>
      <c r="BF76" s="244"/>
      <c r="BG76" s="244"/>
      <c r="BH76" s="244"/>
      <c r="BI76" s="245"/>
    </row>
    <row r="77" spans="1:61">
      <c r="A77" s="146" t="s">
        <v>240</v>
      </c>
      <c r="B77" s="135"/>
      <c r="C77" s="135"/>
      <c r="D77" s="135"/>
      <c r="E77" s="135"/>
      <c r="F77" s="135"/>
      <c r="G77" s="775"/>
      <c r="H77" s="776"/>
      <c r="I77" s="776"/>
      <c r="J77" s="776"/>
      <c r="K77" s="776"/>
      <c r="L77" s="777"/>
      <c r="M77" s="713"/>
      <c r="N77" s="714"/>
      <c r="O77" s="715"/>
      <c r="P77" s="713"/>
      <c r="Q77" s="714"/>
      <c r="R77" s="714"/>
      <c r="S77" s="714"/>
      <c r="T77" s="714"/>
      <c r="U77" s="714"/>
      <c r="V77" s="714"/>
      <c r="W77" s="715"/>
      <c r="X77" s="713"/>
      <c r="Y77" s="714"/>
      <c r="Z77" s="714"/>
      <c r="AA77" s="714"/>
      <c r="AB77" s="714"/>
      <c r="AC77" s="714"/>
      <c r="AD77" s="714"/>
      <c r="AE77" s="715"/>
      <c r="AF77" s="713"/>
      <c r="AG77" s="714"/>
      <c r="AH77" s="714"/>
      <c r="AI77" s="715"/>
      <c r="AJ77" s="237">
        <v>1.03</v>
      </c>
      <c r="AK77" s="238"/>
      <c r="AL77" s="238"/>
      <c r="AM77" s="239"/>
      <c r="AN77" s="240">
        <v>380</v>
      </c>
      <c r="AO77" s="241"/>
      <c r="AP77" s="242"/>
      <c r="AQ77" s="240" t="s">
        <v>246</v>
      </c>
      <c r="AR77" s="241"/>
      <c r="AS77" s="241"/>
      <c r="AT77" s="241"/>
      <c r="AU77" s="241"/>
      <c r="AV77" s="241"/>
      <c r="AW77" s="242"/>
      <c r="AX77" s="240" t="s">
        <v>247</v>
      </c>
      <c r="AY77" s="241"/>
      <c r="AZ77" s="241"/>
      <c r="BA77" s="241"/>
      <c r="BB77" s="241"/>
      <c r="BC77" s="241"/>
      <c r="BD77" s="242"/>
      <c r="BE77" s="117"/>
      <c r="BF77" s="118"/>
      <c r="BG77" s="118"/>
      <c r="BH77" s="118"/>
      <c r="BI77" s="119"/>
    </row>
    <row r="78" spans="1:61">
      <c r="A78" s="146" t="s">
        <v>240</v>
      </c>
      <c r="B78" s="135"/>
      <c r="C78" s="135"/>
      <c r="D78" s="135"/>
      <c r="E78" s="135"/>
      <c r="F78" s="135"/>
      <c r="G78" s="775"/>
      <c r="H78" s="776"/>
      <c r="I78" s="776"/>
      <c r="J78" s="776"/>
      <c r="K78" s="776"/>
      <c r="L78" s="777"/>
      <c r="M78" s="246"/>
      <c r="N78" s="247"/>
      <c r="O78" s="248"/>
      <c r="P78" s="246"/>
      <c r="Q78" s="247"/>
      <c r="R78" s="247"/>
      <c r="S78" s="247"/>
      <c r="T78" s="247"/>
      <c r="U78" s="247"/>
      <c r="V78" s="247"/>
      <c r="W78" s="248"/>
      <c r="X78" s="246"/>
      <c r="Y78" s="247"/>
      <c r="Z78" s="247"/>
      <c r="AA78" s="247"/>
      <c r="AB78" s="247"/>
      <c r="AC78" s="247"/>
      <c r="AD78" s="247"/>
      <c r="AE78" s="248"/>
      <c r="AF78" s="246"/>
      <c r="AG78" s="247"/>
      <c r="AH78" s="247"/>
      <c r="AI78" s="248"/>
      <c r="AJ78" s="237">
        <v>1</v>
      </c>
      <c r="AK78" s="238"/>
      <c r="AL78" s="238"/>
      <c r="AM78" s="239"/>
      <c r="AN78" s="240">
        <v>380</v>
      </c>
      <c r="AO78" s="241"/>
      <c r="AP78" s="242"/>
      <c r="AQ78" s="240" t="s">
        <v>248</v>
      </c>
      <c r="AR78" s="241"/>
      <c r="AS78" s="241"/>
      <c r="AT78" s="241"/>
      <c r="AU78" s="241"/>
      <c r="AV78" s="241"/>
      <c r="AW78" s="242"/>
      <c r="AX78" s="240" t="s">
        <v>246</v>
      </c>
      <c r="AY78" s="241"/>
      <c r="AZ78" s="241"/>
      <c r="BA78" s="241"/>
      <c r="BB78" s="241"/>
      <c r="BC78" s="241"/>
      <c r="BD78" s="242"/>
      <c r="BE78" s="243"/>
      <c r="BF78" s="244"/>
      <c r="BG78" s="244"/>
      <c r="BH78" s="244"/>
      <c r="BI78" s="245"/>
    </row>
    <row r="79" spans="1:61" ht="20.25" customHeight="1">
      <c r="A79" s="146" t="s">
        <v>240</v>
      </c>
      <c r="B79" s="135"/>
      <c r="C79" s="135"/>
      <c r="D79" s="135"/>
      <c r="E79" s="135"/>
      <c r="F79" s="135"/>
      <c r="G79" s="775"/>
      <c r="H79" s="776"/>
      <c r="I79" s="776"/>
      <c r="J79" s="776"/>
      <c r="K79" s="776"/>
      <c r="L79" s="777"/>
      <c r="M79" s="716" t="s">
        <v>249</v>
      </c>
      <c r="N79" s="221"/>
      <c r="O79" s="221"/>
      <c r="P79" s="221"/>
      <c r="Q79" s="221"/>
      <c r="R79" s="221"/>
      <c r="S79" s="221"/>
      <c r="T79" s="221"/>
      <c r="U79" s="221"/>
      <c r="V79" s="221"/>
      <c r="W79" s="221"/>
      <c r="X79" s="221"/>
      <c r="Y79" s="221"/>
      <c r="Z79" s="221"/>
      <c r="AA79" s="221"/>
      <c r="AB79" s="221"/>
      <c r="AC79" s="221"/>
      <c r="AD79" s="221"/>
      <c r="AE79" s="221"/>
      <c r="AF79" s="221"/>
      <c r="AG79" s="221"/>
      <c r="AH79" s="221"/>
      <c r="AI79" s="221"/>
      <c r="AJ79" s="221"/>
      <c r="AK79" s="221"/>
      <c r="AL79" s="221"/>
      <c r="AM79" s="221"/>
      <c r="AN79" s="221"/>
      <c r="AO79" s="221"/>
      <c r="AP79" s="221"/>
      <c r="AQ79" s="221"/>
      <c r="AR79" s="221"/>
      <c r="AS79" s="221"/>
      <c r="AT79" s="221"/>
      <c r="AU79" s="221"/>
      <c r="AV79" s="221"/>
      <c r="AW79" s="221"/>
      <c r="AX79" s="221"/>
      <c r="AY79" s="221"/>
      <c r="AZ79" s="221"/>
      <c r="BA79" s="221"/>
      <c r="BB79" s="221"/>
      <c r="BC79" s="221"/>
      <c r="BD79" s="221"/>
      <c r="BE79" s="221"/>
      <c r="BF79" s="221"/>
      <c r="BG79" s="221"/>
      <c r="BH79" s="221"/>
      <c r="BI79" s="222"/>
    </row>
    <row r="80" spans="1:61" ht="16.5" customHeight="1">
      <c r="A80" s="146" t="s">
        <v>240</v>
      </c>
      <c r="B80" s="135"/>
      <c r="C80" s="135"/>
      <c r="D80" s="135"/>
      <c r="E80" s="135"/>
      <c r="F80" s="135"/>
      <c r="G80" s="775"/>
      <c r="H80" s="776"/>
      <c r="I80" s="776"/>
      <c r="J80" s="776"/>
      <c r="K80" s="776"/>
      <c r="L80" s="777"/>
      <c r="M80" s="698">
        <v>380</v>
      </c>
      <c r="N80" s="698"/>
      <c r="O80" s="698"/>
      <c r="P80" s="698" t="s">
        <v>246</v>
      </c>
      <c r="Q80" s="698"/>
      <c r="R80" s="698"/>
      <c r="S80" s="698"/>
      <c r="T80" s="698"/>
      <c r="U80" s="698"/>
      <c r="V80" s="698"/>
      <c r="W80" s="698"/>
      <c r="X80" s="698" t="s">
        <v>247</v>
      </c>
      <c r="Y80" s="698"/>
      <c r="Z80" s="698"/>
      <c r="AA80" s="698"/>
      <c r="AB80" s="698"/>
      <c r="AC80" s="698"/>
      <c r="AD80" s="698"/>
      <c r="AE80" s="698"/>
      <c r="AF80" s="243"/>
      <c r="AG80" s="244"/>
      <c r="AH80" s="244"/>
      <c r="AI80" s="245"/>
      <c r="AJ80" s="709">
        <v>1.01</v>
      </c>
      <c r="AK80" s="700"/>
      <c r="AL80" s="700"/>
      <c r="AM80" s="701"/>
      <c r="AN80" s="243">
        <v>380</v>
      </c>
      <c r="AO80" s="244"/>
      <c r="AP80" s="245"/>
      <c r="AQ80" s="243" t="s">
        <v>42</v>
      </c>
      <c r="AR80" s="244"/>
      <c r="AS80" s="244"/>
      <c r="AT80" s="244"/>
      <c r="AU80" s="244"/>
      <c r="AV80" s="244"/>
      <c r="AW80" s="245"/>
      <c r="AX80" s="240" t="s">
        <v>92</v>
      </c>
      <c r="AY80" s="241"/>
      <c r="AZ80" s="241"/>
      <c r="BA80" s="241"/>
      <c r="BB80" s="241"/>
      <c r="BC80" s="241"/>
      <c r="BD80" s="242"/>
      <c r="BE80" s="243"/>
      <c r="BF80" s="244"/>
      <c r="BG80" s="244"/>
      <c r="BH80" s="244"/>
      <c r="BI80" s="245"/>
    </row>
    <row r="81" spans="1:61" ht="16.5" customHeight="1">
      <c r="A81" s="146" t="s">
        <v>240</v>
      </c>
      <c r="B81" s="135"/>
      <c r="C81" s="135"/>
      <c r="D81" s="135"/>
      <c r="E81" s="135"/>
      <c r="F81" s="135"/>
      <c r="G81" s="740"/>
      <c r="H81" s="741"/>
      <c r="I81" s="741"/>
      <c r="J81" s="741"/>
      <c r="K81" s="741"/>
      <c r="L81" s="742"/>
      <c r="M81" s="716" t="s">
        <v>250</v>
      </c>
      <c r="N81" s="718"/>
      <c r="O81" s="718"/>
      <c r="P81" s="718"/>
      <c r="Q81" s="718"/>
      <c r="R81" s="718"/>
      <c r="S81" s="718"/>
      <c r="T81" s="718"/>
      <c r="U81" s="718"/>
      <c r="V81" s="718"/>
      <c r="W81" s="718"/>
      <c r="X81" s="718"/>
      <c r="Y81" s="718"/>
      <c r="Z81" s="718"/>
      <c r="AA81" s="718"/>
      <c r="AB81" s="718"/>
      <c r="AC81" s="718"/>
      <c r="AD81" s="718"/>
      <c r="AE81" s="718"/>
      <c r="AF81" s="718"/>
      <c r="AG81" s="718"/>
      <c r="AH81" s="718"/>
      <c r="AI81" s="718"/>
      <c r="AJ81" s="718"/>
      <c r="AK81" s="718"/>
      <c r="AL81" s="718"/>
      <c r="AM81" s="718"/>
      <c r="AN81" s="718"/>
      <c r="AO81" s="718"/>
      <c r="AP81" s="718"/>
      <c r="AQ81" s="718"/>
      <c r="AR81" s="718"/>
      <c r="AS81" s="718"/>
      <c r="AT81" s="718"/>
      <c r="AU81" s="718"/>
      <c r="AV81" s="718"/>
      <c r="AW81" s="718"/>
      <c r="AX81" s="718"/>
      <c r="AY81" s="718"/>
      <c r="AZ81" s="718"/>
      <c r="BA81" s="718"/>
      <c r="BB81" s="718"/>
      <c r="BC81" s="718"/>
      <c r="BD81" s="718"/>
      <c r="BE81" s="718"/>
      <c r="BF81" s="718"/>
      <c r="BG81" s="718"/>
      <c r="BH81" s="718"/>
      <c r="BI81" s="719"/>
    </row>
    <row r="82" spans="1:61" ht="16.5" customHeight="1">
      <c r="A82" s="135" t="s">
        <v>240</v>
      </c>
      <c r="B82" s="135"/>
      <c r="C82" s="135"/>
      <c r="D82" s="135"/>
      <c r="E82" s="135"/>
      <c r="F82" s="135"/>
      <c r="G82" s="747" t="s">
        <v>240</v>
      </c>
      <c r="H82" s="738"/>
      <c r="I82" s="738"/>
      <c r="J82" s="738"/>
      <c r="K82" s="738"/>
      <c r="L82" s="739"/>
      <c r="M82" s="243">
        <v>380</v>
      </c>
      <c r="N82" s="244"/>
      <c r="O82" s="245"/>
      <c r="P82" s="240" t="s">
        <v>42</v>
      </c>
      <c r="Q82" s="241"/>
      <c r="R82" s="241"/>
      <c r="S82" s="241"/>
      <c r="T82" s="241"/>
      <c r="U82" s="241"/>
      <c r="V82" s="241"/>
      <c r="W82" s="242"/>
      <c r="X82" s="240" t="s">
        <v>92</v>
      </c>
      <c r="Y82" s="241"/>
      <c r="Z82" s="241"/>
      <c r="AA82" s="241"/>
      <c r="AB82" s="241"/>
      <c r="AC82" s="241"/>
      <c r="AD82" s="241"/>
      <c r="AE82" s="242"/>
      <c r="AF82" s="243" t="s">
        <v>93</v>
      </c>
      <c r="AG82" s="244"/>
      <c r="AH82" s="244"/>
      <c r="AI82" s="245"/>
      <c r="AJ82" s="237">
        <v>1.07</v>
      </c>
      <c r="AK82" s="238"/>
      <c r="AL82" s="238"/>
      <c r="AM82" s="239"/>
      <c r="AN82" s="240">
        <v>380</v>
      </c>
      <c r="AO82" s="241"/>
      <c r="AP82" s="242"/>
      <c r="AQ82" s="240" t="s">
        <v>247</v>
      </c>
      <c r="AR82" s="241"/>
      <c r="AS82" s="241"/>
      <c r="AT82" s="241"/>
      <c r="AU82" s="241"/>
      <c r="AV82" s="241"/>
      <c r="AW82" s="242"/>
      <c r="AX82" s="240" t="s">
        <v>246</v>
      </c>
      <c r="AY82" s="241"/>
      <c r="AZ82" s="241"/>
      <c r="BA82" s="241"/>
      <c r="BB82" s="241"/>
      <c r="BC82" s="241"/>
      <c r="BD82" s="242"/>
      <c r="BE82" s="785"/>
      <c r="BF82" s="786"/>
      <c r="BG82" s="786"/>
      <c r="BH82" s="786"/>
      <c r="BI82" s="787"/>
    </row>
    <row r="83" spans="1:61" ht="16.5" customHeight="1">
      <c r="A83" s="146" t="s">
        <v>240</v>
      </c>
      <c r="B83" s="135"/>
      <c r="C83" s="135"/>
      <c r="D83" s="135"/>
      <c r="E83" s="135"/>
      <c r="F83" s="135"/>
      <c r="G83" s="740"/>
      <c r="H83" s="741"/>
      <c r="I83" s="741"/>
      <c r="J83" s="741"/>
      <c r="K83" s="741"/>
      <c r="L83" s="742"/>
      <c r="M83" s="716" t="s">
        <v>249</v>
      </c>
      <c r="N83" s="221"/>
      <c r="O83" s="221"/>
      <c r="P83" s="221"/>
      <c r="Q83" s="221"/>
      <c r="R83" s="221"/>
      <c r="S83" s="221"/>
      <c r="T83" s="221"/>
      <c r="U83" s="221"/>
      <c r="V83" s="221"/>
      <c r="W83" s="221"/>
      <c r="X83" s="221"/>
      <c r="Y83" s="221"/>
      <c r="Z83" s="221"/>
      <c r="AA83" s="221"/>
      <c r="AB83" s="221"/>
      <c r="AC83" s="221"/>
      <c r="AD83" s="221"/>
      <c r="AE83" s="221"/>
      <c r="AF83" s="221"/>
      <c r="AG83" s="221"/>
      <c r="AH83" s="221"/>
      <c r="AI83" s="221"/>
      <c r="AJ83" s="221"/>
      <c r="AK83" s="221"/>
      <c r="AL83" s="221"/>
      <c r="AM83" s="221"/>
      <c r="AN83" s="221"/>
      <c r="AO83" s="221"/>
      <c r="AP83" s="221"/>
      <c r="AQ83" s="221"/>
      <c r="AR83" s="221"/>
      <c r="AS83" s="221"/>
      <c r="AT83" s="221"/>
      <c r="AU83" s="221"/>
      <c r="AV83" s="221"/>
      <c r="AW83" s="221"/>
      <c r="AX83" s="221"/>
      <c r="AY83" s="221"/>
      <c r="AZ83" s="221"/>
      <c r="BA83" s="221"/>
      <c r="BB83" s="221"/>
      <c r="BC83" s="221"/>
      <c r="BD83" s="221"/>
      <c r="BE83" s="221"/>
      <c r="BF83" s="221"/>
      <c r="BG83" s="221"/>
      <c r="BH83" s="221"/>
      <c r="BI83" s="222"/>
    </row>
    <row r="84" spans="1:61" ht="16.5" customHeight="1">
      <c r="A84" s="135" t="s">
        <v>293</v>
      </c>
      <c r="B84" s="135"/>
      <c r="C84" s="135"/>
      <c r="D84" s="135"/>
      <c r="E84" s="135"/>
      <c r="F84" s="135"/>
      <c r="G84" s="747" t="s">
        <v>293</v>
      </c>
      <c r="H84" s="747"/>
      <c r="I84" s="747"/>
      <c r="J84" s="747"/>
      <c r="K84" s="747"/>
      <c r="L84" s="747"/>
      <c r="M84" s="243">
        <v>380</v>
      </c>
      <c r="N84" s="244"/>
      <c r="O84" s="245"/>
      <c r="P84" s="243" t="s">
        <v>42</v>
      </c>
      <c r="Q84" s="244"/>
      <c r="R84" s="244"/>
      <c r="S84" s="244"/>
      <c r="T84" s="244"/>
      <c r="U84" s="244"/>
      <c r="V84" s="244"/>
      <c r="W84" s="245"/>
      <c r="X84" s="243" t="s">
        <v>92</v>
      </c>
      <c r="Y84" s="244"/>
      <c r="Z84" s="244"/>
      <c r="AA84" s="244"/>
      <c r="AB84" s="244"/>
      <c r="AC84" s="244"/>
      <c r="AD84" s="244"/>
      <c r="AE84" s="245"/>
      <c r="AF84" s="243" t="s">
        <v>93</v>
      </c>
      <c r="AG84" s="244"/>
      <c r="AH84" s="244"/>
      <c r="AI84" s="245"/>
      <c r="AJ84" s="709">
        <v>1.02</v>
      </c>
      <c r="AK84" s="700"/>
      <c r="AL84" s="700"/>
      <c r="AM84" s="701"/>
      <c r="AN84" s="243">
        <v>380</v>
      </c>
      <c r="AO84" s="244"/>
      <c r="AP84" s="245"/>
      <c r="AQ84" s="240" t="s">
        <v>246</v>
      </c>
      <c r="AR84" s="241"/>
      <c r="AS84" s="241"/>
      <c r="AT84" s="241"/>
      <c r="AU84" s="241"/>
      <c r="AV84" s="241"/>
      <c r="AW84" s="242"/>
      <c r="AX84" s="240" t="s">
        <v>248</v>
      </c>
      <c r="AY84" s="241"/>
      <c r="AZ84" s="241"/>
      <c r="BA84" s="241"/>
      <c r="BB84" s="241"/>
      <c r="BC84" s="241"/>
      <c r="BD84" s="242"/>
      <c r="BE84" s="243"/>
      <c r="BF84" s="244"/>
      <c r="BG84" s="244"/>
      <c r="BH84" s="244"/>
      <c r="BI84" s="245"/>
    </row>
    <row r="85" spans="1:61" ht="16.5" customHeight="1">
      <c r="A85" s="146" t="s">
        <v>293</v>
      </c>
      <c r="B85" s="135"/>
      <c r="C85" s="135"/>
      <c r="D85" s="135"/>
      <c r="E85" s="135"/>
      <c r="F85" s="135"/>
      <c r="G85" s="747"/>
      <c r="H85" s="747"/>
      <c r="I85" s="747"/>
      <c r="J85" s="747"/>
      <c r="K85" s="747"/>
      <c r="L85" s="747"/>
      <c r="M85" s="717" t="s">
        <v>313</v>
      </c>
      <c r="N85" s="718"/>
      <c r="O85" s="718"/>
      <c r="P85" s="718"/>
      <c r="Q85" s="718"/>
      <c r="R85" s="718"/>
      <c r="S85" s="718"/>
      <c r="T85" s="718"/>
      <c r="U85" s="718"/>
      <c r="V85" s="718"/>
      <c r="W85" s="718"/>
      <c r="X85" s="718"/>
      <c r="Y85" s="718"/>
      <c r="Z85" s="718"/>
      <c r="AA85" s="718"/>
      <c r="AB85" s="718"/>
      <c r="AC85" s="718"/>
      <c r="AD85" s="718"/>
      <c r="AE85" s="718"/>
      <c r="AF85" s="718"/>
      <c r="AG85" s="718"/>
      <c r="AH85" s="718"/>
      <c r="AI85" s="718"/>
      <c r="AJ85" s="718"/>
      <c r="AK85" s="718"/>
      <c r="AL85" s="718"/>
      <c r="AM85" s="718"/>
      <c r="AN85" s="718"/>
      <c r="AO85" s="718"/>
      <c r="AP85" s="718"/>
      <c r="AQ85" s="718"/>
      <c r="AR85" s="718"/>
      <c r="AS85" s="718"/>
      <c r="AT85" s="718"/>
      <c r="AU85" s="718"/>
      <c r="AV85" s="718"/>
      <c r="AW85" s="718"/>
      <c r="AX85" s="718"/>
      <c r="AY85" s="718"/>
      <c r="AZ85" s="718"/>
      <c r="BA85" s="718"/>
      <c r="BB85" s="718"/>
      <c r="BC85" s="718"/>
      <c r="BD85" s="718"/>
      <c r="BE85" s="718"/>
      <c r="BF85" s="718"/>
      <c r="BG85" s="718"/>
      <c r="BH85" s="718"/>
      <c r="BI85" s="719"/>
    </row>
    <row r="86" spans="1:61" ht="16.5" customHeight="1">
      <c r="A86" s="136" t="s">
        <v>38</v>
      </c>
      <c r="B86" s="136"/>
      <c r="C86" s="136"/>
      <c r="D86" s="136"/>
      <c r="E86" s="136"/>
      <c r="F86" s="136"/>
      <c r="G86" s="757" t="s">
        <v>38</v>
      </c>
      <c r="H86" s="757"/>
      <c r="I86" s="757"/>
      <c r="J86" s="757"/>
      <c r="K86" s="757"/>
      <c r="L86" s="757"/>
      <c r="M86" s="698">
        <v>380</v>
      </c>
      <c r="N86" s="698"/>
      <c r="O86" s="698"/>
      <c r="P86" s="698" t="s">
        <v>215</v>
      </c>
      <c r="Q86" s="698"/>
      <c r="R86" s="698"/>
      <c r="S86" s="698"/>
      <c r="T86" s="698"/>
      <c r="U86" s="698"/>
      <c r="V86" s="698"/>
      <c r="W86" s="698"/>
      <c r="X86" s="698" t="s">
        <v>216</v>
      </c>
      <c r="Y86" s="698"/>
      <c r="Z86" s="698"/>
      <c r="AA86" s="698"/>
      <c r="AB86" s="698"/>
      <c r="AC86" s="698"/>
      <c r="AD86" s="698"/>
      <c r="AE86" s="698"/>
      <c r="AF86" s="243" t="s">
        <v>217</v>
      </c>
      <c r="AG86" s="244"/>
      <c r="AH86" s="244"/>
      <c r="AI86" s="245"/>
      <c r="AJ86" s="709">
        <v>1.05</v>
      </c>
      <c r="AK86" s="700"/>
      <c r="AL86" s="700"/>
      <c r="AM86" s="701"/>
      <c r="AN86" s="243">
        <v>380</v>
      </c>
      <c r="AO86" s="244"/>
      <c r="AP86" s="245"/>
      <c r="AQ86" s="243" t="s">
        <v>218</v>
      </c>
      <c r="AR86" s="244"/>
      <c r="AS86" s="244"/>
      <c r="AT86" s="244"/>
      <c r="AU86" s="244"/>
      <c r="AV86" s="244"/>
      <c r="AW86" s="245"/>
      <c r="AX86" s="240" t="s">
        <v>215</v>
      </c>
      <c r="AY86" s="241"/>
      <c r="AZ86" s="241"/>
      <c r="BA86" s="241"/>
      <c r="BB86" s="241"/>
      <c r="BC86" s="241"/>
      <c r="BD86" s="242"/>
      <c r="BE86" s="243">
        <v>2</v>
      </c>
      <c r="BF86" s="244"/>
      <c r="BG86" s="244"/>
      <c r="BH86" s="244"/>
      <c r="BI86" s="245"/>
    </row>
    <row r="87" spans="1:61" ht="16.5" customHeight="1">
      <c r="A87" s="144" t="s">
        <v>38</v>
      </c>
      <c r="B87" s="136"/>
      <c r="C87" s="136"/>
      <c r="D87" s="136"/>
      <c r="E87" s="136"/>
      <c r="F87" s="136"/>
      <c r="G87" s="757"/>
      <c r="H87" s="757"/>
      <c r="I87" s="757"/>
      <c r="J87" s="757"/>
      <c r="K87" s="757"/>
      <c r="L87" s="757"/>
      <c r="M87" s="220" t="s">
        <v>314</v>
      </c>
      <c r="N87" s="718"/>
      <c r="O87" s="718"/>
      <c r="P87" s="718"/>
      <c r="Q87" s="718"/>
      <c r="R87" s="718"/>
      <c r="S87" s="718"/>
      <c r="T87" s="718"/>
      <c r="U87" s="718"/>
      <c r="V87" s="718"/>
      <c r="W87" s="718"/>
      <c r="X87" s="718"/>
      <c r="Y87" s="718"/>
      <c r="Z87" s="718"/>
      <c r="AA87" s="718"/>
      <c r="AB87" s="718"/>
      <c r="AC87" s="718"/>
      <c r="AD87" s="718"/>
      <c r="AE87" s="718"/>
      <c r="AF87" s="718"/>
      <c r="AG87" s="718"/>
      <c r="AH87" s="718"/>
      <c r="AI87" s="718"/>
      <c r="AJ87" s="718"/>
      <c r="AK87" s="718"/>
      <c r="AL87" s="718"/>
      <c r="AM87" s="718"/>
      <c r="AN87" s="718"/>
      <c r="AO87" s="718"/>
      <c r="AP87" s="718"/>
      <c r="AQ87" s="718"/>
      <c r="AR87" s="718"/>
      <c r="AS87" s="718"/>
      <c r="AT87" s="718"/>
      <c r="AU87" s="718"/>
      <c r="AV87" s="718"/>
      <c r="AW87" s="718"/>
      <c r="AX87" s="718"/>
      <c r="AY87" s="718"/>
      <c r="AZ87" s="718"/>
      <c r="BA87" s="718"/>
      <c r="BB87" s="718"/>
      <c r="BC87" s="718"/>
      <c r="BD87" s="718"/>
      <c r="BE87" s="718"/>
      <c r="BF87" s="718"/>
      <c r="BG87" s="718"/>
      <c r="BH87" s="718"/>
      <c r="BI87" s="719"/>
    </row>
    <row r="88" spans="1:61">
      <c r="A88" s="136" t="s">
        <v>38</v>
      </c>
      <c r="B88" s="135"/>
      <c r="C88" s="135"/>
      <c r="D88" s="135"/>
      <c r="E88" s="135"/>
      <c r="F88" s="135"/>
      <c r="G88" s="747" t="s">
        <v>38</v>
      </c>
      <c r="H88" s="738"/>
      <c r="I88" s="738"/>
      <c r="J88" s="738"/>
      <c r="K88" s="738"/>
      <c r="L88" s="739"/>
      <c r="M88" s="243">
        <v>380</v>
      </c>
      <c r="N88" s="244"/>
      <c r="O88" s="244"/>
      <c r="P88" s="243" t="s">
        <v>218</v>
      </c>
      <c r="Q88" s="244"/>
      <c r="R88" s="244"/>
      <c r="S88" s="244"/>
      <c r="T88" s="244"/>
      <c r="U88" s="244"/>
      <c r="V88" s="244"/>
      <c r="W88" s="244"/>
      <c r="X88" s="698" t="s">
        <v>219</v>
      </c>
      <c r="Y88" s="698"/>
      <c r="Z88" s="698"/>
      <c r="AA88" s="698"/>
      <c r="AB88" s="698"/>
      <c r="AC88" s="698"/>
      <c r="AD88" s="698"/>
      <c r="AE88" s="698"/>
      <c r="AF88" s="244" t="s">
        <v>93</v>
      </c>
      <c r="AG88" s="244"/>
      <c r="AH88" s="244"/>
      <c r="AI88" s="245"/>
      <c r="AJ88" s="237">
        <v>1.18</v>
      </c>
      <c r="AK88" s="238"/>
      <c r="AL88" s="238"/>
      <c r="AM88" s="239"/>
      <c r="AN88" s="240">
        <v>380</v>
      </c>
      <c r="AO88" s="241"/>
      <c r="AP88" s="242"/>
      <c r="AQ88" s="240" t="s">
        <v>220</v>
      </c>
      <c r="AR88" s="241"/>
      <c r="AS88" s="241"/>
      <c r="AT88" s="241"/>
      <c r="AU88" s="241"/>
      <c r="AV88" s="241"/>
      <c r="AW88" s="242"/>
      <c r="AX88" s="240" t="s">
        <v>221</v>
      </c>
      <c r="AY88" s="241"/>
      <c r="AZ88" s="241"/>
      <c r="BA88" s="241"/>
      <c r="BB88" s="241"/>
      <c r="BC88" s="241"/>
      <c r="BD88" s="242"/>
      <c r="BE88" s="240"/>
      <c r="BF88" s="241"/>
      <c r="BG88" s="241"/>
      <c r="BH88" s="241"/>
      <c r="BI88" s="242"/>
    </row>
    <row r="89" spans="1:61">
      <c r="A89" s="144" t="s">
        <v>38</v>
      </c>
      <c r="B89" s="135"/>
      <c r="C89" s="135"/>
      <c r="D89" s="135"/>
      <c r="E89" s="135"/>
      <c r="F89" s="135"/>
      <c r="G89" s="775"/>
      <c r="H89" s="776"/>
      <c r="I89" s="776"/>
      <c r="J89" s="776"/>
      <c r="K89" s="776"/>
      <c r="L89" s="777"/>
      <c r="M89" s="713"/>
      <c r="N89" s="714"/>
      <c r="O89" s="714"/>
      <c r="P89" s="246"/>
      <c r="Q89" s="247"/>
      <c r="R89" s="247"/>
      <c r="S89" s="247"/>
      <c r="T89" s="247"/>
      <c r="U89" s="247"/>
      <c r="V89" s="247"/>
      <c r="W89" s="247"/>
      <c r="X89" s="698"/>
      <c r="Y89" s="698"/>
      <c r="Z89" s="698"/>
      <c r="AA89" s="698"/>
      <c r="AB89" s="698"/>
      <c r="AC89" s="698"/>
      <c r="AD89" s="698"/>
      <c r="AE89" s="698"/>
      <c r="AF89" s="714"/>
      <c r="AG89" s="714"/>
      <c r="AH89" s="714"/>
      <c r="AI89" s="715"/>
      <c r="AJ89" s="237">
        <v>1.02</v>
      </c>
      <c r="AK89" s="238"/>
      <c r="AL89" s="238"/>
      <c r="AM89" s="239"/>
      <c r="AN89" s="240">
        <v>220</v>
      </c>
      <c r="AO89" s="241"/>
      <c r="AP89" s="242"/>
      <c r="AQ89" s="240" t="s">
        <v>218</v>
      </c>
      <c r="AR89" s="241"/>
      <c r="AS89" s="241"/>
      <c r="AT89" s="241"/>
      <c r="AU89" s="241"/>
      <c r="AV89" s="241"/>
      <c r="AW89" s="242"/>
      <c r="AX89" s="240" t="s">
        <v>221</v>
      </c>
      <c r="AY89" s="241"/>
      <c r="AZ89" s="241"/>
      <c r="BA89" s="241"/>
      <c r="BB89" s="241"/>
      <c r="BC89" s="241"/>
      <c r="BD89" s="242"/>
      <c r="BE89" s="240"/>
      <c r="BF89" s="241"/>
      <c r="BG89" s="241"/>
      <c r="BH89" s="241"/>
      <c r="BI89" s="242"/>
    </row>
    <row r="90" spans="1:61" ht="43.5" customHeight="1">
      <c r="A90" s="144" t="s">
        <v>38</v>
      </c>
      <c r="B90" s="135"/>
      <c r="C90" s="135"/>
      <c r="D90" s="135"/>
      <c r="E90" s="135"/>
      <c r="F90" s="135"/>
      <c r="G90" s="740"/>
      <c r="H90" s="741"/>
      <c r="I90" s="741"/>
      <c r="J90" s="741"/>
      <c r="K90" s="741"/>
      <c r="L90" s="742"/>
      <c r="M90" s="716" t="s">
        <v>315</v>
      </c>
      <c r="N90" s="221"/>
      <c r="O90" s="221"/>
      <c r="P90" s="221"/>
      <c r="Q90" s="221"/>
      <c r="R90" s="221"/>
      <c r="S90" s="221"/>
      <c r="T90" s="221"/>
      <c r="U90" s="221"/>
      <c r="V90" s="221"/>
      <c r="W90" s="221"/>
      <c r="X90" s="221"/>
      <c r="Y90" s="221"/>
      <c r="Z90" s="221"/>
      <c r="AA90" s="221"/>
      <c r="AB90" s="221"/>
      <c r="AC90" s="221"/>
      <c r="AD90" s="221"/>
      <c r="AE90" s="221"/>
      <c r="AF90" s="221"/>
      <c r="AG90" s="221"/>
      <c r="AH90" s="221"/>
      <c r="AI90" s="221"/>
      <c r="AJ90" s="221"/>
      <c r="AK90" s="221"/>
      <c r="AL90" s="221"/>
      <c r="AM90" s="221"/>
      <c r="AN90" s="221"/>
      <c r="AO90" s="221"/>
      <c r="AP90" s="221"/>
      <c r="AQ90" s="221"/>
      <c r="AR90" s="221"/>
      <c r="AS90" s="221"/>
      <c r="AT90" s="221"/>
      <c r="AU90" s="221"/>
      <c r="AV90" s="221"/>
      <c r="AW90" s="221"/>
      <c r="AX90" s="221"/>
      <c r="AY90" s="221"/>
      <c r="AZ90" s="221"/>
      <c r="BA90" s="221"/>
      <c r="BB90" s="221"/>
      <c r="BC90" s="221"/>
      <c r="BD90" s="221"/>
      <c r="BE90" s="221"/>
      <c r="BF90" s="221"/>
      <c r="BG90" s="221"/>
      <c r="BH90" s="221"/>
      <c r="BI90" s="222"/>
    </row>
    <row r="91" spans="1:61" ht="27" customHeight="1">
      <c r="A91" s="136" t="s">
        <v>38</v>
      </c>
      <c r="B91" s="136"/>
      <c r="C91" s="136"/>
      <c r="D91" s="136"/>
      <c r="E91" s="136"/>
      <c r="F91" s="136"/>
      <c r="G91" s="757" t="s">
        <v>38</v>
      </c>
      <c r="H91" s="757"/>
      <c r="I91" s="757"/>
      <c r="J91" s="757"/>
      <c r="K91" s="757"/>
      <c r="L91" s="757"/>
      <c r="M91" s="698">
        <v>380</v>
      </c>
      <c r="N91" s="698"/>
      <c r="O91" s="698"/>
      <c r="P91" s="698" t="s">
        <v>218</v>
      </c>
      <c r="Q91" s="698"/>
      <c r="R91" s="698"/>
      <c r="S91" s="698"/>
      <c r="T91" s="698"/>
      <c r="U91" s="698"/>
      <c r="V91" s="698"/>
      <c r="W91" s="698"/>
      <c r="X91" s="698" t="s">
        <v>215</v>
      </c>
      <c r="Y91" s="698"/>
      <c r="Z91" s="698"/>
      <c r="AA91" s="698"/>
      <c r="AB91" s="698"/>
      <c r="AC91" s="698"/>
      <c r="AD91" s="698"/>
      <c r="AE91" s="698"/>
      <c r="AF91" s="243" t="s">
        <v>227</v>
      </c>
      <c r="AG91" s="244"/>
      <c r="AH91" s="244"/>
      <c r="AI91" s="245"/>
      <c r="AJ91" s="709" t="s">
        <v>232</v>
      </c>
      <c r="AK91" s="700"/>
      <c r="AL91" s="700"/>
      <c r="AM91" s="701"/>
      <c r="AN91" s="243">
        <v>380</v>
      </c>
      <c r="AO91" s="244"/>
      <c r="AP91" s="245"/>
      <c r="AQ91" s="243" t="s">
        <v>218</v>
      </c>
      <c r="AR91" s="244"/>
      <c r="AS91" s="244"/>
      <c r="AT91" s="244"/>
      <c r="AU91" s="244"/>
      <c r="AV91" s="244"/>
      <c r="AW91" s="245"/>
      <c r="AX91" s="240" t="s">
        <v>215</v>
      </c>
      <c r="AY91" s="241"/>
      <c r="AZ91" s="241"/>
      <c r="BA91" s="241"/>
      <c r="BB91" s="241"/>
      <c r="BC91" s="241"/>
      <c r="BD91" s="242"/>
      <c r="BE91" s="243" t="s">
        <v>228</v>
      </c>
      <c r="BF91" s="244"/>
      <c r="BG91" s="244"/>
      <c r="BH91" s="244"/>
      <c r="BI91" s="245"/>
    </row>
    <row r="92" spans="1:61" ht="62.25" customHeight="1">
      <c r="A92" s="144" t="s">
        <v>38</v>
      </c>
      <c r="B92" s="136"/>
      <c r="C92" s="136"/>
      <c r="D92" s="136"/>
      <c r="E92" s="136"/>
      <c r="F92" s="136"/>
      <c r="G92" s="757"/>
      <c r="H92" s="757"/>
      <c r="I92" s="757"/>
      <c r="J92" s="757"/>
      <c r="K92" s="757"/>
      <c r="L92" s="757"/>
      <c r="M92" s="220" t="s">
        <v>235</v>
      </c>
      <c r="N92" s="718"/>
      <c r="O92" s="718"/>
      <c r="P92" s="718"/>
      <c r="Q92" s="718"/>
      <c r="R92" s="718"/>
      <c r="S92" s="718"/>
      <c r="T92" s="718"/>
      <c r="U92" s="718"/>
      <c r="V92" s="718"/>
      <c r="W92" s="718"/>
      <c r="X92" s="718"/>
      <c r="Y92" s="718"/>
      <c r="Z92" s="718"/>
      <c r="AA92" s="718"/>
      <c r="AB92" s="718"/>
      <c r="AC92" s="718"/>
      <c r="AD92" s="718"/>
      <c r="AE92" s="718"/>
      <c r="AF92" s="718"/>
      <c r="AG92" s="718"/>
      <c r="AH92" s="718"/>
      <c r="AI92" s="718"/>
      <c r="AJ92" s="718"/>
      <c r="AK92" s="718"/>
      <c r="AL92" s="718"/>
      <c r="AM92" s="718"/>
      <c r="AN92" s="718"/>
      <c r="AO92" s="718"/>
      <c r="AP92" s="718"/>
      <c r="AQ92" s="718"/>
      <c r="AR92" s="718"/>
      <c r="AS92" s="718"/>
      <c r="AT92" s="718"/>
      <c r="AU92" s="718"/>
      <c r="AV92" s="718"/>
      <c r="AW92" s="718"/>
      <c r="AX92" s="718"/>
      <c r="AY92" s="718"/>
      <c r="AZ92" s="718"/>
      <c r="BA92" s="718"/>
      <c r="BB92" s="718"/>
      <c r="BC92" s="718"/>
      <c r="BD92" s="718"/>
      <c r="BE92" s="718"/>
      <c r="BF92" s="718"/>
      <c r="BG92" s="718"/>
      <c r="BH92" s="718"/>
      <c r="BI92" s="719"/>
    </row>
    <row r="93" spans="1:61">
      <c r="A93" s="136" t="s">
        <v>38</v>
      </c>
      <c r="B93" s="136"/>
      <c r="C93" s="136"/>
      <c r="D93" s="136"/>
      <c r="E93" s="136"/>
      <c r="F93" s="136"/>
      <c r="G93" s="757" t="s">
        <v>38</v>
      </c>
      <c r="H93" s="757"/>
      <c r="I93" s="757"/>
      <c r="J93" s="757"/>
      <c r="K93" s="757"/>
      <c r="L93" s="757"/>
      <c r="M93" s="698">
        <v>380</v>
      </c>
      <c r="N93" s="698"/>
      <c r="O93" s="698"/>
      <c r="P93" s="698" t="s">
        <v>218</v>
      </c>
      <c r="Q93" s="698"/>
      <c r="R93" s="698"/>
      <c r="S93" s="698"/>
      <c r="T93" s="698"/>
      <c r="U93" s="698"/>
      <c r="V93" s="698"/>
      <c r="W93" s="698"/>
      <c r="X93" s="698" t="s">
        <v>220</v>
      </c>
      <c r="Y93" s="698"/>
      <c r="Z93" s="698"/>
      <c r="AA93" s="698"/>
      <c r="AB93" s="698"/>
      <c r="AC93" s="698"/>
      <c r="AD93" s="698"/>
      <c r="AE93" s="698"/>
      <c r="AF93" s="243" t="s">
        <v>227</v>
      </c>
      <c r="AG93" s="244"/>
      <c r="AH93" s="244"/>
      <c r="AI93" s="245"/>
      <c r="AJ93" s="709" t="s">
        <v>236</v>
      </c>
      <c r="AK93" s="700"/>
      <c r="AL93" s="700"/>
      <c r="AM93" s="701"/>
      <c r="AN93" s="243">
        <v>380</v>
      </c>
      <c r="AO93" s="244"/>
      <c r="AP93" s="245"/>
      <c r="AQ93" s="243" t="s">
        <v>218</v>
      </c>
      <c r="AR93" s="244"/>
      <c r="AS93" s="244"/>
      <c r="AT93" s="244"/>
      <c r="AU93" s="244"/>
      <c r="AV93" s="244"/>
      <c r="AW93" s="245"/>
      <c r="AX93" s="240" t="s">
        <v>220</v>
      </c>
      <c r="AY93" s="241"/>
      <c r="AZ93" s="241"/>
      <c r="BA93" s="241"/>
      <c r="BB93" s="241"/>
      <c r="BC93" s="241"/>
      <c r="BD93" s="242"/>
      <c r="BE93" s="243" t="s">
        <v>228</v>
      </c>
      <c r="BF93" s="244"/>
      <c r="BG93" s="244"/>
      <c r="BH93" s="244"/>
      <c r="BI93" s="245"/>
    </row>
    <row r="94" spans="1:61" ht="29.25" customHeight="1">
      <c r="A94" s="144" t="s">
        <v>38</v>
      </c>
      <c r="B94" s="136"/>
      <c r="C94" s="136"/>
      <c r="D94" s="136"/>
      <c r="E94" s="136"/>
      <c r="F94" s="136"/>
      <c r="G94" s="757"/>
      <c r="H94" s="757"/>
      <c r="I94" s="757"/>
      <c r="J94" s="757"/>
      <c r="K94" s="757"/>
      <c r="L94" s="757"/>
      <c r="M94" s="220" t="s">
        <v>316</v>
      </c>
      <c r="N94" s="718"/>
      <c r="O94" s="718"/>
      <c r="P94" s="718"/>
      <c r="Q94" s="718"/>
      <c r="R94" s="718"/>
      <c r="S94" s="718"/>
      <c r="T94" s="718"/>
      <c r="U94" s="718"/>
      <c r="V94" s="718"/>
      <c r="W94" s="718"/>
      <c r="X94" s="718"/>
      <c r="Y94" s="718"/>
      <c r="Z94" s="718"/>
      <c r="AA94" s="718"/>
      <c r="AB94" s="718"/>
      <c r="AC94" s="718"/>
      <c r="AD94" s="718"/>
      <c r="AE94" s="718"/>
      <c r="AF94" s="718"/>
      <c r="AG94" s="718"/>
      <c r="AH94" s="718"/>
      <c r="AI94" s="718"/>
      <c r="AJ94" s="718"/>
      <c r="AK94" s="718"/>
      <c r="AL94" s="718"/>
      <c r="AM94" s="718"/>
      <c r="AN94" s="718"/>
      <c r="AO94" s="718"/>
      <c r="AP94" s="718"/>
      <c r="AQ94" s="718"/>
      <c r="AR94" s="718"/>
      <c r="AS94" s="718"/>
      <c r="AT94" s="718"/>
      <c r="AU94" s="718"/>
      <c r="AV94" s="718"/>
      <c r="AW94" s="718"/>
      <c r="AX94" s="718"/>
      <c r="AY94" s="718"/>
      <c r="AZ94" s="718"/>
      <c r="BA94" s="718"/>
      <c r="BB94" s="718"/>
      <c r="BC94" s="718"/>
      <c r="BD94" s="718"/>
      <c r="BE94" s="718"/>
      <c r="BF94" s="718"/>
      <c r="BG94" s="718"/>
      <c r="BH94" s="718"/>
      <c r="BI94" s="719"/>
    </row>
    <row r="95" spans="1:61">
      <c r="A95" s="135" t="s">
        <v>38</v>
      </c>
      <c r="B95" s="135"/>
      <c r="C95" s="135"/>
      <c r="D95" s="135"/>
      <c r="E95" s="135"/>
      <c r="F95" s="135"/>
      <c r="G95" s="747" t="s">
        <v>38</v>
      </c>
      <c r="H95" s="747"/>
      <c r="I95" s="747"/>
      <c r="J95" s="747"/>
      <c r="K95" s="747"/>
      <c r="L95" s="747"/>
      <c r="M95" s="243">
        <v>380</v>
      </c>
      <c r="N95" s="244"/>
      <c r="O95" s="245"/>
      <c r="P95" s="243" t="s">
        <v>41</v>
      </c>
      <c r="Q95" s="244"/>
      <c r="R95" s="244"/>
      <c r="S95" s="244"/>
      <c r="T95" s="244"/>
      <c r="U95" s="244"/>
      <c r="V95" s="244"/>
      <c r="W95" s="245"/>
      <c r="X95" s="243" t="s">
        <v>216</v>
      </c>
      <c r="Y95" s="244"/>
      <c r="Z95" s="244"/>
      <c r="AA95" s="244"/>
      <c r="AB95" s="244"/>
      <c r="AC95" s="244"/>
      <c r="AD95" s="244"/>
      <c r="AE95" s="245"/>
      <c r="AF95" s="243">
        <v>2</v>
      </c>
      <c r="AG95" s="244"/>
      <c r="AH95" s="244"/>
      <c r="AI95" s="245"/>
      <c r="AJ95" s="237" t="s">
        <v>266</v>
      </c>
      <c r="AK95" s="238"/>
      <c r="AL95" s="238"/>
      <c r="AM95" s="239"/>
      <c r="AN95" s="240">
        <v>220</v>
      </c>
      <c r="AO95" s="241"/>
      <c r="AP95" s="242"/>
      <c r="AQ95" s="240" t="s">
        <v>41</v>
      </c>
      <c r="AR95" s="241"/>
      <c r="AS95" s="241"/>
      <c r="AT95" s="241"/>
      <c r="AU95" s="241"/>
      <c r="AV95" s="241"/>
      <c r="AW95" s="242"/>
      <c r="AX95" s="240" t="s">
        <v>267</v>
      </c>
      <c r="AY95" s="241"/>
      <c r="AZ95" s="241"/>
      <c r="BA95" s="241"/>
      <c r="BB95" s="241"/>
      <c r="BC95" s="241"/>
      <c r="BD95" s="242"/>
      <c r="BE95" s="243"/>
      <c r="BF95" s="244"/>
      <c r="BG95" s="244"/>
      <c r="BH95" s="244"/>
      <c r="BI95" s="245"/>
    </row>
    <row r="96" spans="1:61" ht="24.75" customHeight="1">
      <c r="A96" s="146" t="s">
        <v>38</v>
      </c>
      <c r="B96" s="135"/>
      <c r="C96" s="135"/>
      <c r="D96" s="135"/>
      <c r="E96" s="135"/>
      <c r="F96" s="135"/>
      <c r="G96" s="747"/>
      <c r="H96" s="747"/>
      <c r="I96" s="747"/>
      <c r="J96" s="747"/>
      <c r="K96" s="747"/>
      <c r="L96" s="747"/>
      <c r="M96" s="716" t="s">
        <v>317</v>
      </c>
      <c r="N96" s="221"/>
      <c r="O96" s="221"/>
      <c r="P96" s="221"/>
      <c r="Q96" s="221"/>
      <c r="R96" s="221"/>
      <c r="S96" s="221"/>
      <c r="T96" s="221"/>
      <c r="U96" s="221"/>
      <c r="V96" s="221"/>
      <c r="W96" s="221"/>
      <c r="X96" s="221"/>
      <c r="Y96" s="221"/>
      <c r="Z96" s="221"/>
      <c r="AA96" s="221"/>
      <c r="AB96" s="221"/>
      <c r="AC96" s="221"/>
      <c r="AD96" s="221"/>
      <c r="AE96" s="221"/>
      <c r="AF96" s="221"/>
      <c r="AG96" s="221"/>
      <c r="AH96" s="221"/>
      <c r="AI96" s="221"/>
      <c r="AJ96" s="221"/>
      <c r="AK96" s="221"/>
      <c r="AL96" s="221"/>
      <c r="AM96" s="221"/>
      <c r="AN96" s="221"/>
      <c r="AO96" s="221"/>
      <c r="AP96" s="221"/>
      <c r="AQ96" s="221"/>
      <c r="AR96" s="221"/>
      <c r="AS96" s="221"/>
      <c r="AT96" s="221"/>
      <c r="AU96" s="221"/>
      <c r="AV96" s="221"/>
      <c r="AW96" s="221"/>
      <c r="AX96" s="221"/>
      <c r="AY96" s="221"/>
      <c r="AZ96" s="221"/>
      <c r="BA96" s="221"/>
      <c r="BB96" s="221"/>
      <c r="BC96" s="221"/>
      <c r="BD96" s="221"/>
      <c r="BE96" s="221"/>
      <c r="BF96" s="221"/>
      <c r="BG96" s="221"/>
      <c r="BH96" s="221"/>
      <c r="BI96" s="222"/>
    </row>
    <row r="97" spans="1:61">
      <c r="A97" s="135" t="s">
        <v>206</v>
      </c>
      <c r="B97" s="135"/>
      <c r="C97" s="135"/>
      <c r="D97" s="135"/>
      <c r="E97" s="135"/>
      <c r="F97" s="135"/>
      <c r="G97" s="747" t="s">
        <v>206</v>
      </c>
      <c r="H97" s="747"/>
      <c r="I97" s="747"/>
      <c r="J97" s="747"/>
      <c r="K97" s="747"/>
      <c r="L97" s="747"/>
      <c r="M97" s="243">
        <v>380</v>
      </c>
      <c r="N97" s="244"/>
      <c r="O97" s="245"/>
      <c r="P97" s="243" t="s">
        <v>144</v>
      </c>
      <c r="Q97" s="244"/>
      <c r="R97" s="244"/>
      <c r="S97" s="244"/>
      <c r="T97" s="244"/>
      <c r="U97" s="244"/>
      <c r="V97" s="244"/>
      <c r="W97" s="245"/>
      <c r="X97" s="243" t="s">
        <v>207</v>
      </c>
      <c r="Y97" s="244"/>
      <c r="Z97" s="244"/>
      <c r="AA97" s="244"/>
      <c r="AB97" s="244"/>
      <c r="AC97" s="244"/>
      <c r="AD97" s="244"/>
      <c r="AE97" s="245"/>
      <c r="AF97" s="243"/>
      <c r="AG97" s="244"/>
      <c r="AH97" s="244"/>
      <c r="AI97" s="245"/>
      <c r="AJ97" s="237">
        <v>1.3</v>
      </c>
      <c r="AK97" s="238"/>
      <c r="AL97" s="238"/>
      <c r="AM97" s="239"/>
      <c r="AN97" s="240">
        <v>220</v>
      </c>
      <c r="AO97" s="241"/>
      <c r="AP97" s="242"/>
      <c r="AQ97" s="240" t="s">
        <v>208</v>
      </c>
      <c r="AR97" s="241"/>
      <c r="AS97" s="241"/>
      <c r="AT97" s="241"/>
      <c r="AU97" s="241"/>
      <c r="AV97" s="241"/>
      <c r="AW97" s="242"/>
      <c r="AX97" s="240" t="s">
        <v>209</v>
      </c>
      <c r="AY97" s="241"/>
      <c r="AZ97" s="241"/>
      <c r="BA97" s="241"/>
      <c r="BB97" s="241"/>
      <c r="BC97" s="241"/>
      <c r="BD97" s="242"/>
      <c r="BE97" s="243"/>
      <c r="BF97" s="244"/>
      <c r="BG97" s="244"/>
      <c r="BH97" s="244"/>
      <c r="BI97" s="245"/>
    </row>
    <row r="98" spans="1:61" ht="27" customHeight="1">
      <c r="A98" s="146" t="s">
        <v>206</v>
      </c>
      <c r="B98" s="135"/>
      <c r="C98" s="135"/>
      <c r="D98" s="135"/>
      <c r="E98" s="135"/>
      <c r="F98" s="135"/>
      <c r="G98" s="747"/>
      <c r="H98" s="747"/>
      <c r="I98" s="747"/>
      <c r="J98" s="747"/>
      <c r="K98" s="747"/>
      <c r="L98" s="747"/>
      <c r="M98" s="716" t="s">
        <v>210</v>
      </c>
      <c r="N98" s="221"/>
      <c r="O98" s="221"/>
      <c r="P98" s="221"/>
      <c r="Q98" s="221"/>
      <c r="R98" s="221"/>
      <c r="S98" s="221"/>
      <c r="T98" s="221"/>
      <c r="U98" s="221"/>
      <c r="V98" s="221"/>
      <c r="W98" s="221"/>
      <c r="X98" s="221"/>
      <c r="Y98" s="221"/>
      <c r="Z98" s="221"/>
      <c r="AA98" s="221"/>
      <c r="AB98" s="221"/>
      <c r="AC98" s="221"/>
      <c r="AD98" s="221"/>
      <c r="AE98" s="221"/>
      <c r="AF98" s="221"/>
      <c r="AG98" s="221"/>
      <c r="AH98" s="221"/>
      <c r="AI98" s="221"/>
      <c r="AJ98" s="221"/>
      <c r="AK98" s="221"/>
      <c r="AL98" s="221"/>
      <c r="AM98" s="221"/>
      <c r="AN98" s="221"/>
      <c r="AO98" s="221"/>
      <c r="AP98" s="221"/>
      <c r="AQ98" s="221"/>
      <c r="AR98" s="221"/>
      <c r="AS98" s="221"/>
      <c r="AT98" s="221"/>
      <c r="AU98" s="221"/>
      <c r="AV98" s="221"/>
      <c r="AW98" s="221"/>
      <c r="AX98" s="221"/>
      <c r="AY98" s="221"/>
      <c r="AZ98" s="221"/>
      <c r="BA98" s="221"/>
      <c r="BB98" s="221"/>
      <c r="BC98" s="221"/>
      <c r="BD98" s="221"/>
      <c r="BE98" s="221"/>
      <c r="BF98" s="221"/>
      <c r="BG98" s="221"/>
      <c r="BH98" s="221"/>
      <c r="BI98" s="222"/>
    </row>
    <row r="99" spans="1:61" ht="18" customHeight="1">
      <c r="A99" s="136" t="s">
        <v>21</v>
      </c>
      <c r="B99" s="136"/>
      <c r="C99" s="136"/>
      <c r="D99" s="136"/>
      <c r="E99" s="136"/>
      <c r="F99" s="136"/>
      <c r="G99" s="757" t="s">
        <v>21</v>
      </c>
      <c r="H99" s="757"/>
      <c r="I99" s="757"/>
      <c r="J99" s="757"/>
      <c r="K99" s="757"/>
      <c r="L99" s="757"/>
      <c r="M99" s="698"/>
      <c r="N99" s="698"/>
      <c r="O99" s="698"/>
      <c r="P99" s="698" t="s">
        <v>222</v>
      </c>
      <c r="Q99" s="698"/>
      <c r="R99" s="698"/>
      <c r="S99" s="698"/>
      <c r="T99" s="698"/>
      <c r="U99" s="698"/>
      <c r="V99" s="698"/>
      <c r="W99" s="698"/>
      <c r="X99" s="698" t="s">
        <v>143</v>
      </c>
      <c r="Y99" s="698"/>
      <c r="Z99" s="698"/>
      <c r="AA99" s="698"/>
      <c r="AB99" s="698"/>
      <c r="AC99" s="698"/>
      <c r="AD99" s="698"/>
      <c r="AE99" s="698"/>
      <c r="AF99" s="243"/>
      <c r="AG99" s="244"/>
      <c r="AH99" s="244"/>
      <c r="AI99" s="245"/>
      <c r="AJ99" s="709">
        <v>1</v>
      </c>
      <c r="AK99" s="700"/>
      <c r="AL99" s="700"/>
      <c r="AM99" s="701"/>
      <c r="AN99" s="243">
        <v>380</v>
      </c>
      <c r="AO99" s="244"/>
      <c r="AP99" s="245"/>
      <c r="AQ99" s="243" t="s">
        <v>142</v>
      </c>
      <c r="AR99" s="244"/>
      <c r="AS99" s="244"/>
      <c r="AT99" s="244"/>
      <c r="AU99" s="244"/>
      <c r="AV99" s="244"/>
      <c r="AW99" s="245"/>
      <c r="AX99" s="240" t="s">
        <v>92</v>
      </c>
      <c r="AY99" s="241"/>
      <c r="AZ99" s="241"/>
      <c r="BA99" s="241"/>
      <c r="BB99" s="241"/>
      <c r="BC99" s="241"/>
      <c r="BD99" s="242"/>
      <c r="BE99" s="243"/>
      <c r="BF99" s="244"/>
      <c r="BG99" s="244"/>
      <c r="BH99" s="244"/>
      <c r="BI99" s="245"/>
    </row>
    <row r="100" spans="1:61" ht="18" customHeight="1">
      <c r="A100" s="144" t="s">
        <v>21</v>
      </c>
      <c r="B100" s="136"/>
      <c r="C100" s="136"/>
      <c r="D100" s="136"/>
      <c r="E100" s="136"/>
      <c r="F100" s="136"/>
      <c r="G100" s="757"/>
      <c r="H100" s="757"/>
      <c r="I100" s="757"/>
      <c r="J100" s="757"/>
      <c r="K100" s="757"/>
      <c r="L100" s="757"/>
      <c r="M100" s="717" t="s">
        <v>318</v>
      </c>
      <c r="N100" s="718"/>
      <c r="O100" s="718"/>
      <c r="P100" s="718"/>
      <c r="Q100" s="718"/>
      <c r="R100" s="718"/>
      <c r="S100" s="718"/>
      <c r="T100" s="718"/>
      <c r="U100" s="718"/>
      <c r="V100" s="718"/>
      <c r="W100" s="718"/>
      <c r="X100" s="718"/>
      <c r="Y100" s="718"/>
      <c r="Z100" s="718"/>
      <c r="AA100" s="718"/>
      <c r="AB100" s="718"/>
      <c r="AC100" s="718"/>
      <c r="AD100" s="718"/>
      <c r="AE100" s="718"/>
      <c r="AF100" s="718"/>
      <c r="AG100" s="718"/>
      <c r="AH100" s="718"/>
      <c r="AI100" s="718"/>
      <c r="AJ100" s="718"/>
      <c r="AK100" s="718"/>
      <c r="AL100" s="718"/>
      <c r="AM100" s="718"/>
      <c r="AN100" s="718"/>
      <c r="AO100" s="718"/>
      <c r="AP100" s="718"/>
      <c r="AQ100" s="718"/>
      <c r="AR100" s="718"/>
      <c r="AS100" s="718"/>
      <c r="AT100" s="718"/>
      <c r="AU100" s="718"/>
      <c r="AV100" s="718"/>
      <c r="AW100" s="718"/>
      <c r="AX100" s="718"/>
      <c r="AY100" s="718"/>
      <c r="AZ100" s="718"/>
      <c r="BA100" s="718"/>
      <c r="BB100" s="718"/>
      <c r="BC100" s="718"/>
      <c r="BD100" s="718"/>
      <c r="BE100" s="718"/>
      <c r="BF100" s="718"/>
      <c r="BG100" s="718"/>
      <c r="BH100" s="718"/>
      <c r="BI100" s="719"/>
    </row>
    <row r="101" spans="1:61" ht="18" customHeight="1">
      <c r="A101" s="136" t="s">
        <v>21</v>
      </c>
      <c r="B101" s="136"/>
      <c r="C101" s="136"/>
      <c r="D101" s="136"/>
      <c r="E101" s="136"/>
      <c r="F101" s="136"/>
      <c r="G101" s="757" t="s">
        <v>21</v>
      </c>
      <c r="H101" s="757"/>
      <c r="I101" s="757"/>
      <c r="J101" s="757"/>
      <c r="K101" s="757"/>
      <c r="L101" s="757"/>
      <c r="M101" s="698">
        <v>380</v>
      </c>
      <c r="N101" s="698"/>
      <c r="O101" s="698"/>
      <c r="P101" s="698" t="s">
        <v>143</v>
      </c>
      <c r="Q101" s="698"/>
      <c r="R101" s="698"/>
      <c r="S101" s="698"/>
      <c r="T101" s="698"/>
      <c r="U101" s="698"/>
      <c r="V101" s="698"/>
      <c r="W101" s="698"/>
      <c r="X101" s="698" t="s">
        <v>222</v>
      </c>
      <c r="Y101" s="698"/>
      <c r="Z101" s="698"/>
      <c r="AA101" s="698"/>
      <c r="AB101" s="698"/>
      <c r="AC101" s="698"/>
      <c r="AD101" s="698"/>
      <c r="AE101" s="698"/>
      <c r="AF101" s="243" t="s">
        <v>223</v>
      </c>
      <c r="AG101" s="244"/>
      <c r="AH101" s="244"/>
      <c r="AI101" s="245"/>
      <c r="AJ101" s="709">
        <v>1.05</v>
      </c>
      <c r="AK101" s="700"/>
      <c r="AL101" s="700"/>
      <c r="AM101" s="701"/>
      <c r="AN101" s="243">
        <v>380</v>
      </c>
      <c r="AO101" s="244"/>
      <c r="AP101" s="245"/>
      <c r="AQ101" s="243" t="s">
        <v>142</v>
      </c>
      <c r="AR101" s="244"/>
      <c r="AS101" s="244"/>
      <c r="AT101" s="244"/>
      <c r="AU101" s="244"/>
      <c r="AV101" s="244"/>
      <c r="AW101" s="245"/>
      <c r="AX101" s="240" t="s">
        <v>92</v>
      </c>
      <c r="AY101" s="241"/>
      <c r="AZ101" s="241"/>
      <c r="BA101" s="241"/>
      <c r="BB101" s="241"/>
      <c r="BC101" s="241"/>
      <c r="BD101" s="242"/>
      <c r="BE101" s="243"/>
      <c r="BF101" s="244"/>
      <c r="BG101" s="244"/>
      <c r="BH101" s="244"/>
      <c r="BI101" s="245"/>
    </row>
    <row r="102" spans="1:61" ht="18" customHeight="1">
      <c r="A102" s="144" t="s">
        <v>21</v>
      </c>
      <c r="B102" s="136"/>
      <c r="C102" s="136"/>
      <c r="D102" s="136"/>
      <c r="E102" s="136"/>
      <c r="F102" s="136"/>
      <c r="G102" s="757"/>
      <c r="H102" s="757"/>
      <c r="I102" s="757"/>
      <c r="J102" s="757"/>
      <c r="K102" s="757"/>
      <c r="L102" s="757"/>
      <c r="M102" s="716" t="s">
        <v>265</v>
      </c>
      <c r="N102" s="718"/>
      <c r="O102" s="718"/>
      <c r="P102" s="718"/>
      <c r="Q102" s="718"/>
      <c r="R102" s="718"/>
      <c r="S102" s="718"/>
      <c r="T102" s="718"/>
      <c r="U102" s="718"/>
      <c r="V102" s="718"/>
      <c r="W102" s="718"/>
      <c r="X102" s="718"/>
      <c r="Y102" s="718"/>
      <c r="Z102" s="718"/>
      <c r="AA102" s="718"/>
      <c r="AB102" s="718"/>
      <c r="AC102" s="718"/>
      <c r="AD102" s="718"/>
      <c r="AE102" s="718"/>
      <c r="AF102" s="718"/>
      <c r="AG102" s="718"/>
      <c r="AH102" s="718"/>
      <c r="AI102" s="718"/>
      <c r="AJ102" s="718"/>
      <c r="AK102" s="718"/>
      <c r="AL102" s="718"/>
      <c r="AM102" s="718"/>
      <c r="AN102" s="718"/>
      <c r="AO102" s="718"/>
      <c r="AP102" s="718"/>
      <c r="AQ102" s="718"/>
      <c r="AR102" s="718"/>
      <c r="AS102" s="718"/>
      <c r="AT102" s="718"/>
      <c r="AU102" s="718"/>
      <c r="AV102" s="718"/>
      <c r="AW102" s="718"/>
      <c r="AX102" s="718"/>
      <c r="AY102" s="718"/>
      <c r="AZ102" s="718"/>
      <c r="BA102" s="718"/>
      <c r="BB102" s="718"/>
      <c r="BC102" s="718"/>
      <c r="BD102" s="718"/>
      <c r="BE102" s="718"/>
      <c r="BF102" s="718"/>
      <c r="BG102" s="718"/>
      <c r="BH102" s="718"/>
      <c r="BI102" s="719"/>
    </row>
    <row r="103" spans="1:61" ht="18" customHeight="1">
      <c r="A103" s="135" t="s">
        <v>21</v>
      </c>
      <c r="B103" s="135"/>
      <c r="C103" s="135"/>
      <c r="D103" s="135"/>
      <c r="E103" s="135"/>
      <c r="F103" s="135"/>
      <c r="G103" s="747" t="s">
        <v>21</v>
      </c>
      <c r="H103" s="747"/>
      <c r="I103" s="747"/>
      <c r="J103" s="747"/>
      <c r="K103" s="747"/>
      <c r="L103" s="747"/>
      <c r="M103" s="243">
        <v>380</v>
      </c>
      <c r="N103" s="244"/>
      <c r="O103" s="245"/>
      <c r="P103" s="243" t="s">
        <v>222</v>
      </c>
      <c r="Q103" s="244"/>
      <c r="R103" s="244"/>
      <c r="S103" s="244"/>
      <c r="T103" s="244"/>
      <c r="U103" s="244"/>
      <c r="V103" s="244"/>
      <c r="W103" s="245"/>
      <c r="X103" s="243" t="s">
        <v>143</v>
      </c>
      <c r="Y103" s="244"/>
      <c r="Z103" s="244"/>
      <c r="AA103" s="244"/>
      <c r="AB103" s="244"/>
      <c r="AC103" s="244"/>
      <c r="AD103" s="244"/>
      <c r="AE103" s="245"/>
      <c r="AF103" s="243"/>
      <c r="AG103" s="244"/>
      <c r="AH103" s="244"/>
      <c r="AI103" s="245"/>
      <c r="AJ103" s="709">
        <v>1.1000000000000001</v>
      </c>
      <c r="AK103" s="700"/>
      <c r="AL103" s="700"/>
      <c r="AM103" s="701"/>
      <c r="AN103" s="243">
        <v>380</v>
      </c>
      <c r="AO103" s="244"/>
      <c r="AP103" s="245"/>
      <c r="AQ103" s="243" t="s">
        <v>263</v>
      </c>
      <c r="AR103" s="244"/>
      <c r="AS103" s="244"/>
      <c r="AT103" s="244"/>
      <c r="AU103" s="244"/>
      <c r="AV103" s="244"/>
      <c r="AW103" s="245"/>
      <c r="AX103" s="240" t="s">
        <v>264</v>
      </c>
      <c r="AY103" s="241"/>
      <c r="AZ103" s="241"/>
      <c r="BA103" s="241"/>
      <c r="BB103" s="241"/>
      <c r="BC103" s="241"/>
      <c r="BD103" s="242"/>
      <c r="BE103" s="243"/>
      <c r="BF103" s="244"/>
      <c r="BG103" s="244"/>
      <c r="BH103" s="244"/>
      <c r="BI103" s="245"/>
    </row>
    <row r="104" spans="1:61" ht="18" customHeight="1">
      <c r="A104" s="146" t="s">
        <v>21</v>
      </c>
      <c r="B104" s="135"/>
      <c r="C104" s="135"/>
      <c r="D104" s="135"/>
      <c r="E104" s="135"/>
      <c r="F104" s="135"/>
      <c r="G104" s="747"/>
      <c r="H104" s="747"/>
      <c r="I104" s="747"/>
      <c r="J104" s="747"/>
      <c r="K104" s="747"/>
      <c r="L104" s="747"/>
      <c r="M104" s="716" t="s">
        <v>265</v>
      </c>
      <c r="N104" s="718"/>
      <c r="O104" s="718"/>
      <c r="P104" s="718"/>
      <c r="Q104" s="718"/>
      <c r="R104" s="718"/>
      <c r="S104" s="718"/>
      <c r="T104" s="718"/>
      <c r="U104" s="718"/>
      <c r="V104" s="718"/>
      <c r="W104" s="718"/>
      <c r="X104" s="718"/>
      <c r="Y104" s="718"/>
      <c r="Z104" s="718"/>
      <c r="AA104" s="718"/>
      <c r="AB104" s="718"/>
      <c r="AC104" s="718"/>
      <c r="AD104" s="718"/>
      <c r="AE104" s="718"/>
      <c r="AF104" s="718"/>
      <c r="AG104" s="718"/>
      <c r="AH104" s="718"/>
      <c r="AI104" s="718"/>
      <c r="AJ104" s="718"/>
      <c r="AK104" s="718"/>
      <c r="AL104" s="718"/>
      <c r="AM104" s="718"/>
      <c r="AN104" s="718"/>
      <c r="AO104" s="718"/>
      <c r="AP104" s="718"/>
      <c r="AQ104" s="718"/>
      <c r="AR104" s="718"/>
      <c r="AS104" s="718"/>
      <c r="AT104" s="718"/>
      <c r="AU104" s="718"/>
      <c r="AV104" s="718"/>
      <c r="AW104" s="718"/>
      <c r="AX104" s="718"/>
      <c r="AY104" s="718"/>
      <c r="AZ104" s="718"/>
      <c r="BA104" s="718"/>
      <c r="BB104" s="718"/>
      <c r="BC104" s="718"/>
      <c r="BD104" s="718"/>
      <c r="BE104" s="718"/>
      <c r="BF104" s="718"/>
      <c r="BG104" s="718"/>
      <c r="BH104" s="718"/>
      <c r="BI104" s="719"/>
    </row>
    <row r="105" spans="1:61" ht="18" customHeight="1">
      <c r="A105" s="136" t="s">
        <v>21</v>
      </c>
      <c r="B105" s="136"/>
      <c r="C105" s="136"/>
      <c r="D105" s="136"/>
      <c r="E105" s="136"/>
      <c r="F105" s="136"/>
      <c r="G105" s="757" t="s">
        <v>21</v>
      </c>
      <c r="H105" s="757"/>
      <c r="I105" s="757"/>
      <c r="J105" s="757"/>
      <c r="K105" s="757"/>
      <c r="L105" s="757"/>
      <c r="M105" s="243">
        <v>220</v>
      </c>
      <c r="N105" s="244"/>
      <c r="O105" s="244"/>
      <c r="P105" s="243" t="s">
        <v>92</v>
      </c>
      <c r="Q105" s="244"/>
      <c r="R105" s="244"/>
      <c r="S105" s="244"/>
      <c r="T105" s="244"/>
      <c r="U105" s="244"/>
      <c r="V105" s="244"/>
      <c r="W105" s="245"/>
      <c r="X105" s="243" t="s">
        <v>257</v>
      </c>
      <c r="Y105" s="244"/>
      <c r="Z105" s="244"/>
      <c r="AA105" s="244"/>
      <c r="AB105" s="244"/>
      <c r="AC105" s="244"/>
      <c r="AD105" s="244"/>
      <c r="AE105" s="245"/>
      <c r="AF105" s="244"/>
      <c r="AG105" s="244"/>
      <c r="AH105" s="244"/>
      <c r="AI105" s="245"/>
      <c r="AJ105" s="709">
        <v>1.23</v>
      </c>
      <c r="AK105" s="700"/>
      <c r="AL105" s="700"/>
      <c r="AM105" s="701"/>
      <c r="AN105" s="243">
        <v>220</v>
      </c>
      <c r="AO105" s="244"/>
      <c r="AP105" s="245"/>
      <c r="AQ105" s="243" t="s">
        <v>258</v>
      </c>
      <c r="AR105" s="244"/>
      <c r="AS105" s="244"/>
      <c r="AT105" s="244"/>
      <c r="AU105" s="244"/>
      <c r="AV105" s="244"/>
      <c r="AW105" s="245"/>
      <c r="AX105" s="240" t="s">
        <v>259</v>
      </c>
      <c r="AY105" s="241"/>
      <c r="AZ105" s="241"/>
      <c r="BA105" s="241"/>
      <c r="BB105" s="241"/>
      <c r="BC105" s="241"/>
      <c r="BD105" s="242"/>
      <c r="BE105" s="243"/>
      <c r="BF105" s="244"/>
      <c r="BG105" s="244"/>
      <c r="BH105" s="244"/>
      <c r="BI105" s="245"/>
    </row>
    <row r="106" spans="1:61" ht="35.25" customHeight="1">
      <c r="A106" s="144" t="s">
        <v>21</v>
      </c>
      <c r="B106" s="136"/>
      <c r="C106" s="136"/>
      <c r="D106" s="136"/>
      <c r="E106" s="136"/>
      <c r="F106" s="136"/>
      <c r="G106" s="757"/>
      <c r="H106" s="757"/>
      <c r="I106" s="757"/>
      <c r="J106" s="757"/>
      <c r="K106" s="757"/>
      <c r="L106" s="757"/>
      <c r="M106" s="716" t="s">
        <v>260</v>
      </c>
      <c r="N106" s="718"/>
      <c r="O106" s="718"/>
      <c r="P106" s="718"/>
      <c r="Q106" s="718"/>
      <c r="R106" s="718"/>
      <c r="S106" s="718"/>
      <c r="T106" s="718"/>
      <c r="U106" s="718"/>
      <c r="V106" s="718"/>
      <c r="W106" s="718"/>
      <c r="X106" s="718"/>
      <c r="Y106" s="718"/>
      <c r="Z106" s="718"/>
      <c r="AA106" s="718"/>
      <c r="AB106" s="718"/>
      <c r="AC106" s="718"/>
      <c r="AD106" s="718"/>
      <c r="AE106" s="718"/>
      <c r="AF106" s="718"/>
      <c r="AG106" s="718"/>
      <c r="AH106" s="718"/>
      <c r="AI106" s="718"/>
      <c r="AJ106" s="718"/>
      <c r="AK106" s="718"/>
      <c r="AL106" s="718"/>
      <c r="AM106" s="718"/>
      <c r="AN106" s="718"/>
      <c r="AO106" s="718"/>
      <c r="AP106" s="718"/>
      <c r="AQ106" s="718"/>
      <c r="AR106" s="718"/>
      <c r="AS106" s="718"/>
      <c r="AT106" s="718"/>
      <c r="AU106" s="718"/>
      <c r="AV106" s="718"/>
      <c r="AW106" s="718"/>
      <c r="AX106" s="718"/>
      <c r="AY106" s="718"/>
      <c r="AZ106" s="718"/>
      <c r="BA106" s="718"/>
      <c r="BB106" s="718"/>
      <c r="BC106" s="718"/>
      <c r="BD106" s="718"/>
      <c r="BE106" s="718"/>
      <c r="BF106" s="718"/>
      <c r="BG106" s="718"/>
      <c r="BH106" s="718"/>
      <c r="BI106" s="719"/>
    </row>
    <row r="107" spans="1:61" ht="18" customHeight="1">
      <c r="A107" s="136" t="s">
        <v>21</v>
      </c>
      <c r="B107" s="136"/>
      <c r="C107" s="136"/>
      <c r="D107" s="136"/>
      <c r="E107" s="136"/>
      <c r="F107" s="136"/>
      <c r="G107" s="757" t="s">
        <v>21</v>
      </c>
      <c r="H107" s="757"/>
      <c r="I107" s="757"/>
      <c r="J107" s="757"/>
      <c r="K107" s="757"/>
      <c r="L107" s="757"/>
      <c r="M107" s="698">
        <v>380</v>
      </c>
      <c r="N107" s="698"/>
      <c r="O107" s="698"/>
      <c r="P107" s="698" t="s">
        <v>222</v>
      </c>
      <c r="Q107" s="698"/>
      <c r="R107" s="698"/>
      <c r="S107" s="698"/>
      <c r="T107" s="698"/>
      <c r="U107" s="698"/>
      <c r="V107" s="698"/>
      <c r="W107" s="698"/>
      <c r="X107" s="698" t="s">
        <v>143</v>
      </c>
      <c r="Y107" s="698"/>
      <c r="Z107" s="698"/>
      <c r="AA107" s="698"/>
      <c r="AB107" s="698"/>
      <c r="AC107" s="698"/>
      <c r="AD107" s="698"/>
      <c r="AE107" s="698"/>
      <c r="AF107" s="243" t="s">
        <v>223</v>
      </c>
      <c r="AG107" s="244"/>
      <c r="AH107" s="244"/>
      <c r="AI107" s="245"/>
      <c r="AJ107" s="709">
        <v>1.1100000000000001</v>
      </c>
      <c r="AK107" s="700"/>
      <c r="AL107" s="700"/>
      <c r="AM107" s="701"/>
      <c r="AN107" s="243">
        <v>380</v>
      </c>
      <c r="AO107" s="244"/>
      <c r="AP107" s="245"/>
      <c r="AQ107" s="243" t="s">
        <v>224</v>
      </c>
      <c r="AR107" s="244"/>
      <c r="AS107" s="244"/>
      <c r="AT107" s="244"/>
      <c r="AU107" s="244"/>
      <c r="AV107" s="244"/>
      <c r="AW107" s="245"/>
      <c r="AX107" s="240" t="s">
        <v>225</v>
      </c>
      <c r="AY107" s="241"/>
      <c r="AZ107" s="241"/>
      <c r="BA107" s="241"/>
      <c r="BB107" s="241"/>
      <c r="BC107" s="241"/>
      <c r="BD107" s="242"/>
      <c r="BE107" s="243"/>
      <c r="BF107" s="244"/>
      <c r="BG107" s="244"/>
      <c r="BH107" s="244"/>
      <c r="BI107" s="245"/>
    </row>
    <row r="108" spans="1:61" ht="18" customHeight="1">
      <c r="A108" s="144" t="s">
        <v>21</v>
      </c>
      <c r="B108" s="136"/>
      <c r="C108" s="136"/>
      <c r="D108" s="136"/>
      <c r="E108" s="136"/>
      <c r="F108" s="136"/>
      <c r="G108" s="757"/>
      <c r="H108" s="757"/>
      <c r="I108" s="757"/>
      <c r="J108" s="757"/>
      <c r="K108" s="757"/>
      <c r="L108" s="757"/>
      <c r="M108" s="716" t="s">
        <v>226</v>
      </c>
      <c r="N108" s="718"/>
      <c r="O108" s="718"/>
      <c r="P108" s="718"/>
      <c r="Q108" s="718"/>
      <c r="R108" s="718"/>
      <c r="S108" s="718"/>
      <c r="T108" s="718"/>
      <c r="U108" s="718"/>
      <c r="V108" s="718"/>
      <c r="W108" s="718"/>
      <c r="X108" s="718"/>
      <c r="Y108" s="718"/>
      <c r="Z108" s="718"/>
      <c r="AA108" s="718"/>
      <c r="AB108" s="718"/>
      <c r="AC108" s="718"/>
      <c r="AD108" s="718"/>
      <c r="AE108" s="718"/>
      <c r="AF108" s="718"/>
      <c r="AG108" s="718"/>
      <c r="AH108" s="718"/>
      <c r="AI108" s="718"/>
      <c r="AJ108" s="718"/>
      <c r="AK108" s="718"/>
      <c r="AL108" s="718"/>
      <c r="AM108" s="718"/>
      <c r="AN108" s="718"/>
      <c r="AO108" s="718"/>
      <c r="AP108" s="718"/>
      <c r="AQ108" s="718"/>
      <c r="AR108" s="718"/>
      <c r="AS108" s="718"/>
      <c r="AT108" s="718"/>
      <c r="AU108" s="718"/>
      <c r="AV108" s="718"/>
      <c r="AW108" s="718"/>
      <c r="AX108" s="718"/>
      <c r="AY108" s="718"/>
      <c r="AZ108" s="718"/>
      <c r="BA108" s="718"/>
      <c r="BB108" s="718"/>
      <c r="BC108" s="718"/>
      <c r="BD108" s="718"/>
      <c r="BE108" s="718"/>
      <c r="BF108" s="718"/>
      <c r="BG108" s="718"/>
      <c r="BH108" s="718"/>
      <c r="BI108" s="719"/>
    </row>
    <row r="109" spans="1:61" ht="18" customHeight="1">
      <c r="A109" s="137" t="s">
        <v>21</v>
      </c>
      <c r="B109" s="137"/>
      <c r="C109" s="137"/>
      <c r="D109" s="137"/>
      <c r="E109" s="137"/>
      <c r="F109" s="137"/>
      <c r="G109" s="761" t="s">
        <v>21</v>
      </c>
      <c r="H109" s="761"/>
      <c r="I109" s="761"/>
      <c r="J109" s="761"/>
      <c r="K109" s="761"/>
      <c r="L109" s="761"/>
      <c r="M109" s="762">
        <v>380</v>
      </c>
      <c r="N109" s="762"/>
      <c r="O109" s="762"/>
      <c r="P109" s="762" t="s">
        <v>222</v>
      </c>
      <c r="Q109" s="762"/>
      <c r="R109" s="762"/>
      <c r="S109" s="762"/>
      <c r="T109" s="762"/>
      <c r="U109" s="762"/>
      <c r="V109" s="762"/>
      <c r="W109" s="762"/>
      <c r="X109" s="762" t="s">
        <v>143</v>
      </c>
      <c r="Y109" s="762"/>
      <c r="Z109" s="762"/>
      <c r="AA109" s="762"/>
      <c r="AB109" s="762"/>
      <c r="AC109" s="762"/>
      <c r="AD109" s="762"/>
      <c r="AE109" s="762"/>
      <c r="AF109" s="763"/>
      <c r="AG109" s="764"/>
      <c r="AH109" s="764"/>
      <c r="AI109" s="765"/>
      <c r="AJ109" s="766">
        <v>1.1000000000000001</v>
      </c>
      <c r="AK109" s="767"/>
      <c r="AL109" s="767"/>
      <c r="AM109" s="768"/>
      <c r="AN109" s="763">
        <v>380</v>
      </c>
      <c r="AO109" s="764"/>
      <c r="AP109" s="765"/>
      <c r="AQ109" s="763" t="s">
        <v>142</v>
      </c>
      <c r="AR109" s="764"/>
      <c r="AS109" s="764"/>
      <c r="AT109" s="764"/>
      <c r="AU109" s="764"/>
      <c r="AV109" s="764"/>
      <c r="AW109" s="765"/>
      <c r="AX109" s="754" t="s">
        <v>92</v>
      </c>
      <c r="AY109" s="755"/>
      <c r="AZ109" s="755"/>
      <c r="BA109" s="755"/>
      <c r="BB109" s="755"/>
      <c r="BC109" s="755"/>
      <c r="BD109" s="756"/>
      <c r="BE109" s="763"/>
      <c r="BF109" s="764"/>
      <c r="BG109" s="764"/>
      <c r="BH109" s="764"/>
      <c r="BI109" s="765"/>
    </row>
    <row r="110" spans="1:61" ht="18" customHeight="1">
      <c r="A110" s="145" t="s">
        <v>21</v>
      </c>
      <c r="B110" s="136"/>
      <c r="C110" s="136"/>
      <c r="D110" s="136"/>
      <c r="E110" s="136"/>
      <c r="F110" s="136"/>
      <c r="G110" s="761"/>
      <c r="H110" s="761"/>
      <c r="I110" s="761"/>
      <c r="J110" s="761"/>
      <c r="K110" s="761"/>
      <c r="L110" s="761"/>
      <c r="M110" s="698">
        <v>380</v>
      </c>
      <c r="N110" s="698"/>
      <c r="O110" s="698"/>
      <c r="P110" s="698" t="s">
        <v>142</v>
      </c>
      <c r="Q110" s="698"/>
      <c r="R110" s="698"/>
      <c r="S110" s="698"/>
      <c r="T110" s="698"/>
      <c r="U110" s="698"/>
      <c r="V110" s="698"/>
      <c r="W110" s="698"/>
      <c r="X110" s="698" t="s">
        <v>92</v>
      </c>
      <c r="Y110" s="698"/>
      <c r="Z110" s="698"/>
      <c r="AA110" s="698"/>
      <c r="AB110" s="698"/>
      <c r="AC110" s="698"/>
      <c r="AD110" s="698"/>
      <c r="AE110" s="698"/>
      <c r="AF110" s="243" t="s">
        <v>233</v>
      </c>
      <c r="AG110" s="244"/>
      <c r="AH110" s="244"/>
      <c r="AI110" s="245"/>
      <c r="AJ110" s="709">
        <v>1.06</v>
      </c>
      <c r="AK110" s="700"/>
      <c r="AL110" s="700"/>
      <c r="AM110" s="701"/>
      <c r="AN110" s="243">
        <v>380</v>
      </c>
      <c r="AO110" s="244"/>
      <c r="AP110" s="245"/>
      <c r="AQ110" s="243" t="s">
        <v>222</v>
      </c>
      <c r="AR110" s="244"/>
      <c r="AS110" s="244"/>
      <c r="AT110" s="244"/>
      <c r="AU110" s="244"/>
      <c r="AV110" s="244"/>
      <c r="AW110" s="245"/>
      <c r="AX110" s="240" t="s">
        <v>143</v>
      </c>
      <c r="AY110" s="241"/>
      <c r="AZ110" s="241"/>
      <c r="BA110" s="241"/>
      <c r="BB110" s="241"/>
      <c r="BC110" s="241"/>
      <c r="BD110" s="242"/>
      <c r="BE110" s="243" t="s">
        <v>233</v>
      </c>
      <c r="BF110" s="244"/>
      <c r="BG110" s="244"/>
      <c r="BH110" s="244"/>
      <c r="BI110" s="245"/>
    </row>
    <row r="111" spans="1:61" ht="24" customHeight="1">
      <c r="B111" s="137"/>
      <c r="C111" s="137"/>
      <c r="D111" s="137"/>
      <c r="E111" s="137"/>
      <c r="F111" s="137"/>
      <c r="G111" s="761"/>
      <c r="H111" s="761"/>
      <c r="I111" s="761"/>
      <c r="J111" s="761"/>
      <c r="K111" s="761"/>
      <c r="L111" s="761"/>
      <c r="M111" s="781" t="s">
        <v>230</v>
      </c>
      <c r="N111" s="770"/>
      <c r="O111" s="770"/>
      <c r="P111" s="770"/>
      <c r="Q111" s="770"/>
      <c r="R111" s="770"/>
      <c r="S111" s="770"/>
      <c r="T111" s="770"/>
      <c r="U111" s="770"/>
      <c r="V111" s="770"/>
      <c r="W111" s="770"/>
      <c r="X111" s="770"/>
      <c r="Y111" s="770"/>
      <c r="Z111" s="770"/>
      <c r="AA111" s="770"/>
      <c r="AB111" s="770"/>
      <c r="AC111" s="770"/>
      <c r="AD111" s="770"/>
      <c r="AE111" s="770"/>
      <c r="AF111" s="770"/>
      <c r="AG111" s="770"/>
      <c r="AH111" s="770"/>
      <c r="AI111" s="770"/>
      <c r="AJ111" s="770"/>
      <c r="AK111" s="770"/>
      <c r="AL111" s="770"/>
      <c r="AM111" s="770"/>
      <c r="AN111" s="770"/>
      <c r="AO111" s="770"/>
      <c r="AP111" s="770"/>
      <c r="AQ111" s="770"/>
      <c r="AR111" s="770"/>
      <c r="AS111" s="770"/>
      <c r="AT111" s="770"/>
      <c r="AU111" s="770"/>
      <c r="AV111" s="770"/>
      <c r="AW111" s="770"/>
      <c r="AX111" s="770"/>
      <c r="AY111" s="770"/>
      <c r="AZ111" s="770"/>
      <c r="BA111" s="770"/>
      <c r="BB111" s="770"/>
      <c r="BC111" s="770"/>
      <c r="BD111" s="770"/>
      <c r="BE111" s="770"/>
      <c r="BF111" s="770"/>
      <c r="BG111" s="770"/>
      <c r="BH111" s="770"/>
      <c r="BI111" s="771"/>
    </row>
    <row r="112" spans="1:61">
      <c r="A112" s="139" t="s">
        <v>268</v>
      </c>
      <c r="G112" s="757" t="s">
        <v>268</v>
      </c>
      <c r="H112" s="757"/>
      <c r="I112" s="757"/>
      <c r="J112" s="757"/>
      <c r="K112" s="757"/>
      <c r="L112" s="757"/>
      <c r="M112" s="243">
        <v>380</v>
      </c>
      <c r="N112" s="244"/>
      <c r="O112" s="245"/>
      <c r="P112" s="240" t="s">
        <v>183</v>
      </c>
      <c r="Q112" s="241"/>
      <c r="R112" s="241"/>
      <c r="S112" s="241"/>
      <c r="T112" s="241"/>
      <c r="U112" s="241"/>
      <c r="V112" s="241"/>
      <c r="W112" s="242"/>
      <c r="X112" s="240" t="s">
        <v>83</v>
      </c>
      <c r="Y112" s="241"/>
      <c r="Z112" s="241"/>
      <c r="AA112" s="241"/>
      <c r="AB112" s="241"/>
      <c r="AC112" s="241"/>
      <c r="AD112" s="241"/>
      <c r="AE112" s="242"/>
      <c r="AF112" s="243" t="s">
        <v>93</v>
      </c>
      <c r="AG112" s="244"/>
      <c r="AH112" s="244"/>
      <c r="AI112" s="245"/>
      <c r="AJ112" s="709">
        <v>1.02</v>
      </c>
      <c r="AK112" s="700"/>
      <c r="AL112" s="700"/>
      <c r="AM112" s="701"/>
      <c r="AN112" s="243">
        <v>380</v>
      </c>
      <c r="AO112" s="244"/>
      <c r="AP112" s="245"/>
      <c r="AQ112" s="243" t="s">
        <v>186</v>
      </c>
      <c r="AR112" s="244"/>
      <c r="AS112" s="244"/>
      <c r="AT112" s="244"/>
      <c r="AU112" s="244"/>
      <c r="AV112" s="244"/>
      <c r="AW112" s="245"/>
      <c r="AX112" s="243" t="s">
        <v>185</v>
      </c>
      <c r="AY112" s="244"/>
      <c r="AZ112" s="244"/>
      <c r="BA112" s="244"/>
      <c r="BB112" s="244"/>
      <c r="BC112" s="244"/>
      <c r="BD112" s="245"/>
      <c r="BE112" s="243"/>
      <c r="BF112" s="244"/>
      <c r="BG112" s="244"/>
      <c r="BH112" s="244"/>
      <c r="BI112" s="245"/>
    </row>
    <row r="113" spans="1:61">
      <c r="G113" s="757"/>
      <c r="H113" s="757"/>
      <c r="I113" s="757"/>
      <c r="J113" s="757"/>
      <c r="K113" s="757"/>
      <c r="L113" s="757"/>
      <c r="M113" s="713"/>
      <c r="N113" s="714"/>
      <c r="O113" s="715"/>
      <c r="P113" s="246" t="s">
        <v>184</v>
      </c>
      <c r="Q113" s="247"/>
      <c r="R113" s="247"/>
      <c r="S113" s="247"/>
      <c r="T113" s="247"/>
      <c r="U113" s="247"/>
      <c r="V113" s="247"/>
      <c r="W113" s="248"/>
      <c r="X113" s="246" t="s">
        <v>83</v>
      </c>
      <c r="Y113" s="247"/>
      <c r="Z113" s="247"/>
      <c r="AA113" s="247"/>
      <c r="AB113" s="247"/>
      <c r="AC113" s="247"/>
      <c r="AD113" s="247"/>
      <c r="AE113" s="248"/>
      <c r="AF113" s="246"/>
      <c r="AG113" s="247"/>
      <c r="AH113" s="247"/>
      <c r="AI113" s="248"/>
      <c r="AJ113" s="758"/>
      <c r="AK113" s="759"/>
      <c r="AL113" s="759"/>
      <c r="AM113" s="760"/>
      <c r="AN113" s="713"/>
      <c r="AO113" s="714"/>
      <c r="AP113" s="715"/>
      <c r="AQ113" s="713"/>
      <c r="AR113" s="714"/>
      <c r="AS113" s="714"/>
      <c r="AT113" s="714"/>
      <c r="AU113" s="714"/>
      <c r="AV113" s="714"/>
      <c r="AW113" s="715"/>
      <c r="AX113" s="713"/>
      <c r="AY113" s="714"/>
      <c r="AZ113" s="714"/>
      <c r="BA113" s="714"/>
      <c r="BB113" s="714"/>
      <c r="BC113" s="714"/>
      <c r="BD113" s="715"/>
      <c r="BE113" s="713"/>
      <c r="BF113" s="714"/>
      <c r="BG113" s="714"/>
      <c r="BH113" s="714"/>
      <c r="BI113" s="715"/>
    </row>
    <row r="114" spans="1:61">
      <c r="G114" s="757"/>
      <c r="H114" s="757"/>
      <c r="I114" s="757"/>
      <c r="J114" s="757"/>
      <c r="K114" s="757"/>
      <c r="L114" s="757"/>
      <c r="M114" s="713"/>
      <c r="N114" s="714"/>
      <c r="O114" s="715"/>
      <c r="P114" s="240" t="s">
        <v>183</v>
      </c>
      <c r="Q114" s="241"/>
      <c r="R114" s="241"/>
      <c r="S114" s="241"/>
      <c r="T114" s="241"/>
      <c r="U114" s="241"/>
      <c r="V114" s="241"/>
      <c r="W114" s="242"/>
      <c r="X114" s="240" t="s">
        <v>83</v>
      </c>
      <c r="Y114" s="241"/>
      <c r="Z114" s="241"/>
      <c r="AA114" s="241"/>
      <c r="AB114" s="241"/>
      <c r="AC114" s="241"/>
      <c r="AD114" s="241"/>
      <c r="AE114" s="242"/>
      <c r="AF114" s="243" t="s">
        <v>93</v>
      </c>
      <c r="AG114" s="244"/>
      <c r="AH114" s="244"/>
      <c r="AI114" s="245"/>
      <c r="AJ114" s="709">
        <v>1.08</v>
      </c>
      <c r="AK114" s="700"/>
      <c r="AL114" s="700"/>
      <c r="AM114" s="701"/>
      <c r="AN114" s="713"/>
      <c r="AO114" s="714"/>
      <c r="AP114" s="715"/>
      <c r="AQ114" s="713"/>
      <c r="AR114" s="714"/>
      <c r="AS114" s="714"/>
      <c r="AT114" s="714"/>
      <c r="AU114" s="714"/>
      <c r="AV114" s="714"/>
      <c r="AW114" s="715"/>
      <c r="AX114" s="713"/>
      <c r="AY114" s="714"/>
      <c r="AZ114" s="714"/>
      <c r="BA114" s="714"/>
      <c r="BB114" s="714"/>
      <c r="BC114" s="714"/>
      <c r="BD114" s="715"/>
      <c r="BE114" s="713"/>
      <c r="BF114" s="714"/>
      <c r="BG114" s="714"/>
      <c r="BH114" s="714"/>
      <c r="BI114" s="715"/>
    </row>
    <row r="115" spans="1:61">
      <c r="G115" s="757"/>
      <c r="H115" s="757"/>
      <c r="I115" s="757"/>
      <c r="J115" s="757"/>
      <c r="K115" s="757"/>
      <c r="L115" s="757"/>
      <c r="M115" s="246"/>
      <c r="N115" s="247"/>
      <c r="O115" s="248"/>
      <c r="P115" s="246" t="s">
        <v>184</v>
      </c>
      <c r="Q115" s="247"/>
      <c r="R115" s="247"/>
      <c r="S115" s="247"/>
      <c r="T115" s="247"/>
      <c r="U115" s="247"/>
      <c r="V115" s="247"/>
      <c r="W115" s="248"/>
      <c r="X115" s="246" t="s">
        <v>185</v>
      </c>
      <c r="Y115" s="247"/>
      <c r="Z115" s="247"/>
      <c r="AA115" s="247"/>
      <c r="AB115" s="247"/>
      <c r="AC115" s="247"/>
      <c r="AD115" s="247"/>
      <c r="AE115" s="248"/>
      <c r="AF115" s="246"/>
      <c r="AG115" s="247"/>
      <c r="AH115" s="247"/>
      <c r="AI115" s="248"/>
      <c r="AJ115" s="758"/>
      <c r="AK115" s="759"/>
      <c r="AL115" s="759"/>
      <c r="AM115" s="760"/>
      <c r="AN115" s="246"/>
      <c r="AO115" s="247"/>
      <c r="AP115" s="248"/>
      <c r="AQ115" s="246"/>
      <c r="AR115" s="247"/>
      <c r="AS115" s="247"/>
      <c r="AT115" s="247"/>
      <c r="AU115" s="247"/>
      <c r="AV115" s="247"/>
      <c r="AW115" s="248"/>
      <c r="AX115" s="246"/>
      <c r="AY115" s="247"/>
      <c r="AZ115" s="247"/>
      <c r="BA115" s="247"/>
      <c r="BB115" s="247"/>
      <c r="BC115" s="247"/>
      <c r="BD115" s="248"/>
      <c r="BE115" s="246"/>
      <c r="BF115" s="247"/>
      <c r="BG115" s="247"/>
      <c r="BH115" s="247"/>
      <c r="BI115" s="248"/>
    </row>
    <row r="116" spans="1:61">
      <c r="G116" s="757"/>
      <c r="H116" s="757"/>
      <c r="I116" s="757"/>
      <c r="J116" s="757"/>
      <c r="K116" s="757"/>
      <c r="L116" s="757"/>
      <c r="M116" s="717" t="s">
        <v>310</v>
      </c>
      <c r="N116" s="718"/>
      <c r="O116" s="718"/>
      <c r="P116" s="718"/>
      <c r="Q116" s="718"/>
      <c r="R116" s="718"/>
      <c r="S116" s="718"/>
      <c r="T116" s="718"/>
      <c r="U116" s="718"/>
      <c r="V116" s="718"/>
      <c r="W116" s="718"/>
      <c r="X116" s="718"/>
      <c r="Y116" s="718"/>
      <c r="Z116" s="718"/>
      <c r="AA116" s="718"/>
      <c r="AB116" s="718"/>
      <c r="AC116" s="718"/>
      <c r="AD116" s="718"/>
      <c r="AE116" s="718"/>
      <c r="AF116" s="718"/>
      <c r="AG116" s="718"/>
      <c r="AH116" s="718"/>
      <c r="AI116" s="718"/>
      <c r="AJ116" s="718"/>
      <c r="AK116" s="718"/>
      <c r="AL116" s="718"/>
      <c r="AM116" s="718"/>
      <c r="AN116" s="718"/>
      <c r="AO116" s="718"/>
      <c r="AP116" s="718"/>
      <c r="AQ116" s="718"/>
      <c r="AR116" s="718"/>
      <c r="AS116" s="718"/>
      <c r="AT116" s="718"/>
      <c r="AU116" s="718"/>
      <c r="AV116" s="718"/>
      <c r="AW116" s="718"/>
      <c r="AX116" s="718"/>
      <c r="AY116" s="718"/>
      <c r="AZ116" s="718"/>
      <c r="BA116" s="718"/>
      <c r="BB116" s="718"/>
      <c r="BC116" s="718"/>
      <c r="BD116" s="718"/>
      <c r="BE116" s="718"/>
      <c r="BF116" s="718"/>
      <c r="BG116" s="718"/>
      <c r="BH116" s="718"/>
      <c r="BI116" s="719"/>
    </row>
    <row r="117" spans="1:61" ht="15" customHeight="1">
      <c r="A117" s="136" t="s">
        <v>38</v>
      </c>
      <c r="G117" s="747" t="s">
        <v>38</v>
      </c>
      <c r="H117" s="747"/>
      <c r="I117" s="747"/>
      <c r="J117" s="747"/>
      <c r="K117" s="747"/>
      <c r="L117" s="747"/>
      <c r="M117" s="243">
        <v>380</v>
      </c>
      <c r="N117" s="244"/>
      <c r="O117" s="245"/>
      <c r="P117" s="243" t="s">
        <v>42</v>
      </c>
      <c r="Q117" s="244"/>
      <c r="R117" s="244"/>
      <c r="S117" s="244"/>
      <c r="T117" s="244"/>
      <c r="U117" s="244"/>
      <c r="V117" s="244"/>
      <c r="W117" s="245"/>
      <c r="X117" s="243" t="s">
        <v>216</v>
      </c>
      <c r="Y117" s="244"/>
      <c r="Z117" s="244"/>
      <c r="AA117" s="244"/>
      <c r="AB117" s="244"/>
      <c r="AC117" s="244"/>
      <c r="AD117" s="244"/>
      <c r="AE117" s="245"/>
      <c r="AF117" s="243" t="s">
        <v>355</v>
      </c>
      <c r="AG117" s="244"/>
      <c r="AH117" s="244"/>
      <c r="AI117" s="245"/>
      <c r="AJ117" s="728" t="s">
        <v>356</v>
      </c>
      <c r="AK117" s="728"/>
      <c r="AL117" s="728"/>
      <c r="AM117" s="728"/>
      <c r="AN117" s="698">
        <v>220</v>
      </c>
      <c r="AO117" s="698"/>
      <c r="AP117" s="698"/>
      <c r="AQ117" s="698" t="s">
        <v>357</v>
      </c>
      <c r="AR117" s="698"/>
      <c r="AS117" s="698"/>
      <c r="AT117" s="698"/>
      <c r="AU117" s="698"/>
      <c r="AV117" s="698"/>
      <c r="AW117" s="698"/>
      <c r="AX117" s="698" t="s">
        <v>358</v>
      </c>
      <c r="AY117" s="698"/>
      <c r="AZ117" s="698"/>
      <c r="BA117" s="698"/>
      <c r="BB117" s="698"/>
      <c r="BC117" s="698"/>
      <c r="BD117" s="698"/>
      <c r="BE117" s="698"/>
      <c r="BF117" s="698"/>
      <c r="BG117" s="698"/>
      <c r="BH117" s="698"/>
      <c r="BI117" s="698"/>
    </row>
    <row r="118" spans="1:61">
      <c r="G118" s="747"/>
      <c r="H118" s="747"/>
      <c r="I118" s="747"/>
      <c r="J118" s="747"/>
      <c r="K118" s="747"/>
      <c r="L118" s="747"/>
      <c r="M118" s="246"/>
      <c r="N118" s="247"/>
      <c r="O118" s="248"/>
      <c r="P118" s="246"/>
      <c r="Q118" s="247"/>
      <c r="R118" s="247"/>
      <c r="S118" s="247"/>
      <c r="T118" s="247"/>
      <c r="U118" s="247"/>
      <c r="V118" s="247"/>
      <c r="W118" s="248"/>
      <c r="X118" s="246"/>
      <c r="Y118" s="247"/>
      <c r="Z118" s="247"/>
      <c r="AA118" s="247"/>
      <c r="AB118" s="247"/>
      <c r="AC118" s="247"/>
      <c r="AD118" s="247"/>
      <c r="AE118" s="248"/>
      <c r="AF118" s="246"/>
      <c r="AG118" s="247"/>
      <c r="AH118" s="247"/>
      <c r="AI118" s="248"/>
      <c r="AJ118" s="728" t="s">
        <v>359</v>
      </c>
      <c r="AK118" s="728"/>
      <c r="AL118" s="728"/>
      <c r="AM118" s="728"/>
      <c r="AN118" s="698">
        <v>220</v>
      </c>
      <c r="AO118" s="698"/>
      <c r="AP118" s="698"/>
      <c r="AQ118" s="698" t="s">
        <v>41</v>
      </c>
      <c r="AR118" s="698"/>
      <c r="AS118" s="698"/>
      <c r="AT118" s="698"/>
      <c r="AU118" s="698"/>
      <c r="AV118" s="698"/>
      <c r="AW118" s="698"/>
      <c r="AX118" s="698" t="s">
        <v>360</v>
      </c>
      <c r="AY118" s="698"/>
      <c r="AZ118" s="698"/>
      <c r="BA118" s="698"/>
      <c r="BB118" s="698"/>
      <c r="BC118" s="698"/>
      <c r="BD118" s="698"/>
      <c r="BE118" s="698"/>
      <c r="BF118" s="698"/>
      <c r="BG118" s="698"/>
      <c r="BH118" s="698"/>
      <c r="BI118" s="698"/>
    </row>
    <row r="119" spans="1:61">
      <c r="G119" s="747"/>
      <c r="H119" s="747"/>
      <c r="I119" s="747"/>
      <c r="J119" s="747"/>
      <c r="K119" s="747"/>
      <c r="L119" s="747"/>
      <c r="M119" s="716" t="s">
        <v>361</v>
      </c>
      <c r="N119" s="221"/>
      <c r="O119" s="221"/>
      <c r="P119" s="221"/>
      <c r="Q119" s="221"/>
      <c r="R119" s="221"/>
      <c r="S119" s="221"/>
      <c r="T119" s="221"/>
      <c r="U119" s="221"/>
      <c r="V119" s="221"/>
      <c r="W119" s="221"/>
      <c r="X119" s="221"/>
      <c r="Y119" s="221"/>
      <c r="Z119" s="221"/>
      <c r="AA119" s="221"/>
      <c r="AB119" s="221"/>
      <c r="AC119" s="221"/>
      <c r="AD119" s="221"/>
      <c r="AE119" s="221"/>
      <c r="AF119" s="221"/>
      <c r="AG119" s="221"/>
      <c r="AH119" s="221"/>
      <c r="AI119" s="221"/>
      <c r="AJ119" s="221"/>
      <c r="AK119" s="221"/>
      <c r="AL119" s="221"/>
      <c r="AM119" s="221"/>
      <c r="AN119" s="221"/>
      <c r="AO119" s="221"/>
      <c r="AP119" s="221"/>
      <c r="AQ119" s="221"/>
      <c r="AR119" s="221"/>
      <c r="AS119" s="221"/>
      <c r="AT119" s="221"/>
      <c r="AU119" s="221"/>
      <c r="AV119" s="221"/>
      <c r="AW119" s="221"/>
      <c r="AX119" s="221"/>
      <c r="AY119" s="221"/>
      <c r="AZ119" s="221"/>
      <c r="BA119" s="221"/>
      <c r="BB119" s="221"/>
      <c r="BC119" s="221"/>
      <c r="BD119" s="221"/>
      <c r="BE119" s="221"/>
      <c r="BF119" s="221"/>
      <c r="BG119" s="221"/>
      <c r="BH119" s="221"/>
      <c r="BI119" s="222"/>
    </row>
    <row r="120" spans="1:61">
      <c r="A120" s="136" t="s">
        <v>38</v>
      </c>
      <c r="G120" s="747" t="s">
        <v>38</v>
      </c>
      <c r="H120" s="747"/>
      <c r="I120" s="747"/>
      <c r="J120" s="747"/>
      <c r="K120" s="747"/>
      <c r="L120" s="747"/>
      <c r="M120" s="243">
        <v>380</v>
      </c>
      <c r="N120" s="244"/>
      <c r="O120" s="245"/>
      <c r="P120" s="243" t="s">
        <v>42</v>
      </c>
      <c r="Q120" s="244"/>
      <c r="R120" s="244"/>
      <c r="S120" s="244"/>
      <c r="T120" s="244"/>
      <c r="U120" s="244"/>
      <c r="V120" s="244"/>
      <c r="W120" s="245"/>
      <c r="X120" s="243" t="s">
        <v>238</v>
      </c>
      <c r="Y120" s="244"/>
      <c r="Z120" s="244"/>
      <c r="AA120" s="244"/>
      <c r="AB120" s="244"/>
      <c r="AC120" s="244"/>
      <c r="AD120" s="244"/>
      <c r="AE120" s="245"/>
      <c r="AF120" s="243" t="s">
        <v>244</v>
      </c>
      <c r="AG120" s="244"/>
      <c r="AH120" s="244"/>
      <c r="AI120" s="245"/>
      <c r="AJ120" s="728" t="s">
        <v>363</v>
      </c>
      <c r="AK120" s="728"/>
      <c r="AL120" s="728"/>
      <c r="AM120" s="728"/>
      <c r="AN120" s="698">
        <v>220</v>
      </c>
      <c r="AO120" s="698"/>
      <c r="AP120" s="698"/>
      <c r="AQ120" s="698" t="s">
        <v>42</v>
      </c>
      <c r="AR120" s="698"/>
      <c r="AS120" s="698"/>
      <c r="AT120" s="698"/>
      <c r="AU120" s="698"/>
      <c r="AV120" s="698"/>
      <c r="AW120" s="698"/>
      <c r="AX120" s="698" t="s">
        <v>362</v>
      </c>
      <c r="AY120" s="698"/>
      <c r="AZ120" s="698"/>
      <c r="BA120" s="698"/>
      <c r="BB120" s="698"/>
      <c r="BC120" s="698"/>
      <c r="BD120" s="698"/>
      <c r="BE120" s="698"/>
      <c r="BF120" s="698"/>
      <c r="BG120" s="698"/>
      <c r="BH120" s="698"/>
      <c r="BI120" s="698"/>
    </row>
    <row r="121" spans="1:61">
      <c r="G121" s="747"/>
      <c r="H121" s="747"/>
      <c r="I121" s="747"/>
      <c r="J121" s="747"/>
      <c r="K121" s="747"/>
      <c r="L121" s="747"/>
      <c r="M121" s="716" t="s">
        <v>364</v>
      </c>
      <c r="N121" s="221"/>
      <c r="O121" s="221"/>
      <c r="P121" s="221"/>
      <c r="Q121" s="221"/>
      <c r="R121" s="221"/>
      <c r="S121" s="221"/>
      <c r="T121" s="221"/>
      <c r="U121" s="221"/>
      <c r="V121" s="221"/>
      <c r="W121" s="221"/>
      <c r="X121" s="221"/>
      <c r="Y121" s="221"/>
      <c r="Z121" s="221"/>
      <c r="AA121" s="221"/>
      <c r="AB121" s="221"/>
      <c r="AC121" s="221"/>
      <c r="AD121" s="221"/>
      <c r="AE121" s="221"/>
      <c r="AF121" s="221"/>
      <c r="AG121" s="221"/>
      <c r="AH121" s="221"/>
      <c r="AI121" s="221"/>
      <c r="AJ121" s="221"/>
      <c r="AK121" s="221"/>
      <c r="AL121" s="221"/>
      <c r="AM121" s="221"/>
      <c r="AN121" s="221"/>
      <c r="AO121" s="221"/>
      <c r="AP121" s="221"/>
      <c r="AQ121" s="221"/>
      <c r="AR121" s="221"/>
      <c r="AS121" s="221"/>
      <c r="AT121" s="221"/>
      <c r="AU121" s="221"/>
      <c r="AV121" s="221"/>
      <c r="AW121" s="221"/>
      <c r="AX121" s="221"/>
      <c r="AY121" s="221"/>
      <c r="AZ121" s="221"/>
      <c r="BA121" s="221"/>
      <c r="BB121" s="221"/>
      <c r="BC121" s="221"/>
      <c r="BD121" s="221"/>
      <c r="BE121" s="221"/>
      <c r="BF121" s="221"/>
      <c r="BG121" s="221"/>
      <c r="BH121" s="221"/>
      <c r="BI121" s="222"/>
    </row>
    <row r="122" spans="1:61">
      <c r="A122" s="138" t="s">
        <v>292</v>
      </c>
      <c r="G122" s="737" t="s">
        <v>292</v>
      </c>
      <c r="H122" s="738"/>
      <c r="I122" s="738"/>
      <c r="J122" s="738"/>
      <c r="K122" s="738"/>
      <c r="L122" s="739"/>
      <c r="M122" s="243">
        <v>380</v>
      </c>
      <c r="N122" s="244"/>
      <c r="O122" s="245"/>
      <c r="P122" s="744" t="s">
        <v>280</v>
      </c>
      <c r="Q122" s="745"/>
      <c r="R122" s="745"/>
      <c r="S122" s="745"/>
      <c r="T122" s="745"/>
      <c r="U122" s="745"/>
      <c r="V122" s="745"/>
      <c r="W122" s="745"/>
      <c r="X122" s="745"/>
      <c r="Y122" s="745"/>
      <c r="Z122" s="745"/>
      <c r="AA122" s="745"/>
      <c r="AB122" s="745"/>
      <c r="AC122" s="745"/>
      <c r="AD122" s="745"/>
      <c r="AE122" s="746"/>
      <c r="AF122" s="243" t="s">
        <v>93</v>
      </c>
      <c r="AG122" s="244"/>
      <c r="AH122" s="244"/>
      <c r="AI122" s="245"/>
      <c r="AJ122" s="709">
        <v>1.05</v>
      </c>
      <c r="AK122" s="700"/>
      <c r="AL122" s="700"/>
      <c r="AM122" s="701"/>
      <c r="AN122" s="243">
        <v>220</v>
      </c>
      <c r="AO122" s="244"/>
      <c r="AP122" s="245"/>
      <c r="AQ122" s="243" t="s">
        <v>146</v>
      </c>
      <c r="AR122" s="244"/>
      <c r="AS122" s="244"/>
      <c r="AT122" s="244"/>
      <c r="AU122" s="244"/>
      <c r="AV122" s="244"/>
      <c r="AW122" s="245"/>
      <c r="AX122" s="243" t="s">
        <v>15</v>
      </c>
      <c r="AY122" s="244"/>
      <c r="AZ122" s="244"/>
      <c r="BA122" s="244"/>
      <c r="BB122" s="244"/>
      <c r="BC122" s="244"/>
      <c r="BD122" s="245"/>
      <c r="BE122" s="243"/>
      <c r="BF122" s="244"/>
      <c r="BG122" s="244"/>
      <c r="BH122" s="244"/>
      <c r="BI122" s="245"/>
    </row>
    <row r="123" spans="1:61">
      <c r="G123" s="740"/>
      <c r="H123" s="741"/>
      <c r="I123" s="741"/>
      <c r="J123" s="741"/>
      <c r="K123" s="741"/>
      <c r="L123" s="742"/>
      <c r="M123" s="716" t="s">
        <v>365</v>
      </c>
      <c r="N123" s="221"/>
      <c r="O123" s="221"/>
      <c r="P123" s="221"/>
      <c r="Q123" s="221"/>
      <c r="R123" s="221"/>
      <c r="S123" s="221"/>
      <c r="T123" s="221"/>
      <c r="U123" s="221"/>
      <c r="V123" s="221"/>
      <c r="W123" s="221"/>
      <c r="X123" s="221"/>
      <c r="Y123" s="221"/>
      <c r="Z123" s="221"/>
      <c r="AA123" s="221"/>
      <c r="AB123" s="221"/>
      <c r="AC123" s="221"/>
      <c r="AD123" s="221"/>
      <c r="AE123" s="221"/>
      <c r="AF123" s="221"/>
      <c r="AG123" s="221"/>
      <c r="AH123" s="221"/>
      <c r="AI123" s="221"/>
      <c r="AJ123" s="221"/>
      <c r="AK123" s="221"/>
      <c r="AL123" s="221"/>
      <c r="AM123" s="221"/>
      <c r="AN123" s="221"/>
      <c r="AO123" s="221"/>
      <c r="AP123" s="221"/>
      <c r="AQ123" s="221"/>
      <c r="AR123" s="221"/>
      <c r="AS123" s="221"/>
      <c r="AT123" s="221"/>
      <c r="AU123" s="221"/>
      <c r="AV123" s="221"/>
      <c r="AW123" s="221"/>
      <c r="AX123" s="221"/>
      <c r="AY123" s="221"/>
      <c r="AZ123" s="221"/>
      <c r="BA123" s="221"/>
      <c r="BB123" s="221"/>
      <c r="BC123" s="221"/>
      <c r="BD123" s="221"/>
      <c r="BE123" s="221"/>
      <c r="BF123" s="221"/>
      <c r="BG123" s="221"/>
      <c r="BH123" s="221"/>
      <c r="BI123" s="222"/>
    </row>
    <row r="124" spans="1:61">
      <c r="A124" s="135" t="s">
        <v>240</v>
      </c>
      <c r="G124" s="757" t="s">
        <v>240</v>
      </c>
      <c r="H124" s="757"/>
      <c r="I124" s="757"/>
      <c r="J124" s="757"/>
      <c r="K124" s="757"/>
      <c r="L124" s="757"/>
      <c r="M124" s="698">
        <v>380</v>
      </c>
      <c r="N124" s="698"/>
      <c r="O124" s="698"/>
      <c r="P124" s="698" t="s">
        <v>42</v>
      </c>
      <c r="Q124" s="698"/>
      <c r="R124" s="698"/>
      <c r="S124" s="698"/>
      <c r="T124" s="698"/>
      <c r="U124" s="698"/>
      <c r="V124" s="698"/>
      <c r="W124" s="698"/>
      <c r="X124" s="698" t="s">
        <v>92</v>
      </c>
      <c r="Y124" s="698"/>
      <c r="Z124" s="698"/>
      <c r="AA124" s="698"/>
      <c r="AB124" s="698"/>
      <c r="AC124" s="698"/>
      <c r="AD124" s="698"/>
      <c r="AE124" s="698"/>
      <c r="AF124" s="698" t="s">
        <v>93</v>
      </c>
      <c r="AG124" s="698"/>
      <c r="AH124" s="698"/>
      <c r="AI124" s="698"/>
      <c r="AJ124" s="709" t="s">
        <v>369</v>
      </c>
      <c r="AK124" s="700"/>
      <c r="AL124" s="700"/>
      <c r="AM124" s="701"/>
      <c r="AN124" s="243">
        <v>380</v>
      </c>
      <c r="AO124" s="244"/>
      <c r="AP124" s="245"/>
      <c r="AQ124" s="243" t="s">
        <v>238</v>
      </c>
      <c r="AR124" s="244"/>
      <c r="AS124" s="244"/>
      <c r="AT124" s="244"/>
      <c r="AU124" s="244"/>
      <c r="AV124" s="244"/>
      <c r="AW124" s="245"/>
      <c r="AX124" s="240" t="s">
        <v>15</v>
      </c>
      <c r="AY124" s="241"/>
      <c r="AZ124" s="241"/>
      <c r="BA124" s="241"/>
      <c r="BB124" s="241"/>
      <c r="BC124" s="241"/>
      <c r="BD124" s="242"/>
      <c r="BE124" s="243"/>
      <c r="BF124" s="244"/>
      <c r="BG124" s="244"/>
      <c r="BH124" s="244"/>
      <c r="BI124" s="245"/>
    </row>
    <row r="125" spans="1:61">
      <c r="G125" s="757"/>
      <c r="H125" s="757"/>
      <c r="I125" s="757"/>
      <c r="J125" s="757"/>
      <c r="K125" s="757"/>
      <c r="L125" s="757"/>
      <c r="M125" s="698"/>
      <c r="N125" s="698"/>
      <c r="O125" s="698"/>
      <c r="P125" s="698"/>
      <c r="Q125" s="698"/>
      <c r="R125" s="698"/>
      <c r="S125" s="698"/>
      <c r="T125" s="698"/>
      <c r="U125" s="698"/>
      <c r="V125" s="698"/>
      <c r="W125" s="698"/>
      <c r="X125" s="698"/>
      <c r="Y125" s="698"/>
      <c r="Z125" s="698"/>
      <c r="AA125" s="698"/>
      <c r="AB125" s="698"/>
      <c r="AC125" s="698"/>
      <c r="AD125" s="698"/>
      <c r="AE125" s="698"/>
      <c r="AF125" s="698"/>
      <c r="AG125" s="698"/>
      <c r="AH125" s="698"/>
      <c r="AI125" s="698"/>
      <c r="AJ125" s="709">
        <v>1.02</v>
      </c>
      <c r="AK125" s="700"/>
      <c r="AL125" s="700"/>
      <c r="AM125" s="701"/>
      <c r="AN125" s="243">
        <v>220</v>
      </c>
      <c r="AO125" s="244"/>
      <c r="AP125" s="245"/>
      <c r="AQ125" s="243" t="s">
        <v>159</v>
      </c>
      <c r="AR125" s="244"/>
      <c r="AS125" s="244"/>
      <c r="AT125" s="244"/>
      <c r="AU125" s="244"/>
      <c r="AV125" s="244"/>
      <c r="AW125" s="245"/>
      <c r="AX125" s="240" t="s">
        <v>257</v>
      </c>
      <c r="AY125" s="241"/>
      <c r="AZ125" s="241"/>
      <c r="BA125" s="241"/>
      <c r="BB125" s="241"/>
      <c r="BC125" s="241"/>
      <c r="BD125" s="242"/>
      <c r="BE125" s="171"/>
      <c r="BF125" s="171"/>
      <c r="BG125" s="171"/>
      <c r="BH125" s="171"/>
      <c r="BI125" s="172"/>
    </row>
    <row r="126" spans="1:61" ht="25.5" customHeight="1">
      <c r="G126" s="757"/>
      <c r="H126" s="757"/>
      <c r="I126" s="757"/>
      <c r="J126" s="757"/>
      <c r="K126" s="757"/>
      <c r="L126" s="757"/>
      <c r="M126" s="220" t="s">
        <v>370</v>
      </c>
      <c r="N126" s="718"/>
      <c r="O126" s="718"/>
      <c r="P126" s="718"/>
      <c r="Q126" s="718"/>
      <c r="R126" s="718"/>
      <c r="S126" s="718"/>
      <c r="T126" s="718"/>
      <c r="U126" s="718"/>
      <c r="V126" s="718"/>
      <c r="W126" s="718"/>
      <c r="X126" s="718"/>
      <c r="Y126" s="718"/>
      <c r="Z126" s="718"/>
      <c r="AA126" s="718"/>
      <c r="AB126" s="718"/>
      <c r="AC126" s="718"/>
      <c r="AD126" s="718"/>
      <c r="AE126" s="718"/>
      <c r="AF126" s="718"/>
      <c r="AG126" s="718"/>
      <c r="AH126" s="718"/>
      <c r="AI126" s="718"/>
      <c r="AJ126" s="718"/>
      <c r="AK126" s="718"/>
      <c r="AL126" s="718"/>
      <c r="AM126" s="718"/>
      <c r="AN126" s="718"/>
      <c r="AO126" s="718"/>
      <c r="AP126" s="718"/>
      <c r="AQ126" s="718"/>
      <c r="AR126" s="718"/>
      <c r="AS126" s="718"/>
      <c r="AT126" s="718"/>
      <c r="AU126" s="718"/>
      <c r="AV126" s="718"/>
      <c r="AW126" s="718"/>
      <c r="AX126" s="718"/>
      <c r="AY126" s="718"/>
      <c r="AZ126" s="718"/>
      <c r="BA126" s="718"/>
      <c r="BB126" s="718"/>
      <c r="BC126" s="718"/>
      <c r="BD126" s="718"/>
      <c r="BE126" s="718"/>
      <c r="BF126" s="718"/>
      <c r="BG126" s="718"/>
      <c r="BH126" s="718"/>
      <c r="BI126" s="719"/>
    </row>
    <row r="127" spans="1:61">
      <c r="G127" s="747" t="s">
        <v>38</v>
      </c>
      <c r="H127" s="747"/>
      <c r="I127" s="747"/>
      <c r="J127" s="747"/>
      <c r="K127" s="747"/>
      <c r="L127" s="747"/>
      <c r="M127" s="243">
        <v>380</v>
      </c>
      <c r="N127" s="244"/>
      <c r="O127" s="245"/>
      <c r="P127" s="243" t="s">
        <v>42</v>
      </c>
      <c r="Q127" s="244"/>
      <c r="R127" s="244"/>
      <c r="S127" s="244"/>
      <c r="T127" s="244"/>
      <c r="U127" s="244"/>
      <c r="V127" s="244"/>
      <c r="W127" s="245"/>
      <c r="X127" s="243" t="s">
        <v>238</v>
      </c>
      <c r="Y127" s="244"/>
      <c r="Z127" s="244"/>
      <c r="AA127" s="244"/>
      <c r="AB127" s="244"/>
      <c r="AC127" s="244"/>
      <c r="AD127" s="244"/>
      <c r="AE127" s="245"/>
      <c r="AF127" s="243" t="s">
        <v>244</v>
      </c>
      <c r="AG127" s="244"/>
      <c r="AH127" s="244"/>
      <c r="AI127" s="245"/>
      <c r="AJ127" s="728">
        <v>1.0900000000000001</v>
      </c>
      <c r="AK127" s="728"/>
      <c r="AL127" s="728"/>
      <c r="AM127" s="728"/>
      <c r="AN127" s="698">
        <v>220</v>
      </c>
      <c r="AO127" s="698"/>
      <c r="AP127" s="698"/>
      <c r="AQ127" s="698" t="s">
        <v>42</v>
      </c>
      <c r="AR127" s="698"/>
      <c r="AS127" s="698"/>
      <c r="AT127" s="698"/>
      <c r="AU127" s="698"/>
      <c r="AV127" s="698"/>
      <c r="AW127" s="698"/>
      <c r="AX127" s="698" t="s">
        <v>362</v>
      </c>
      <c r="AY127" s="698"/>
      <c r="AZ127" s="698"/>
      <c r="BA127" s="698"/>
      <c r="BB127" s="698"/>
      <c r="BC127" s="698"/>
      <c r="BD127" s="698"/>
      <c r="BE127" s="698"/>
      <c r="BF127" s="698"/>
      <c r="BG127" s="698"/>
      <c r="BH127" s="698"/>
      <c r="BI127" s="698"/>
    </row>
    <row r="128" spans="1:61" ht="27.75" customHeight="1">
      <c r="G128" s="747"/>
      <c r="H128" s="747"/>
      <c r="I128" s="747"/>
      <c r="J128" s="747"/>
      <c r="K128" s="747"/>
      <c r="L128" s="747"/>
      <c r="M128" s="716" t="s">
        <v>373</v>
      </c>
      <c r="N128" s="221"/>
      <c r="O128" s="221"/>
      <c r="P128" s="221"/>
      <c r="Q128" s="221"/>
      <c r="R128" s="221"/>
      <c r="S128" s="221"/>
      <c r="T128" s="221"/>
      <c r="U128" s="221"/>
      <c r="V128" s="221"/>
      <c r="W128" s="221"/>
      <c r="X128" s="221"/>
      <c r="Y128" s="221"/>
      <c r="Z128" s="221"/>
      <c r="AA128" s="221"/>
      <c r="AB128" s="221"/>
      <c r="AC128" s="221"/>
      <c r="AD128" s="221"/>
      <c r="AE128" s="221"/>
      <c r="AF128" s="221"/>
      <c r="AG128" s="221"/>
      <c r="AH128" s="221"/>
      <c r="AI128" s="221"/>
      <c r="AJ128" s="221"/>
      <c r="AK128" s="221"/>
      <c r="AL128" s="221"/>
      <c r="AM128" s="221"/>
      <c r="AN128" s="221"/>
      <c r="AO128" s="221"/>
      <c r="AP128" s="221"/>
      <c r="AQ128" s="221"/>
      <c r="AR128" s="221"/>
      <c r="AS128" s="221"/>
      <c r="AT128" s="221"/>
      <c r="AU128" s="221"/>
      <c r="AV128" s="221"/>
      <c r="AW128" s="221"/>
      <c r="AX128" s="221"/>
      <c r="AY128" s="221"/>
      <c r="AZ128" s="221"/>
      <c r="BA128" s="221"/>
      <c r="BB128" s="221"/>
      <c r="BC128" s="221"/>
      <c r="BD128" s="221"/>
      <c r="BE128" s="221"/>
      <c r="BF128" s="221"/>
      <c r="BG128" s="221"/>
      <c r="BH128" s="221"/>
      <c r="BI128" s="222"/>
    </row>
    <row r="129" spans="7:61">
      <c r="G129" s="737" t="s">
        <v>292</v>
      </c>
      <c r="H129" s="738"/>
      <c r="I129" s="738"/>
      <c r="J129" s="738"/>
      <c r="K129" s="738"/>
      <c r="L129" s="739"/>
      <c r="M129" s="243">
        <v>380</v>
      </c>
      <c r="N129" s="244"/>
      <c r="O129" s="245"/>
      <c r="P129" s="744" t="s">
        <v>280</v>
      </c>
      <c r="Q129" s="745"/>
      <c r="R129" s="745"/>
      <c r="S129" s="745"/>
      <c r="T129" s="745"/>
      <c r="U129" s="745"/>
      <c r="V129" s="745"/>
      <c r="W129" s="745"/>
      <c r="X129" s="745"/>
      <c r="Y129" s="745"/>
      <c r="Z129" s="745"/>
      <c r="AA129" s="745"/>
      <c r="AB129" s="745"/>
      <c r="AC129" s="745"/>
      <c r="AD129" s="745"/>
      <c r="AE129" s="746"/>
      <c r="AF129" s="243" t="s">
        <v>93</v>
      </c>
      <c r="AG129" s="244"/>
      <c r="AH129" s="244"/>
      <c r="AI129" s="245"/>
      <c r="AJ129" s="709">
        <v>1</v>
      </c>
      <c r="AK129" s="700"/>
      <c r="AL129" s="700"/>
      <c r="AM129" s="701"/>
      <c r="AN129" s="243">
        <v>220</v>
      </c>
      <c r="AO129" s="244"/>
      <c r="AP129" s="245"/>
      <c r="AQ129" s="243" t="s">
        <v>146</v>
      </c>
      <c r="AR129" s="244"/>
      <c r="AS129" s="244"/>
      <c r="AT129" s="244"/>
      <c r="AU129" s="244"/>
      <c r="AV129" s="244"/>
      <c r="AW129" s="245"/>
      <c r="AX129" s="243" t="s">
        <v>15</v>
      </c>
      <c r="AY129" s="244"/>
      <c r="AZ129" s="244"/>
      <c r="BA129" s="244"/>
      <c r="BB129" s="244"/>
      <c r="BC129" s="244"/>
      <c r="BD129" s="245"/>
      <c r="BE129" s="243"/>
      <c r="BF129" s="244"/>
      <c r="BG129" s="244"/>
      <c r="BH129" s="244"/>
      <c r="BI129" s="245"/>
    </row>
    <row r="130" spans="7:61">
      <c r="G130" s="740"/>
      <c r="H130" s="741"/>
      <c r="I130" s="741"/>
      <c r="J130" s="741"/>
      <c r="K130" s="741"/>
      <c r="L130" s="742"/>
      <c r="M130" s="716" t="s">
        <v>375</v>
      </c>
      <c r="N130" s="221"/>
      <c r="O130" s="221"/>
      <c r="P130" s="221"/>
      <c r="Q130" s="221"/>
      <c r="R130" s="221"/>
      <c r="S130" s="221"/>
      <c r="T130" s="221"/>
      <c r="U130" s="221"/>
      <c r="V130" s="221"/>
      <c r="W130" s="221"/>
      <c r="X130" s="221"/>
      <c r="Y130" s="221"/>
      <c r="Z130" s="221"/>
      <c r="AA130" s="221"/>
      <c r="AB130" s="221"/>
      <c r="AC130" s="221"/>
      <c r="AD130" s="221"/>
      <c r="AE130" s="221"/>
      <c r="AF130" s="221"/>
      <c r="AG130" s="221"/>
      <c r="AH130" s="221"/>
      <c r="AI130" s="221"/>
      <c r="AJ130" s="221"/>
      <c r="AK130" s="221"/>
      <c r="AL130" s="221"/>
      <c r="AM130" s="221"/>
      <c r="AN130" s="221"/>
      <c r="AO130" s="221"/>
      <c r="AP130" s="221"/>
      <c r="AQ130" s="221"/>
      <c r="AR130" s="221"/>
      <c r="AS130" s="221"/>
      <c r="AT130" s="221"/>
      <c r="AU130" s="221"/>
      <c r="AV130" s="221"/>
      <c r="AW130" s="221"/>
      <c r="AX130" s="221"/>
      <c r="AY130" s="221"/>
      <c r="AZ130" s="221"/>
      <c r="BA130" s="221"/>
      <c r="BB130" s="221"/>
      <c r="BC130" s="221"/>
      <c r="BD130" s="221"/>
      <c r="BE130" s="221"/>
      <c r="BF130" s="221"/>
      <c r="BG130" s="221"/>
      <c r="BH130" s="221"/>
      <c r="BI130" s="222"/>
    </row>
    <row r="131" spans="7:61">
      <c r="G131" s="737" t="s">
        <v>292</v>
      </c>
      <c r="H131" s="738"/>
      <c r="I131" s="738"/>
      <c r="J131" s="738"/>
      <c r="K131" s="738"/>
      <c r="L131" s="739"/>
      <c r="M131" s="243">
        <v>380</v>
      </c>
      <c r="N131" s="244"/>
      <c r="O131" s="245"/>
      <c r="P131" s="744" t="s">
        <v>280</v>
      </c>
      <c r="Q131" s="745"/>
      <c r="R131" s="745"/>
      <c r="S131" s="745"/>
      <c r="T131" s="745"/>
      <c r="U131" s="745"/>
      <c r="V131" s="745"/>
      <c r="W131" s="745"/>
      <c r="X131" s="745"/>
      <c r="Y131" s="745"/>
      <c r="Z131" s="745"/>
      <c r="AA131" s="745"/>
      <c r="AB131" s="745"/>
      <c r="AC131" s="745"/>
      <c r="AD131" s="745"/>
      <c r="AE131" s="746"/>
      <c r="AF131" s="243" t="s">
        <v>93</v>
      </c>
      <c r="AG131" s="244"/>
      <c r="AH131" s="244"/>
      <c r="AI131" s="245"/>
      <c r="AJ131" s="709">
        <v>0.96</v>
      </c>
      <c r="AK131" s="700"/>
      <c r="AL131" s="700"/>
      <c r="AM131" s="701"/>
      <c r="AN131" s="243">
        <v>220</v>
      </c>
      <c r="AO131" s="244"/>
      <c r="AP131" s="245"/>
      <c r="AQ131" s="243" t="s">
        <v>146</v>
      </c>
      <c r="AR131" s="244"/>
      <c r="AS131" s="244"/>
      <c r="AT131" s="244"/>
      <c r="AU131" s="244"/>
      <c r="AV131" s="244"/>
      <c r="AW131" s="245"/>
      <c r="AX131" s="243" t="s">
        <v>15</v>
      </c>
      <c r="AY131" s="244"/>
      <c r="AZ131" s="244"/>
      <c r="BA131" s="244"/>
      <c r="BB131" s="244"/>
      <c r="BC131" s="244"/>
      <c r="BD131" s="245"/>
      <c r="BE131" s="243"/>
      <c r="BF131" s="244"/>
      <c r="BG131" s="244"/>
      <c r="BH131" s="244"/>
      <c r="BI131" s="245"/>
    </row>
    <row r="132" spans="7:61">
      <c r="G132" s="740"/>
      <c r="H132" s="741"/>
      <c r="I132" s="741"/>
      <c r="J132" s="741"/>
      <c r="K132" s="741"/>
      <c r="L132" s="742"/>
      <c r="M132" s="220" t="s">
        <v>374</v>
      </c>
      <c r="N132" s="691"/>
      <c r="O132" s="691"/>
      <c r="P132" s="691"/>
      <c r="Q132" s="691"/>
      <c r="R132" s="691"/>
      <c r="S132" s="691"/>
      <c r="T132" s="691"/>
      <c r="U132" s="691"/>
      <c r="V132" s="691"/>
      <c r="W132" s="691"/>
      <c r="X132" s="691"/>
      <c r="Y132" s="691"/>
      <c r="Z132" s="691"/>
      <c r="AA132" s="691"/>
      <c r="AB132" s="691"/>
      <c r="AC132" s="691"/>
      <c r="AD132" s="691"/>
      <c r="AE132" s="691"/>
      <c r="AF132" s="691"/>
      <c r="AG132" s="691"/>
      <c r="AH132" s="691"/>
      <c r="AI132" s="691"/>
      <c r="AJ132" s="691"/>
      <c r="AK132" s="691"/>
      <c r="AL132" s="691"/>
      <c r="AM132" s="691"/>
      <c r="AN132" s="691"/>
      <c r="AO132" s="691"/>
      <c r="AP132" s="691"/>
      <c r="AQ132" s="691"/>
      <c r="AR132" s="691"/>
      <c r="AS132" s="691"/>
      <c r="AT132" s="691"/>
      <c r="AU132" s="691"/>
      <c r="AV132" s="691"/>
      <c r="AW132" s="691"/>
      <c r="AX132" s="691"/>
      <c r="AY132" s="691"/>
      <c r="AZ132" s="691"/>
      <c r="BA132" s="691"/>
      <c r="BB132" s="691"/>
      <c r="BC132" s="691"/>
      <c r="BD132" s="691"/>
      <c r="BE132" s="691"/>
      <c r="BF132" s="691"/>
      <c r="BG132" s="691"/>
      <c r="BH132" s="691"/>
      <c r="BI132" s="692"/>
    </row>
    <row r="133" spans="7:61">
      <c r="G133" s="737" t="s">
        <v>21</v>
      </c>
      <c r="H133" s="738"/>
      <c r="I133" s="738"/>
      <c r="J133" s="738"/>
      <c r="K133" s="738"/>
      <c r="L133" s="739"/>
      <c r="M133" s="243">
        <v>380</v>
      </c>
      <c r="N133" s="244"/>
      <c r="O133" s="245"/>
      <c r="P133" s="743" t="s">
        <v>142</v>
      </c>
      <c r="Q133" s="743"/>
      <c r="R133" s="743"/>
      <c r="S133" s="743"/>
      <c r="T133" s="743"/>
      <c r="U133" s="743"/>
      <c r="V133" s="743"/>
      <c r="W133" s="743"/>
      <c r="X133" s="743" t="s">
        <v>92</v>
      </c>
      <c r="Y133" s="743"/>
      <c r="Z133" s="743"/>
      <c r="AA133" s="743"/>
      <c r="AB133" s="743"/>
      <c r="AC133" s="743"/>
      <c r="AD133" s="743"/>
      <c r="AE133" s="743"/>
      <c r="AF133" s="243" t="s">
        <v>223</v>
      </c>
      <c r="AG133" s="244"/>
      <c r="AH133" s="244"/>
      <c r="AI133" s="245"/>
      <c r="AJ133" s="709">
        <v>1.01</v>
      </c>
      <c r="AK133" s="700"/>
      <c r="AL133" s="700"/>
      <c r="AM133" s="701"/>
      <c r="AN133" s="243">
        <v>380</v>
      </c>
      <c r="AO133" s="244"/>
      <c r="AP133" s="245"/>
      <c r="AQ133" s="243" t="s">
        <v>380</v>
      </c>
      <c r="AR133" s="244"/>
      <c r="AS133" s="244"/>
      <c r="AT133" s="244"/>
      <c r="AU133" s="244"/>
      <c r="AV133" s="244"/>
      <c r="AW133" s="245"/>
      <c r="AX133" s="243" t="s">
        <v>225</v>
      </c>
      <c r="AY133" s="244"/>
      <c r="AZ133" s="244"/>
      <c r="BA133" s="244"/>
      <c r="BB133" s="244"/>
      <c r="BC133" s="244"/>
      <c r="BD133" s="245"/>
      <c r="BE133" s="243"/>
      <c r="BF133" s="244"/>
      <c r="BG133" s="244"/>
      <c r="BH133" s="244"/>
      <c r="BI133" s="245"/>
    </row>
    <row r="134" spans="7:61">
      <c r="G134" s="740"/>
      <c r="H134" s="741"/>
      <c r="I134" s="741"/>
      <c r="J134" s="741"/>
      <c r="K134" s="741"/>
      <c r="L134" s="742"/>
      <c r="M134" s="716" t="s">
        <v>381</v>
      </c>
      <c r="N134" s="221"/>
      <c r="O134" s="221"/>
      <c r="P134" s="221"/>
      <c r="Q134" s="221"/>
      <c r="R134" s="221"/>
      <c r="S134" s="221"/>
      <c r="T134" s="221"/>
      <c r="U134" s="221"/>
      <c r="V134" s="221"/>
      <c r="W134" s="221"/>
      <c r="X134" s="221"/>
      <c r="Y134" s="221"/>
      <c r="Z134" s="221"/>
      <c r="AA134" s="221"/>
      <c r="AB134" s="221"/>
      <c r="AC134" s="221"/>
      <c r="AD134" s="221"/>
      <c r="AE134" s="221"/>
      <c r="AF134" s="221"/>
      <c r="AG134" s="221"/>
      <c r="AH134" s="221"/>
      <c r="AI134" s="221"/>
      <c r="AJ134" s="221"/>
      <c r="AK134" s="221"/>
      <c r="AL134" s="221"/>
      <c r="AM134" s="221"/>
      <c r="AN134" s="221"/>
      <c r="AO134" s="221"/>
      <c r="AP134" s="221"/>
      <c r="AQ134" s="221"/>
      <c r="AR134" s="221"/>
      <c r="AS134" s="221"/>
      <c r="AT134" s="221"/>
      <c r="AU134" s="221"/>
      <c r="AV134" s="221"/>
      <c r="AW134" s="221"/>
      <c r="AX134" s="221"/>
      <c r="AY134" s="221"/>
      <c r="AZ134" s="221"/>
      <c r="BA134" s="221"/>
      <c r="BB134" s="221"/>
      <c r="BC134" s="221"/>
      <c r="BD134" s="221"/>
      <c r="BE134" s="221"/>
      <c r="BF134" s="221"/>
      <c r="BG134" s="221"/>
      <c r="BH134" s="221"/>
      <c r="BI134" s="222"/>
    </row>
    <row r="135" spans="7:61">
      <c r="G135" s="729" t="s">
        <v>384</v>
      </c>
      <c r="H135" s="730"/>
      <c r="I135" s="730"/>
      <c r="J135" s="730"/>
      <c r="K135" s="730"/>
      <c r="L135" s="731"/>
      <c r="M135" s="243">
        <v>400</v>
      </c>
      <c r="N135" s="244"/>
      <c r="O135" s="245"/>
      <c r="P135" s="243" t="s">
        <v>385</v>
      </c>
      <c r="Q135" s="244"/>
      <c r="R135" s="244"/>
      <c r="S135" s="244"/>
      <c r="T135" s="244"/>
      <c r="U135" s="244"/>
      <c r="V135" s="244"/>
      <c r="W135" s="245"/>
      <c r="X135" s="243" t="s">
        <v>212</v>
      </c>
      <c r="Y135" s="244"/>
      <c r="Z135" s="244"/>
      <c r="AA135" s="244"/>
      <c r="AB135" s="244"/>
      <c r="AC135" s="244"/>
      <c r="AD135" s="244"/>
      <c r="AE135" s="245"/>
      <c r="AF135" s="243" t="s">
        <v>386</v>
      </c>
      <c r="AG135" s="244"/>
      <c r="AH135" s="244"/>
      <c r="AI135" s="245"/>
      <c r="AJ135" s="237">
        <v>1.07</v>
      </c>
      <c r="AK135" s="238"/>
      <c r="AL135" s="238"/>
      <c r="AM135" s="239"/>
      <c r="AN135" s="240">
        <v>220</v>
      </c>
      <c r="AO135" s="241"/>
      <c r="AP135" s="242"/>
      <c r="AQ135" s="240" t="s">
        <v>146</v>
      </c>
      <c r="AR135" s="241"/>
      <c r="AS135" s="241"/>
      <c r="AT135" s="241"/>
      <c r="AU135" s="241"/>
      <c r="AV135" s="241"/>
      <c r="AW135" s="242"/>
      <c r="AX135" s="240" t="s">
        <v>158</v>
      </c>
      <c r="AY135" s="241"/>
      <c r="AZ135" s="241"/>
      <c r="BA135" s="241"/>
      <c r="BB135" s="241"/>
      <c r="BC135" s="241"/>
      <c r="BD135" s="242"/>
      <c r="BE135" s="243"/>
      <c r="BF135" s="244"/>
      <c r="BG135" s="244"/>
      <c r="BH135" s="244"/>
      <c r="BI135" s="245"/>
    </row>
    <row r="136" spans="7:61">
      <c r="G136" s="732"/>
      <c r="H136" s="733"/>
      <c r="I136" s="733"/>
      <c r="J136" s="733"/>
      <c r="K136" s="733"/>
      <c r="L136" s="734"/>
      <c r="M136" s="220" t="s">
        <v>387</v>
      </c>
      <c r="N136" s="221"/>
      <c r="O136" s="221"/>
      <c r="P136" s="221"/>
      <c r="Q136" s="221"/>
      <c r="R136" s="221"/>
      <c r="S136" s="221"/>
      <c r="T136" s="221"/>
      <c r="U136" s="221"/>
      <c r="V136" s="221"/>
      <c r="W136" s="221"/>
      <c r="X136" s="221"/>
      <c r="Y136" s="221"/>
      <c r="Z136" s="221"/>
      <c r="AA136" s="221"/>
      <c r="AB136" s="221"/>
      <c r="AC136" s="221"/>
      <c r="AD136" s="221"/>
      <c r="AE136" s="221"/>
      <c r="AF136" s="221"/>
      <c r="AG136" s="221"/>
      <c r="AH136" s="221"/>
      <c r="AI136" s="221"/>
      <c r="AJ136" s="221"/>
      <c r="AK136" s="221"/>
      <c r="AL136" s="221"/>
      <c r="AM136" s="221"/>
      <c r="AN136" s="221"/>
      <c r="AO136" s="221"/>
      <c r="AP136" s="221"/>
      <c r="AQ136" s="221"/>
      <c r="AR136" s="221"/>
      <c r="AS136" s="221"/>
      <c r="AT136" s="221"/>
      <c r="AU136" s="221"/>
      <c r="AV136" s="221"/>
      <c r="AW136" s="221"/>
      <c r="AX136" s="221"/>
      <c r="AY136" s="221"/>
      <c r="AZ136" s="221"/>
      <c r="BA136" s="221"/>
      <c r="BB136" s="221"/>
      <c r="BC136" s="221"/>
      <c r="BD136" s="221"/>
      <c r="BE136" s="221"/>
      <c r="BF136" s="221"/>
      <c r="BG136" s="221"/>
      <c r="BH136" s="221"/>
      <c r="BI136" s="222"/>
    </row>
    <row r="137" spans="7:61">
      <c r="G137" s="729" t="s">
        <v>384</v>
      </c>
      <c r="H137" s="730"/>
      <c r="I137" s="730"/>
      <c r="J137" s="730"/>
      <c r="K137" s="730"/>
      <c r="L137" s="731"/>
      <c r="M137" s="243">
        <v>400</v>
      </c>
      <c r="N137" s="244"/>
      <c r="O137" s="245"/>
      <c r="P137" s="243" t="s">
        <v>385</v>
      </c>
      <c r="Q137" s="244"/>
      <c r="R137" s="244"/>
      <c r="S137" s="244"/>
      <c r="T137" s="244"/>
      <c r="U137" s="244"/>
      <c r="V137" s="244"/>
      <c r="W137" s="245"/>
      <c r="X137" s="243" t="s">
        <v>212</v>
      </c>
      <c r="Y137" s="244"/>
      <c r="Z137" s="244"/>
      <c r="AA137" s="244"/>
      <c r="AB137" s="244"/>
      <c r="AC137" s="244"/>
      <c r="AD137" s="244"/>
      <c r="AE137" s="245"/>
      <c r="AF137" s="243" t="s">
        <v>386</v>
      </c>
      <c r="AG137" s="244"/>
      <c r="AH137" s="244"/>
      <c r="AI137" s="245"/>
      <c r="AJ137" s="237">
        <v>1.06</v>
      </c>
      <c r="AK137" s="238"/>
      <c r="AL137" s="238"/>
      <c r="AM137" s="239"/>
      <c r="AN137" s="240">
        <v>220</v>
      </c>
      <c r="AO137" s="241"/>
      <c r="AP137" s="242"/>
      <c r="AQ137" s="240" t="s">
        <v>146</v>
      </c>
      <c r="AR137" s="241"/>
      <c r="AS137" s="241"/>
      <c r="AT137" s="241"/>
      <c r="AU137" s="241"/>
      <c r="AV137" s="241"/>
      <c r="AW137" s="242"/>
      <c r="AX137" s="240" t="s">
        <v>158</v>
      </c>
      <c r="AY137" s="241"/>
      <c r="AZ137" s="241"/>
      <c r="BA137" s="241"/>
      <c r="BB137" s="241"/>
      <c r="BC137" s="241"/>
      <c r="BD137" s="242"/>
      <c r="BE137" s="243"/>
      <c r="BF137" s="244"/>
      <c r="BG137" s="244"/>
      <c r="BH137" s="244"/>
      <c r="BI137" s="245"/>
    </row>
    <row r="138" spans="7:61">
      <c r="G138" s="732"/>
      <c r="H138" s="733"/>
      <c r="I138" s="733"/>
      <c r="J138" s="733"/>
      <c r="K138" s="733"/>
      <c r="L138" s="734"/>
      <c r="M138" s="220" t="s">
        <v>392</v>
      </c>
      <c r="N138" s="221"/>
      <c r="O138" s="221"/>
      <c r="P138" s="221"/>
      <c r="Q138" s="221"/>
      <c r="R138" s="221"/>
      <c r="S138" s="221"/>
      <c r="T138" s="221"/>
      <c r="U138" s="221"/>
      <c r="V138" s="221"/>
      <c r="W138" s="221"/>
      <c r="X138" s="221"/>
      <c r="Y138" s="221"/>
      <c r="Z138" s="221"/>
      <c r="AA138" s="221"/>
      <c r="AB138" s="221"/>
      <c r="AC138" s="221"/>
      <c r="AD138" s="221"/>
      <c r="AE138" s="221"/>
      <c r="AF138" s="221"/>
      <c r="AG138" s="221"/>
      <c r="AH138" s="221"/>
      <c r="AI138" s="221"/>
      <c r="AJ138" s="221"/>
      <c r="AK138" s="221"/>
      <c r="AL138" s="221"/>
      <c r="AM138" s="221"/>
      <c r="AN138" s="221"/>
      <c r="AO138" s="221"/>
      <c r="AP138" s="221"/>
      <c r="AQ138" s="221"/>
      <c r="AR138" s="221"/>
      <c r="AS138" s="221"/>
      <c r="AT138" s="221"/>
      <c r="AU138" s="221"/>
      <c r="AV138" s="221"/>
      <c r="AW138" s="221"/>
      <c r="AX138" s="221"/>
      <c r="AY138" s="221"/>
      <c r="AZ138" s="221"/>
      <c r="BA138" s="221"/>
      <c r="BB138" s="221"/>
      <c r="BC138" s="221"/>
      <c r="BD138" s="221"/>
      <c r="BE138" s="221"/>
      <c r="BF138" s="221"/>
      <c r="BG138" s="221"/>
      <c r="BH138" s="221"/>
      <c r="BI138" s="222"/>
    </row>
    <row r="139" spans="7:61">
      <c r="G139" s="735" t="s">
        <v>240</v>
      </c>
      <c r="H139" s="735"/>
      <c r="I139" s="735"/>
      <c r="J139" s="735"/>
      <c r="K139" s="735"/>
      <c r="L139" s="735"/>
      <c r="M139" s="243">
        <v>400</v>
      </c>
      <c r="N139" s="244"/>
      <c r="O139" s="245"/>
      <c r="P139" s="243" t="s">
        <v>42</v>
      </c>
      <c r="Q139" s="244"/>
      <c r="R139" s="244"/>
      <c r="S139" s="244"/>
      <c r="T139" s="244"/>
      <c r="U139" s="244"/>
      <c r="V139" s="244"/>
      <c r="W139" s="245"/>
      <c r="X139" s="243" t="s">
        <v>390</v>
      </c>
      <c r="Y139" s="244"/>
      <c r="Z139" s="244"/>
      <c r="AA139" s="244"/>
      <c r="AB139" s="244"/>
      <c r="AC139" s="244"/>
      <c r="AD139" s="244"/>
      <c r="AE139" s="245"/>
      <c r="AF139" s="243" t="s">
        <v>223</v>
      </c>
      <c r="AG139" s="244"/>
      <c r="AH139" s="244"/>
      <c r="AI139" s="245"/>
      <c r="AJ139" s="728">
        <v>1.1100000000000001</v>
      </c>
      <c r="AK139" s="728"/>
      <c r="AL139" s="728"/>
      <c r="AM139" s="728"/>
      <c r="AN139" s="736" t="s">
        <v>388</v>
      </c>
      <c r="AO139" s="736"/>
      <c r="AP139" s="736"/>
      <c r="AQ139" s="698" t="s">
        <v>238</v>
      </c>
      <c r="AR139" s="698"/>
      <c r="AS139" s="698"/>
      <c r="AT139" s="698"/>
      <c r="AU139" s="698"/>
      <c r="AV139" s="698"/>
      <c r="AW139" s="698"/>
      <c r="AX139" s="698" t="s">
        <v>389</v>
      </c>
      <c r="AY139" s="698"/>
      <c r="AZ139" s="698"/>
      <c r="BA139" s="698"/>
      <c r="BB139" s="698"/>
      <c r="BC139" s="698"/>
      <c r="BD139" s="698"/>
      <c r="BE139" s="698"/>
      <c r="BF139" s="698"/>
      <c r="BG139" s="698"/>
      <c r="BH139" s="698"/>
      <c r="BI139" s="698"/>
    </row>
    <row r="140" spans="7:61">
      <c r="G140" s="735"/>
      <c r="H140" s="735"/>
      <c r="I140" s="735"/>
      <c r="J140" s="735"/>
      <c r="K140" s="735"/>
      <c r="L140" s="735"/>
      <c r="M140" s="220" t="s">
        <v>391</v>
      </c>
      <c r="N140" s="221"/>
      <c r="O140" s="221"/>
      <c r="P140" s="221"/>
      <c r="Q140" s="221"/>
      <c r="R140" s="221"/>
      <c r="S140" s="221"/>
      <c r="T140" s="221"/>
      <c r="U140" s="221"/>
      <c r="V140" s="221"/>
      <c r="W140" s="221"/>
      <c r="X140" s="221"/>
      <c r="Y140" s="221"/>
      <c r="Z140" s="221"/>
      <c r="AA140" s="221"/>
      <c r="AB140" s="221"/>
      <c r="AC140" s="221"/>
      <c r="AD140" s="221"/>
      <c r="AE140" s="221"/>
      <c r="AF140" s="221"/>
      <c r="AG140" s="221"/>
      <c r="AH140" s="221"/>
      <c r="AI140" s="221"/>
      <c r="AJ140" s="221"/>
      <c r="AK140" s="221"/>
      <c r="AL140" s="221"/>
      <c r="AM140" s="221"/>
      <c r="AN140" s="221"/>
      <c r="AO140" s="221"/>
      <c r="AP140" s="221"/>
      <c r="AQ140" s="221"/>
      <c r="AR140" s="221"/>
      <c r="AS140" s="221"/>
      <c r="AT140" s="221"/>
      <c r="AU140" s="221"/>
      <c r="AV140" s="221"/>
      <c r="AW140" s="221"/>
      <c r="AX140" s="221"/>
      <c r="AY140" s="221"/>
      <c r="AZ140" s="221"/>
      <c r="BA140" s="221"/>
      <c r="BB140" s="221"/>
      <c r="BC140" s="221"/>
      <c r="BD140" s="221"/>
      <c r="BE140" s="221"/>
      <c r="BF140" s="221"/>
      <c r="BG140" s="221"/>
      <c r="BH140" s="221"/>
      <c r="BI140" s="222"/>
    </row>
    <row r="141" spans="7:61">
      <c r="G141" s="727" t="s">
        <v>39</v>
      </c>
      <c r="H141" s="727"/>
      <c r="I141" s="727"/>
      <c r="J141" s="727"/>
      <c r="K141" s="727"/>
      <c r="L141" s="727"/>
      <c r="M141" s="698">
        <v>400</v>
      </c>
      <c r="N141" s="698"/>
      <c r="O141" s="698"/>
      <c r="P141" s="698" t="s">
        <v>272</v>
      </c>
      <c r="Q141" s="698"/>
      <c r="R141" s="698"/>
      <c r="S141" s="698"/>
      <c r="T141" s="698"/>
      <c r="U141" s="698"/>
      <c r="V141" s="698"/>
      <c r="W141" s="698"/>
      <c r="X141" s="698" t="s">
        <v>273</v>
      </c>
      <c r="Y141" s="698"/>
      <c r="Z141" s="698"/>
      <c r="AA141" s="698"/>
      <c r="AB141" s="698"/>
      <c r="AC141" s="698"/>
      <c r="AD141" s="698"/>
      <c r="AE141" s="698"/>
      <c r="AF141" s="698" t="s">
        <v>93</v>
      </c>
      <c r="AG141" s="698"/>
      <c r="AH141" s="698"/>
      <c r="AI141" s="698"/>
      <c r="AJ141" s="728">
        <v>1.06</v>
      </c>
      <c r="AK141" s="728"/>
      <c r="AL141" s="728"/>
      <c r="AM141" s="728"/>
      <c r="AN141" s="698">
        <v>400</v>
      </c>
      <c r="AO141" s="698"/>
      <c r="AP141" s="698"/>
      <c r="AQ141" s="698" t="s">
        <v>275</v>
      </c>
      <c r="AR141" s="698"/>
      <c r="AS141" s="698"/>
      <c r="AT141" s="698"/>
      <c r="AU141" s="698"/>
      <c r="AV141" s="698"/>
      <c r="AW141" s="698"/>
      <c r="AX141" s="698" t="s">
        <v>276</v>
      </c>
      <c r="AY141" s="698"/>
      <c r="AZ141" s="698"/>
      <c r="BA141" s="698"/>
      <c r="BB141" s="698"/>
      <c r="BC141" s="698"/>
      <c r="BD141" s="698"/>
      <c r="BE141" s="698"/>
      <c r="BF141" s="698"/>
      <c r="BG141" s="698"/>
      <c r="BH141" s="698"/>
      <c r="BI141" s="698"/>
    </row>
    <row r="142" spans="7:61">
      <c r="G142" s="727"/>
      <c r="H142" s="727"/>
      <c r="I142" s="727"/>
      <c r="J142" s="727"/>
      <c r="K142" s="727"/>
      <c r="L142" s="727"/>
      <c r="M142" s="717" t="s">
        <v>393</v>
      </c>
      <c r="N142" s="718"/>
      <c r="O142" s="718"/>
      <c r="P142" s="718"/>
      <c r="Q142" s="718"/>
      <c r="R142" s="718"/>
      <c r="S142" s="718"/>
      <c r="T142" s="718"/>
      <c r="U142" s="718"/>
      <c r="V142" s="718"/>
      <c r="W142" s="718"/>
      <c r="X142" s="718"/>
      <c r="Y142" s="718"/>
      <c r="Z142" s="718"/>
      <c r="AA142" s="718"/>
      <c r="AB142" s="718"/>
      <c r="AC142" s="718"/>
      <c r="AD142" s="718"/>
      <c r="AE142" s="718"/>
      <c r="AF142" s="718"/>
      <c r="AG142" s="718"/>
      <c r="AH142" s="718"/>
      <c r="AI142" s="718"/>
      <c r="AJ142" s="718"/>
      <c r="AK142" s="718"/>
      <c r="AL142" s="718"/>
      <c r="AM142" s="718"/>
      <c r="AN142" s="718"/>
      <c r="AO142" s="718"/>
      <c r="AP142" s="718"/>
      <c r="AQ142" s="718"/>
      <c r="AR142" s="718"/>
      <c r="AS142" s="718"/>
      <c r="AT142" s="718"/>
      <c r="AU142" s="718"/>
      <c r="AV142" s="718"/>
      <c r="AW142" s="718"/>
      <c r="AX142" s="718"/>
      <c r="AY142" s="718"/>
      <c r="AZ142" s="718"/>
      <c r="BA142" s="718"/>
      <c r="BB142" s="718"/>
      <c r="BC142" s="718"/>
      <c r="BD142" s="718"/>
      <c r="BE142" s="718"/>
      <c r="BF142" s="718"/>
      <c r="BG142" s="718"/>
      <c r="BH142" s="718"/>
      <c r="BI142" s="719"/>
    </row>
    <row r="143" spans="7:61">
      <c r="G143" s="721" t="s">
        <v>394</v>
      </c>
      <c r="H143" s="722"/>
      <c r="I143" s="722"/>
      <c r="J143" s="722"/>
      <c r="K143" s="722"/>
      <c r="L143" s="723"/>
      <c r="M143" s="240">
        <v>400</v>
      </c>
      <c r="N143" s="241"/>
      <c r="O143" s="242"/>
      <c r="P143" s="240" t="s">
        <v>395</v>
      </c>
      <c r="Q143" s="241"/>
      <c r="R143" s="241"/>
      <c r="S143" s="241"/>
      <c r="T143" s="241"/>
      <c r="U143" s="241"/>
      <c r="V143" s="241"/>
      <c r="W143" s="242"/>
      <c r="X143" s="240" t="s">
        <v>396</v>
      </c>
      <c r="Y143" s="241"/>
      <c r="Z143" s="241"/>
      <c r="AA143" s="241"/>
      <c r="AB143" s="241"/>
      <c r="AC143" s="241"/>
      <c r="AD143" s="241"/>
      <c r="AE143" s="242"/>
      <c r="AF143" s="240"/>
      <c r="AG143" s="241"/>
      <c r="AH143" s="241"/>
      <c r="AI143" s="242"/>
      <c r="AJ143" s="237">
        <v>1.04</v>
      </c>
      <c r="AK143" s="238"/>
      <c r="AL143" s="238"/>
      <c r="AM143" s="239"/>
      <c r="AN143" s="240">
        <v>400</v>
      </c>
      <c r="AO143" s="241"/>
      <c r="AP143" s="242"/>
      <c r="AQ143" s="240" t="s">
        <v>395</v>
      </c>
      <c r="AR143" s="241"/>
      <c r="AS143" s="241"/>
      <c r="AT143" s="241"/>
      <c r="AU143" s="241"/>
      <c r="AV143" s="241"/>
      <c r="AW143" s="242"/>
      <c r="AX143" s="240" t="s">
        <v>397</v>
      </c>
      <c r="AY143" s="241"/>
      <c r="AZ143" s="241"/>
      <c r="BA143" s="241"/>
      <c r="BB143" s="241"/>
      <c r="BC143" s="241"/>
      <c r="BD143" s="242"/>
      <c r="BE143" s="240"/>
      <c r="BF143" s="241"/>
      <c r="BG143" s="241"/>
      <c r="BH143" s="241"/>
      <c r="BI143" s="242"/>
    </row>
    <row r="144" spans="7:61">
      <c r="G144" s="724"/>
      <c r="H144" s="725"/>
      <c r="I144" s="725"/>
      <c r="J144" s="725"/>
      <c r="K144" s="725"/>
      <c r="L144" s="726"/>
      <c r="M144" s="717" t="s">
        <v>398</v>
      </c>
      <c r="N144" s="718"/>
      <c r="O144" s="718"/>
      <c r="P144" s="718"/>
      <c r="Q144" s="718"/>
      <c r="R144" s="718"/>
      <c r="S144" s="718"/>
      <c r="T144" s="718"/>
      <c r="U144" s="718"/>
      <c r="V144" s="718"/>
      <c r="W144" s="718"/>
      <c r="X144" s="718"/>
      <c r="Y144" s="718"/>
      <c r="Z144" s="718"/>
      <c r="AA144" s="718"/>
      <c r="AB144" s="718"/>
      <c r="AC144" s="718"/>
      <c r="AD144" s="718"/>
      <c r="AE144" s="718"/>
      <c r="AF144" s="718"/>
      <c r="AG144" s="718"/>
      <c r="AH144" s="718"/>
      <c r="AI144" s="718"/>
      <c r="AJ144" s="718"/>
      <c r="AK144" s="718"/>
      <c r="AL144" s="718"/>
      <c r="AM144" s="718"/>
      <c r="AN144" s="718"/>
      <c r="AO144" s="718"/>
      <c r="AP144" s="718"/>
      <c r="AQ144" s="718"/>
      <c r="AR144" s="718"/>
      <c r="AS144" s="718"/>
      <c r="AT144" s="718"/>
      <c r="AU144" s="718"/>
      <c r="AV144" s="718"/>
      <c r="AW144" s="718"/>
      <c r="AX144" s="718"/>
      <c r="AY144" s="718"/>
      <c r="AZ144" s="718"/>
      <c r="BA144" s="718"/>
      <c r="BB144" s="718"/>
      <c r="BC144" s="718"/>
      <c r="BD144" s="718"/>
      <c r="BE144" s="718"/>
      <c r="BF144" s="718"/>
      <c r="BG144" s="718"/>
      <c r="BH144" s="718"/>
      <c r="BI144" s="719"/>
    </row>
    <row r="145" spans="7:61">
      <c r="G145" s="727" t="s">
        <v>38</v>
      </c>
      <c r="H145" s="727"/>
      <c r="I145" s="727"/>
      <c r="J145" s="727"/>
      <c r="K145" s="727"/>
      <c r="L145" s="803"/>
      <c r="M145" s="698">
        <v>400</v>
      </c>
      <c r="N145" s="698"/>
      <c r="O145" s="698"/>
      <c r="P145" s="698" t="s">
        <v>42</v>
      </c>
      <c r="Q145" s="698"/>
      <c r="R145" s="698"/>
      <c r="S145" s="698"/>
      <c r="T145" s="698"/>
      <c r="U145" s="698"/>
      <c r="V145" s="698"/>
      <c r="W145" s="698"/>
      <c r="X145" s="698" t="s">
        <v>214</v>
      </c>
      <c r="Y145" s="698"/>
      <c r="Z145" s="698"/>
      <c r="AA145" s="698"/>
      <c r="AB145" s="698"/>
      <c r="AC145" s="698"/>
      <c r="AD145" s="698"/>
      <c r="AE145" s="698"/>
      <c r="AF145" s="698" t="s">
        <v>93</v>
      </c>
      <c r="AG145" s="698"/>
      <c r="AH145" s="698"/>
      <c r="AI145" s="698"/>
      <c r="AJ145" s="700" t="s">
        <v>399</v>
      </c>
      <c r="AK145" s="700"/>
      <c r="AL145" s="700"/>
      <c r="AM145" s="701"/>
      <c r="AN145" s="243">
        <v>220</v>
      </c>
      <c r="AO145" s="244"/>
      <c r="AP145" s="245"/>
      <c r="AQ145" s="243" t="s">
        <v>41</v>
      </c>
      <c r="AR145" s="244"/>
      <c r="AS145" s="244"/>
      <c r="AT145" s="244"/>
      <c r="AU145" s="244"/>
      <c r="AV145" s="244"/>
      <c r="AW145" s="245"/>
      <c r="AX145" s="240" t="s">
        <v>360</v>
      </c>
      <c r="AY145" s="241"/>
      <c r="AZ145" s="241"/>
      <c r="BA145" s="241"/>
      <c r="BB145" s="241"/>
      <c r="BC145" s="241"/>
      <c r="BD145" s="242"/>
      <c r="BE145" s="243"/>
      <c r="BF145" s="244"/>
      <c r="BG145" s="244"/>
      <c r="BH145" s="244"/>
      <c r="BI145" s="245"/>
    </row>
    <row r="146" spans="7:61">
      <c r="G146" s="727"/>
      <c r="H146" s="727"/>
      <c r="I146" s="727"/>
      <c r="J146" s="727"/>
      <c r="K146" s="727"/>
      <c r="L146" s="803"/>
      <c r="M146" s="698"/>
      <c r="N146" s="698"/>
      <c r="O146" s="698"/>
      <c r="P146" s="698"/>
      <c r="Q146" s="698"/>
      <c r="R146" s="698"/>
      <c r="S146" s="698"/>
      <c r="T146" s="698"/>
      <c r="U146" s="698"/>
      <c r="V146" s="698"/>
      <c r="W146" s="698"/>
      <c r="X146" s="698"/>
      <c r="Y146" s="698"/>
      <c r="Z146" s="698"/>
      <c r="AA146" s="698"/>
      <c r="AB146" s="698"/>
      <c r="AC146" s="698"/>
      <c r="AD146" s="698"/>
      <c r="AE146" s="698"/>
      <c r="AF146" s="698"/>
      <c r="AG146" s="698"/>
      <c r="AH146" s="698"/>
      <c r="AI146" s="698"/>
      <c r="AJ146" s="700">
        <v>1.0900000000000001</v>
      </c>
      <c r="AK146" s="700"/>
      <c r="AL146" s="700"/>
      <c r="AM146" s="701"/>
      <c r="AN146" s="243">
        <v>220</v>
      </c>
      <c r="AO146" s="244"/>
      <c r="AP146" s="245"/>
      <c r="AQ146" s="243" t="s">
        <v>401</v>
      </c>
      <c r="AR146" s="244"/>
      <c r="AS146" s="244"/>
      <c r="AT146" s="244"/>
      <c r="AU146" s="244"/>
      <c r="AV146" s="244"/>
      <c r="AW146" s="245"/>
      <c r="AX146" s="240" t="s">
        <v>358</v>
      </c>
      <c r="AY146" s="241"/>
      <c r="AZ146" s="241"/>
      <c r="BA146" s="241"/>
      <c r="BB146" s="241"/>
      <c r="BC146" s="241"/>
      <c r="BD146" s="242"/>
      <c r="BE146" s="175"/>
      <c r="BF146" s="175"/>
      <c r="BG146" s="175"/>
      <c r="BH146" s="175"/>
      <c r="BI146" s="176"/>
    </row>
    <row r="147" spans="7:61">
      <c r="G147" s="727"/>
      <c r="H147" s="727"/>
      <c r="I147" s="727"/>
      <c r="J147" s="727"/>
      <c r="K147" s="727"/>
      <c r="L147" s="803"/>
      <c r="M147" s="698"/>
      <c r="N147" s="698"/>
      <c r="O147" s="698"/>
      <c r="P147" s="698"/>
      <c r="Q147" s="698"/>
      <c r="R147" s="698"/>
      <c r="S147" s="698"/>
      <c r="T147" s="698"/>
      <c r="U147" s="698"/>
      <c r="V147" s="698"/>
      <c r="W147" s="698"/>
      <c r="X147" s="698"/>
      <c r="Y147" s="698"/>
      <c r="Z147" s="698"/>
      <c r="AA147" s="698"/>
      <c r="AB147" s="698"/>
      <c r="AC147" s="698"/>
      <c r="AD147" s="698"/>
      <c r="AE147" s="698"/>
      <c r="AF147" s="698"/>
      <c r="AG147" s="698"/>
      <c r="AH147" s="698"/>
      <c r="AI147" s="698"/>
      <c r="AJ147" s="700">
        <v>1.04</v>
      </c>
      <c r="AK147" s="700"/>
      <c r="AL147" s="700"/>
      <c r="AM147" s="701"/>
      <c r="AN147" s="804" t="s">
        <v>400</v>
      </c>
      <c r="AO147" s="805"/>
      <c r="AP147" s="806"/>
      <c r="AQ147" s="243" t="s">
        <v>254</v>
      </c>
      <c r="AR147" s="244"/>
      <c r="AS147" s="244"/>
      <c r="AT147" s="244"/>
      <c r="AU147" s="244"/>
      <c r="AV147" s="244"/>
      <c r="AW147" s="245"/>
      <c r="AX147" s="240" t="s">
        <v>389</v>
      </c>
      <c r="AY147" s="241"/>
      <c r="AZ147" s="241"/>
      <c r="BA147" s="241"/>
      <c r="BB147" s="241"/>
      <c r="BC147" s="241"/>
      <c r="BD147" s="242"/>
      <c r="BE147" s="243">
        <v>1</v>
      </c>
      <c r="BF147" s="244"/>
      <c r="BG147" s="244"/>
      <c r="BH147" s="244"/>
      <c r="BI147" s="245"/>
    </row>
    <row r="148" spans="7:61">
      <c r="G148" s="727"/>
      <c r="H148" s="727"/>
      <c r="I148" s="727"/>
      <c r="J148" s="727"/>
      <c r="K148" s="727"/>
      <c r="L148" s="803"/>
      <c r="M148" s="698"/>
      <c r="N148" s="698"/>
      <c r="O148" s="698"/>
      <c r="P148" s="698"/>
      <c r="Q148" s="698"/>
      <c r="R148" s="698"/>
      <c r="S148" s="698"/>
      <c r="T148" s="698"/>
      <c r="U148" s="698"/>
      <c r="V148" s="698"/>
      <c r="W148" s="698"/>
      <c r="X148" s="698"/>
      <c r="Y148" s="698"/>
      <c r="Z148" s="698"/>
      <c r="AA148" s="698"/>
      <c r="AB148" s="698"/>
      <c r="AC148" s="698"/>
      <c r="AD148" s="698"/>
      <c r="AE148" s="698"/>
      <c r="AF148" s="698"/>
      <c r="AG148" s="698"/>
      <c r="AH148" s="698"/>
      <c r="AI148" s="698"/>
      <c r="AJ148" s="700">
        <v>1.03</v>
      </c>
      <c r="AK148" s="700"/>
      <c r="AL148" s="700"/>
      <c r="AM148" s="701"/>
      <c r="AN148" s="243">
        <v>220</v>
      </c>
      <c r="AO148" s="244"/>
      <c r="AP148" s="245"/>
      <c r="AQ148" s="243" t="s">
        <v>357</v>
      </c>
      <c r="AR148" s="244"/>
      <c r="AS148" s="244"/>
      <c r="AT148" s="244"/>
      <c r="AU148" s="244"/>
      <c r="AV148" s="244"/>
      <c r="AW148" s="245"/>
      <c r="AX148" s="240" t="s">
        <v>358</v>
      </c>
      <c r="AY148" s="241"/>
      <c r="AZ148" s="241"/>
      <c r="BA148" s="241"/>
      <c r="BB148" s="241"/>
      <c r="BC148" s="241"/>
      <c r="BD148" s="242"/>
      <c r="BE148" s="175"/>
      <c r="BF148" s="175"/>
      <c r="BG148" s="175"/>
      <c r="BH148" s="175"/>
      <c r="BI148" s="176"/>
    </row>
    <row r="149" spans="7:61" ht="23.25" customHeight="1">
      <c r="G149" s="727"/>
      <c r="H149" s="727"/>
      <c r="I149" s="727"/>
      <c r="J149" s="727"/>
      <c r="K149" s="727"/>
      <c r="L149" s="727"/>
      <c r="M149" s="220" t="s">
        <v>404</v>
      </c>
      <c r="N149" s="718"/>
      <c r="O149" s="718"/>
      <c r="P149" s="718"/>
      <c r="Q149" s="718"/>
      <c r="R149" s="718"/>
      <c r="S149" s="718"/>
      <c r="T149" s="718"/>
      <c r="U149" s="718"/>
      <c r="V149" s="718"/>
      <c r="W149" s="718"/>
      <c r="X149" s="718"/>
      <c r="Y149" s="718"/>
      <c r="Z149" s="718"/>
      <c r="AA149" s="718"/>
      <c r="AB149" s="718"/>
      <c r="AC149" s="718"/>
      <c r="AD149" s="718"/>
      <c r="AE149" s="718"/>
      <c r="AF149" s="718"/>
      <c r="AG149" s="718"/>
      <c r="AH149" s="718"/>
      <c r="AI149" s="718"/>
      <c r="AJ149" s="718"/>
      <c r="AK149" s="718"/>
      <c r="AL149" s="718"/>
      <c r="AM149" s="718"/>
      <c r="AN149" s="718"/>
      <c r="AO149" s="718"/>
      <c r="AP149" s="718"/>
      <c r="AQ149" s="718"/>
      <c r="AR149" s="718"/>
      <c r="AS149" s="718"/>
      <c r="AT149" s="718"/>
      <c r="AU149" s="718"/>
      <c r="AV149" s="718"/>
      <c r="AW149" s="718"/>
      <c r="AX149" s="718"/>
      <c r="AY149" s="718"/>
      <c r="AZ149" s="718"/>
      <c r="BA149" s="718"/>
      <c r="BB149" s="718"/>
      <c r="BC149" s="718"/>
      <c r="BD149" s="718"/>
      <c r="BE149" s="718"/>
      <c r="BF149" s="718"/>
      <c r="BG149" s="718"/>
      <c r="BH149" s="718"/>
      <c r="BI149" s="719"/>
    </row>
    <row r="150" spans="7:61">
      <c r="G150" s="727" t="s">
        <v>294</v>
      </c>
      <c r="H150" s="727"/>
      <c r="I150" s="727"/>
      <c r="J150" s="727"/>
      <c r="K150" s="727"/>
      <c r="L150" s="727"/>
      <c r="M150" s="243">
        <v>400</v>
      </c>
      <c r="N150" s="244"/>
      <c r="O150" s="244"/>
      <c r="P150" s="243" t="s">
        <v>252</v>
      </c>
      <c r="Q150" s="244"/>
      <c r="R150" s="244"/>
      <c r="S150" s="244"/>
      <c r="T150" s="244"/>
      <c r="U150" s="244"/>
      <c r="V150" s="244"/>
      <c r="W150" s="245"/>
      <c r="X150" s="243" t="s">
        <v>253</v>
      </c>
      <c r="Y150" s="244"/>
      <c r="Z150" s="244"/>
      <c r="AA150" s="244"/>
      <c r="AB150" s="244"/>
      <c r="AC150" s="244"/>
      <c r="AD150" s="244"/>
      <c r="AE150" s="245"/>
      <c r="AF150" s="244"/>
      <c r="AG150" s="244"/>
      <c r="AH150" s="244"/>
      <c r="AI150" s="245"/>
      <c r="AJ150" s="709">
        <v>1.07</v>
      </c>
      <c r="AK150" s="700"/>
      <c r="AL150" s="700"/>
      <c r="AM150" s="701"/>
      <c r="AN150" s="804" t="s">
        <v>400</v>
      </c>
      <c r="AO150" s="805"/>
      <c r="AP150" s="806"/>
      <c r="AQ150" s="243" t="s">
        <v>41</v>
      </c>
      <c r="AR150" s="244"/>
      <c r="AS150" s="244"/>
      <c r="AT150" s="244"/>
      <c r="AU150" s="244"/>
      <c r="AV150" s="244"/>
      <c r="AW150" s="245"/>
      <c r="AX150" s="240" t="s">
        <v>389</v>
      </c>
      <c r="AY150" s="241"/>
      <c r="AZ150" s="241"/>
      <c r="BA150" s="241"/>
      <c r="BB150" s="241"/>
      <c r="BC150" s="241"/>
      <c r="BD150" s="242"/>
      <c r="BE150" s="243">
        <v>1</v>
      </c>
      <c r="BF150" s="244"/>
      <c r="BG150" s="244"/>
      <c r="BH150" s="244"/>
      <c r="BI150" s="245"/>
    </row>
    <row r="151" spans="7:61">
      <c r="G151" s="727"/>
      <c r="H151" s="727"/>
      <c r="I151" s="727"/>
      <c r="J151" s="727"/>
      <c r="K151" s="727"/>
      <c r="L151" s="727"/>
      <c r="M151" s="717" t="s">
        <v>403</v>
      </c>
      <c r="N151" s="718"/>
      <c r="O151" s="718"/>
      <c r="P151" s="718"/>
      <c r="Q151" s="718"/>
      <c r="R151" s="718"/>
      <c r="S151" s="718"/>
      <c r="T151" s="718"/>
      <c r="U151" s="718"/>
      <c r="V151" s="718"/>
      <c r="W151" s="718"/>
      <c r="X151" s="718"/>
      <c r="Y151" s="718"/>
      <c r="Z151" s="718"/>
      <c r="AA151" s="718"/>
      <c r="AB151" s="718"/>
      <c r="AC151" s="718"/>
      <c r="AD151" s="718"/>
      <c r="AE151" s="718"/>
      <c r="AF151" s="718"/>
      <c r="AG151" s="718"/>
      <c r="AH151" s="718"/>
      <c r="AI151" s="718"/>
      <c r="AJ151" s="718"/>
      <c r="AK151" s="718"/>
      <c r="AL151" s="718"/>
      <c r="AM151" s="718"/>
      <c r="AN151" s="718"/>
      <c r="AO151" s="718"/>
      <c r="AP151" s="718"/>
      <c r="AQ151" s="718"/>
      <c r="AR151" s="718"/>
      <c r="AS151" s="718"/>
      <c r="AT151" s="718"/>
      <c r="AU151" s="718"/>
      <c r="AV151" s="718"/>
      <c r="AW151" s="718"/>
      <c r="AX151" s="718"/>
      <c r="AY151" s="718"/>
      <c r="AZ151" s="718"/>
      <c r="BA151" s="718"/>
      <c r="BB151" s="718"/>
      <c r="BC151" s="718"/>
      <c r="BD151" s="718"/>
      <c r="BE151" s="718"/>
      <c r="BF151" s="718"/>
      <c r="BG151" s="718"/>
      <c r="BH151" s="718"/>
      <c r="BI151" s="719"/>
    </row>
    <row r="152" spans="7:61">
      <c r="G152" s="727" t="s">
        <v>394</v>
      </c>
      <c r="H152" s="727"/>
      <c r="I152" s="727"/>
      <c r="J152" s="727"/>
      <c r="K152" s="727"/>
      <c r="L152" s="727"/>
      <c r="M152" s="698">
        <v>400</v>
      </c>
      <c r="N152" s="698"/>
      <c r="O152" s="698"/>
      <c r="P152" s="698" t="s">
        <v>395</v>
      </c>
      <c r="Q152" s="698"/>
      <c r="R152" s="698"/>
      <c r="S152" s="698"/>
      <c r="T152" s="698"/>
      <c r="U152" s="698"/>
      <c r="V152" s="698"/>
      <c r="W152" s="698"/>
      <c r="X152" s="698" t="s">
        <v>396</v>
      </c>
      <c r="Y152" s="698"/>
      <c r="Z152" s="698"/>
      <c r="AA152" s="698"/>
      <c r="AB152" s="698"/>
      <c r="AC152" s="698"/>
      <c r="AD152" s="698"/>
      <c r="AE152" s="698"/>
      <c r="AF152" s="698"/>
      <c r="AG152" s="698"/>
      <c r="AH152" s="698"/>
      <c r="AI152" s="698"/>
      <c r="AJ152" s="728">
        <v>1.03</v>
      </c>
      <c r="AK152" s="728"/>
      <c r="AL152" s="728"/>
      <c r="AM152" s="728"/>
      <c r="AN152" s="698">
        <v>400</v>
      </c>
      <c r="AO152" s="698"/>
      <c r="AP152" s="698"/>
      <c r="AQ152" s="698" t="s">
        <v>395</v>
      </c>
      <c r="AR152" s="698"/>
      <c r="AS152" s="698"/>
      <c r="AT152" s="698"/>
      <c r="AU152" s="698"/>
      <c r="AV152" s="698"/>
      <c r="AW152" s="698"/>
      <c r="AX152" s="698" t="s">
        <v>397</v>
      </c>
      <c r="AY152" s="698"/>
      <c r="AZ152" s="698"/>
      <c r="BA152" s="698"/>
      <c r="BB152" s="698"/>
      <c r="BC152" s="698"/>
      <c r="BD152" s="698"/>
      <c r="BE152" s="698"/>
      <c r="BF152" s="698"/>
      <c r="BG152" s="698"/>
      <c r="BH152" s="698"/>
      <c r="BI152" s="698"/>
    </row>
    <row r="153" spans="7:61">
      <c r="G153" s="727"/>
      <c r="H153" s="727"/>
      <c r="I153" s="727"/>
      <c r="J153" s="727"/>
      <c r="K153" s="727"/>
      <c r="L153" s="727"/>
      <c r="M153" s="720" t="s">
        <v>402</v>
      </c>
      <c r="N153" s="720"/>
      <c r="O153" s="720"/>
      <c r="P153" s="720"/>
      <c r="Q153" s="720"/>
      <c r="R153" s="720"/>
      <c r="S153" s="720"/>
      <c r="T153" s="720"/>
      <c r="U153" s="720"/>
      <c r="V153" s="720"/>
      <c r="W153" s="720"/>
      <c r="X153" s="720"/>
      <c r="Y153" s="720"/>
      <c r="Z153" s="720"/>
      <c r="AA153" s="720"/>
      <c r="AB153" s="720"/>
      <c r="AC153" s="720"/>
      <c r="AD153" s="720"/>
      <c r="AE153" s="720"/>
      <c r="AF153" s="720"/>
      <c r="AG153" s="720"/>
      <c r="AH153" s="720"/>
      <c r="AI153" s="720"/>
      <c r="AJ153" s="720"/>
      <c r="AK153" s="720"/>
      <c r="AL153" s="720"/>
      <c r="AM153" s="720"/>
      <c r="AN153" s="720"/>
      <c r="AO153" s="720"/>
      <c r="AP153" s="720"/>
      <c r="AQ153" s="720"/>
      <c r="AR153" s="720"/>
      <c r="AS153" s="720"/>
      <c r="AT153" s="720"/>
      <c r="AU153" s="720"/>
      <c r="AV153" s="720"/>
      <c r="AW153" s="720"/>
      <c r="AX153" s="720"/>
      <c r="AY153" s="720"/>
      <c r="AZ153" s="720"/>
      <c r="BA153" s="720"/>
      <c r="BB153" s="720"/>
      <c r="BC153" s="720"/>
      <c r="BD153" s="720"/>
      <c r="BE153" s="720"/>
      <c r="BF153" s="720"/>
      <c r="BG153" s="720"/>
      <c r="BH153" s="720"/>
      <c r="BI153" s="720"/>
    </row>
    <row r="154" spans="7:61">
      <c r="G154" s="693" t="s">
        <v>406</v>
      </c>
      <c r="H154" s="694"/>
      <c r="I154" s="694"/>
      <c r="J154" s="694"/>
      <c r="K154" s="694"/>
      <c r="L154" s="708"/>
      <c r="M154" s="243">
        <v>380</v>
      </c>
      <c r="N154" s="244"/>
      <c r="O154" s="245"/>
      <c r="P154" s="243" t="s">
        <v>254</v>
      </c>
      <c r="Q154" s="244"/>
      <c r="R154" s="244"/>
      <c r="S154" s="244"/>
      <c r="T154" s="244"/>
      <c r="U154" s="244"/>
      <c r="V154" s="244"/>
      <c r="W154" s="245"/>
      <c r="X154" s="243" t="s">
        <v>405</v>
      </c>
      <c r="Y154" s="244"/>
      <c r="Z154" s="244"/>
      <c r="AA154" s="244"/>
      <c r="AB154" s="244"/>
      <c r="AC154" s="244"/>
      <c r="AD154" s="244"/>
      <c r="AE154" s="245"/>
      <c r="AF154" s="243">
        <v>1</v>
      </c>
      <c r="AG154" s="244"/>
      <c r="AH154" s="244"/>
      <c r="AI154" s="245"/>
      <c r="AJ154" s="709">
        <v>1.06</v>
      </c>
      <c r="AK154" s="700"/>
      <c r="AL154" s="700"/>
      <c r="AM154" s="701"/>
      <c r="AN154" s="807">
        <v>220</v>
      </c>
      <c r="AO154" s="808"/>
      <c r="AP154" s="809"/>
      <c r="AQ154" s="243" t="s">
        <v>254</v>
      </c>
      <c r="AR154" s="244"/>
      <c r="AS154" s="244"/>
      <c r="AT154" s="244"/>
      <c r="AU154" s="244"/>
      <c r="AV154" s="244"/>
      <c r="AW154" s="245"/>
      <c r="AX154" s="240" t="s">
        <v>253</v>
      </c>
      <c r="AY154" s="241"/>
      <c r="AZ154" s="241"/>
      <c r="BA154" s="241"/>
      <c r="BB154" s="241"/>
      <c r="BC154" s="241"/>
      <c r="BD154" s="242"/>
      <c r="BE154" s="243" t="s">
        <v>409</v>
      </c>
      <c r="BF154" s="244"/>
      <c r="BG154" s="244"/>
      <c r="BH154" s="244"/>
      <c r="BI154" s="245"/>
    </row>
    <row r="155" spans="7:61">
      <c r="G155" s="695"/>
      <c r="H155" s="696"/>
      <c r="I155" s="696"/>
      <c r="J155" s="696"/>
      <c r="K155" s="696"/>
      <c r="L155" s="697"/>
      <c r="M155" s="716" t="s">
        <v>410</v>
      </c>
      <c r="N155" s="718"/>
      <c r="O155" s="718"/>
      <c r="P155" s="718"/>
      <c r="Q155" s="718"/>
      <c r="R155" s="718"/>
      <c r="S155" s="718"/>
      <c r="T155" s="718"/>
      <c r="U155" s="718"/>
      <c r="V155" s="718"/>
      <c r="W155" s="718"/>
      <c r="X155" s="718"/>
      <c r="Y155" s="718"/>
      <c r="Z155" s="718"/>
      <c r="AA155" s="718"/>
      <c r="AB155" s="718"/>
      <c r="AC155" s="718"/>
      <c r="AD155" s="718"/>
      <c r="AE155" s="718"/>
      <c r="AF155" s="718"/>
      <c r="AG155" s="718"/>
      <c r="AH155" s="718"/>
      <c r="AI155" s="718"/>
      <c r="AJ155" s="718"/>
      <c r="AK155" s="718"/>
      <c r="AL155" s="718"/>
      <c r="AM155" s="718"/>
      <c r="AN155" s="718"/>
      <c r="AO155" s="718"/>
      <c r="AP155" s="718"/>
      <c r="AQ155" s="718"/>
      <c r="AR155" s="718"/>
      <c r="AS155" s="718"/>
      <c r="AT155" s="718"/>
      <c r="AU155" s="718"/>
      <c r="AV155" s="718"/>
      <c r="AW155" s="718"/>
      <c r="AX155" s="718"/>
      <c r="AY155" s="718"/>
      <c r="AZ155" s="718"/>
      <c r="BA155" s="718"/>
      <c r="BB155" s="718"/>
      <c r="BC155" s="718"/>
      <c r="BD155" s="718"/>
      <c r="BE155" s="718"/>
      <c r="BF155" s="718"/>
      <c r="BG155" s="718"/>
      <c r="BH155" s="718"/>
      <c r="BI155" s="719"/>
    </row>
    <row r="156" spans="7:61">
      <c r="G156" s="712" t="s">
        <v>295</v>
      </c>
      <c r="H156" s="712"/>
      <c r="I156" s="712"/>
      <c r="J156" s="712"/>
      <c r="K156" s="712"/>
      <c r="L156" s="712"/>
      <c r="M156" s="243">
        <v>380</v>
      </c>
      <c r="N156" s="244"/>
      <c r="O156" s="245"/>
      <c r="P156" s="243" t="s">
        <v>284</v>
      </c>
      <c r="Q156" s="244"/>
      <c r="R156" s="244"/>
      <c r="S156" s="244"/>
      <c r="T156" s="244"/>
      <c r="U156" s="244"/>
      <c r="V156" s="244"/>
      <c r="W156" s="244"/>
      <c r="X156" s="244"/>
      <c r="Y156" s="244"/>
      <c r="Z156" s="244"/>
      <c r="AA156" s="244"/>
      <c r="AB156" s="244"/>
      <c r="AC156" s="244"/>
      <c r="AD156" s="244"/>
      <c r="AE156" s="245"/>
      <c r="AF156" s="243" t="s">
        <v>93</v>
      </c>
      <c r="AG156" s="244"/>
      <c r="AH156" s="244"/>
      <c r="AI156" s="245"/>
      <c r="AJ156" s="709">
        <v>1.03</v>
      </c>
      <c r="AK156" s="700"/>
      <c r="AL156" s="700"/>
      <c r="AM156" s="701"/>
      <c r="AN156" s="243">
        <v>380</v>
      </c>
      <c r="AO156" s="244"/>
      <c r="AP156" s="245"/>
      <c r="AQ156" s="243" t="s">
        <v>146</v>
      </c>
      <c r="AR156" s="244"/>
      <c r="AS156" s="244"/>
      <c r="AT156" s="244"/>
      <c r="AU156" s="244"/>
      <c r="AV156" s="244"/>
      <c r="AW156" s="245"/>
      <c r="AX156" s="240" t="s">
        <v>158</v>
      </c>
      <c r="AY156" s="241"/>
      <c r="AZ156" s="241"/>
      <c r="BA156" s="241"/>
      <c r="BB156" s="241"/>
      <c r="BC156" s="241"/>
      <c r="BD156" s="242"/>
      <c r="BE156" s="243"/>
      <c r="BF156" s="244"/>
      <c r="BG156" s="244"/>
      <c r="BH156" s="244"/>
      <c r="BI156" s="245"/>
    </row>
    <row r="157" spans="7:61">
      <c r="G157" s="712"/>
      <c r="H157" s="712"/>
      <c r="I157" s="712"/>
      <c r="J157" s="712"/>
      <c r="K157" s="712"/>
      <c r="L157" s="712"/>
      <c r="M157" s="713"/>
      <c r="N157" s="714"/>
      <c r="O157" s="715"/>
      <c r="P157" s="713"/>
      <c r="Q157" s="714"/>
      <c r="R157" s="714"/>
      <c r="S157" s="714"/>
      <c r="T157" s="714"/>
      <c r="U157" s="714"/>
      <c r="V157" s="714"/>
      <c r="W157" s="714"/>
      <c r="X157" s="714"/>
      <c r="Y157" s="714"/>
      <c r="Z157" s="714"/>
      <c r="AA157" s="714"/>
      <c r="AB157" s="714"/>
      <c r="AC157" s="714"/>
      <c r="AD157" s="714"/>
      <c r="AE157" s="715"/>
      <c r="AF157" s="713"/>
      <c r="AG157" s="714"/>
      <c r="AH157" s="714"/>
      <c r="AI157" s="715"/>
      <c r="AJ157" s="709">
        <v>0.95</v>
      </c>
      <c r="AK157" s="700"/>
      <c r="AL157" s="700"/>
      <c r="AM157" s="701"/>
      <c r="AN157" s="243">
        <v>380</v>
      </c>
      <c r="AO157" s="244"/>
      <c r="AP157" s="245"/>
      <c r="AQ157" s="243" t="s">
        <v>165</v>
      </c>
      <c r="AR157" s="244"/>
      <c r="AS157" s="244"/>
      <c r="AT157" s="244"/>
      <c r="AU157" s="244"/>
      <c r="AV157" s="244"/>
      <c r="AW157" s="245"/>
      <c r="AX157" s="240" t="s">
        <v>164</v>
      </c>
      <c r="AY157" s="241"/>
      <c r="AZ157" s="241"/>
      <c r="BA157" s="241"/>
      <c r="BB157" s="241"/>
      <c r="BC157" s="241"/>
      <c r="BD157" s="242"/>
      <c r="BE157" s="243"/>
      <c r="BF157" s="244"/>
      <c r="BG157" s="244"/>
      <c r="BH157" s="244"/>
      <c r="BI157" s="245"/>
    </row>
    <row r="158" spans="7:61">
      <c r="G158" s="712"/>
      <c r="H158" s="712"/>
      <c r="I158" s="712"/>
      <c r="J158" s="712"/>
      <c r="K158" s="712"/>
      <c r="L158" s="712"/>
      <c r="M158" s="716" t="s">
        <v>411</v>
      </c>
      <c r="N158" s="221"/>
      <c r="O158" s="221"/>
      <c r="P158" s="221"/>
      <c r="Q158" s="221"/>
      <c r="R158" s="221"/>
      <c r="S158" s="221"/>
      <c r="T158" s="221"/>
      <c r="U158" s="221"/>
      <c r="V158" s="221"/>
      <c r="W158" s="221"/>
      <c r="X158" s="221"/>
      <c r="Y158" s="221"/>
      <c r="Z158" s="221"/>
      <c r="AA158" s="221"/>
      <c r="AB158" s="221"/>
      <c r="AC158" s="221"/>
      <c r="AD158" s="221"/>
      <c r="AE158" s="221"/>
      <c r="AF158" s="221"/>
      <c r="AG158" s="221"/>
      <c r="AH158" s="221"/>
      <c r="AI158" s="221"/>
      <c r="AJ158" s="221"/>
      <c r="AK158" s="221"/>
      <c r="AL158" s="221"/>
      <c r="AM158" s="221"/>
      <c r="AN158" s="221"/>
      <c r="AO158" s="221"/>
      <c r="AP158" s="221"/>
      <c r="AQ158" s="221"/>
      <c r="AR158" s="221"/>
      <c r="AS158" s="221"/>
      <c r="AT158" s="221"/>
      <c r="AU158" s="221"/>
      <c r="AV158" s="221"/>
      <c r="AW158" s="221"/>
      <c r="AX158" s="221"/>
      <c r="AY158" s="221"/>
      <c r="AZ158" s="221"/>
      <c r="BA158" s="221"/>
      <c r="BB158" s="221"/>
      <c r="BC158" s="221"/>
      <c r="BD158" s="221"/>
      <c r="BE158" s="221"/>
      <c r="BF158" s="221"/>
      <c r="BG158" s="221"/>
      <c r="BH158" s="221"/>
      <c r="BI158" s="222"/>
    </row>
    <row r="159" spans="7:61">
      <c r="G159" s="747" t="s">
        <v>21</v>
      </c>
      <c r="H159" s="747"/>
      <c r="I159" s="747"/>
      <c r="J159" s="747"/>
      <c r="K159" s="747"/>
      <c r="L159" s="747"/>
      <c r="M159" s="698">
        <v>380</v>
      </c>
      <c r="N159" s="698"/>
      <c r="O159" s="698"/>
      <c r="P159" s="698" t="s">
        <v>92</v>
      </c>
      <c r="Q159" s="698"/>
      <c r="R159" s="698"/>
      <c r="S159" s="698"/>
      <c r="T159" s="698"/>
      <c r="U159" s="698"/>
      <c r="V159" s="698"/>
      <c r="W159" s="698"/>
      <c r="X159" s="698" t="s">
        <v>142</v>
      </c>
      <c r="Y159" s="698"/>
      <c r="Z159" s="698"/>
      <c r="AA159" s="698"/>
      <c r="AB159" s="698"/>
      <c r="AC159" s="698"/>
      <c r="AD159" s="698"/>
      <c r="AE159" s="698"/>
      <c r="AF159" s="698" t="s">
        <v>223</v>
      </c>
      <c r="AG159" s="698"/>
      <c r="AH159" s="698"/>
      <c r="AI159" s="698"/>
      <c r="AJ159" s="700">
        <v>1.03</v>
      </c>
      <c r="AK159" s="700"/>
      <c r="AL159" s="700"/>
      <c r="AM159" s="701"/>
      <c r="AN159" s="243">
        <v>380</v>
      </c>
      <c r="AO159" s="244"/>
      <c r="AP159" s="245"/>
      <c r="AQ159" s="243" t="s">
        <v>407</v>
      </c>
      <c r="AR159" s="244"/>
      <c r="AS159" s="244"/>
      <c r="AT159" s="244"/>
      <c r="AU159" s="244"/>
      <c r="AV159" s="244"/>
      <c r="AW159" s="245"/>
      <c r="AX159" s="240" t="s">
        <v>408</v>
      </c>
      <c r="AY159" s="241"/>
      <c r="AZ159" s="241"/>
      <c r="BA159" s="241"/>
      <c r="BB159" s="241"/>
      <c r="BC159" s="241"/>
      <c r="BD159" s="242"/>
      <c r="BE159" s="243"/>
      <c r="BF159" s="244"/>
      <c r="BG159" s="244"/>
      <c r="BH159" s="244"/>
      <c r="BI159" s="245"/>
    </row>
    <row r="160" spans="7:61">
      <c r="G160" s="747"/>
      <c r="H160" s="747"/>
      <c r="I160" s="747"/>
      <c r="J160" s="747"/>
      <c r="K160" s="747"/>
      <c r="L160" s="747"/>
      <c r="M160" s="717" t="s">
        <v>412</v>
      </c>
      <c r="N160" s="718"/>
      <c r="O160" s="718"/>
      <c r="P160" s="718"/>
      <c r="Q160" s="718"/>
      <c r="R160" s="718"/>
      <c r="S160" s="718"/>
      <c r="T160" s="718"/>
      <c r="U160" s="718"/>
      <c r="V160" s="718"/>
      <c r="W160" s="718"/>
      <c r="X160" s="718"/>
      <c r="Y160" s="718"/>
      <c r="Z160" s="718"/>
      <c r="AA160" s="718"/>
      <c r="AB160" s="718"/>
      <c r="AC160" s="718"/>
      <c r="AD160" s="718"/>
      <c r="AE160" s="718"/>
      <c r="AF160" s="718"/>
      <c r="AG160" s="718"/>
      <c r="AH160" s="718"/>
      <c r="AI160" s="718"/>
      <c r="AJ160" s="718"/>
      <c r="AK160" s="718"/>
      <c r="AL160" s="718"/>
      <c r="AM160" s="718"/>
      <c r="AN160" s="718"/>
      <c r="AO160" s="718"/>
      <c r="AP160" s="718"/>
      <c r="AQ160" s="718"/>
      <c r="AR160" s="718"/>
      <c r="AS160" s="718"/>
      <c r="AT160" s="718"/>
      <c r="AU160" s="718"/>
      <c r="AV160" s="718"/>
      <c r="AW160" s="718"/>
      <c r="AX160" s="718"/>
      <c r="AY160" s="718"/>
      <c r="AZ160" s="718"/>
      <c r="BA160" s="718"/>
      <c r="BB160" s="718"/>
      <c r="BC160" s="718"/>
      <c r="BD160" s="718"/>
      <c r="BE160" s="718"/>
      <c r="BF160" s="718"/>
      <c r="BG160" s="718"/>
      <c r="BH160" s="718"/>
      <c r="BI160" s="719"/>
    </row>
    <row r="161" spans="7:61">
      <c r="G161" s="712" t="s">
        <v>295</v>
      </c>
      <c r="H161" s="712"/>
      <c r="I161" s="712"/>
      <c r="J161" s="712"/>
      <c r="K161" s="712"/>
      <c r="L161" s="712"/>
      <c r="M161" s="243">
        <v>380</v>
      </c>
      <c r="N161" s="244"/>
      <c r="O161" s="245"/>
      <c r="P161" s="243" t="s">
        <v>284</v>
      </c>
      <c r="Q161" s="244"/>
      <c r="R161" s="244"/>
      <c r="S161" s="244"/>
      <c r="T161" s="244"/>
      <c r="U161" s="244"/>
      <c r="V161" s="244"/>
      <c r="W161" s="244"/>
      <c r="X161" s="244"/>
      <c r="Y161" s="244"/>
      <c r="Z161" s="244"/>
      <c r="AA161" s="244"/>
      <c r="AB161" s="244"/>
      <c r="AC161" s="244"/>
      <c r="AD161" s="244"/>
      <c r="AE161" s="245"/>
      <c r="AF161" s="243" t="s">
        <v>93</v>
      </c>
      <c r="AG161" s="244"/>
      <c r="AH161" s="244"/>
      <c r="AI161" s="245"/>
      <c r="AJ161" s="709">
        <v>1.06</v>
      </c>
      <c r="AK161" s="700"/>
      <c r="AL161" s="700"/>
      <c r="AM161" s="701"/>
      <c r="AN161" s="243">
        <v>380</v>
      </c>
      <c r="AO161" s="244"/>
      <c r="AP161" s="245"/>
      <c r="AQ161" s="243" t="s">
        <v>146</v>
      </c>
      <c r="AR161" s="244"/>
      <c r="AS161" s="244"/>
      <c r="AT161" s="244"/>
      <c r="AU161" s="244"/>
      <c r="AV161" s="244"/>
      <c r="AW161" s="245"/>
      <c r="AX161" s="240" t="s">
        <v>158</v>
      </c>
      <c r="AY161" s="241"/>
      <c r="AZ161" s="241"/>
      <c r="BA161" s="241"/>
      <c r="BB161" s="241"/>
      <c r="BC161" s="241"/>
      <c r="BD161" s="242"/>
      <c r="BE161" s="243"/>
      <c r="BF161" s="244"/>
      <c r="BG161" s="244"/>
      <c r="BH161" s="244"/>
      <c r="BI161" s="245"/>
    </row>
    <row r="162" spans="7:61">
      <c r="G162" s="712"/>
      <c r="H162" s="712"/>
      <c r="I162" s="712"/>
      <c r="J162" s="712"/>
      <c r="K162" s="712"/>
      <c r="L162" s="712"/>
      <c r="M162" s="713"/>
      <c r="N162" s="714"/>
      <c r="O162" s="715"/>
      <c r="P162" s="713"/>
      <c r="Q162" s="714"/>
      <c r="R162" s="714"/>
      <c r="S162" s="714"/>
      <c r="T162" s="714"/>
      <c r="U162" s="714"/>
      <c r="V162" s="714"/>
      <c r="W162" s="714"/>
      <c r="X162" s="714"/>
      <c r="Y162" s="714"/>
      <c r="Z162" s="714"/>
      <c r="AA162" s="714"/>
      <c r="AB162" s="714"/>
      <c r="AC162" s="714"/>
      <c r="AD162" s="714"/>
      <c r="AE162" s="715"/>
      <c r="AF162" s="713"/>
      <c r="AG162" s="714"/>
      <c r="AH162" s="714"/>
      <c r="AI162" s="715"/>
      <c r="AJ162" s="709">
        <v>0.97</v>
      </c>
      <c r="AK162" s="700"/>
      <c r="AL162" s="700"/>
      <c r="AM162" s="701"/>
      <c r="AN162" s="243">
        <v>380</v>
      </c>
      <c r="AO162" s="244"/>
      <c r="AP162" s="245"/>
      <c r="AQ162" s="243" t="s">
        <v>165</v>
      </c>
      <c r="AR162" s="244"/>
      <c r="AS162" s="244"/>
      <c r="AT162" s="244"/>
      <c r="AU162" s="244"/>
      <c r="AV162" s="244"/>
      <c r="AW162" s="245"/>
      <c r="AX162" s="240" t="s">
        <v>164</v>
      </c>
      <c r="AY162" s="241"/>
      <c r="AZ162" s="241"/>
      <c r="BA162" s="241"/>
      <c r="BB162" s="241"/>
      <c r="BC162" s="241"/>
      <c r="BD162" s="242"/>
      <c r="BE162" s="243"/>
      <c r="BF162" s="244"/>
      <c r="BG162" s="244"/>
      <c r="BH162" s="244"/>
      <c r="BI162" s="245"/>
    </row>
    <row r="163" spans="7:61" ht="23.25" customHeight="1">
      <c r="G163" s="712"/>
      <c r="H163" s="712"/>
      <c r="I163" s="712"/>
      <c r="J163" s="712"/>
      <c r="K163" s="712"/>
      <c r="L163" s="712"/>
      <c r="M163" s="716" t="s">
        <v>413</v>
      </c>
      <c r="N163" s="221"/>
      <c r="O163" s="221"/>
      <c r="P163" s="221"/>
      <c r="Q163" s="221"/>
      <c r="R163" s="221"/>
      <c r="S163" s="221"/>
      <c r="T163" s="221"/>
      <c r="U163" s="221"/>
      <c r="V163" s="221"/>
      <c r="W163" s="221"/>
      <c r="X163" s="221"/>
      <c r="Y163" s="221"/>
      <c r="Z163" s="221"/>
      <c r="AA163" s="221"/>
      <c r="AB163" s="221"/>
      <c r="AC163" s="221"/>
      <c r="AD163" s="221"/>
      <c r="AE163" s="221"/>
      <c r="AF163" s="221"/>
      <c r="AG163" s="221"/>
      <c r="AH163" s="221"/>
      <c r="AI163" s="221"/>
      <c r="AJ163" s="221"/>
      <c r="AK163" s="221"/>
      <c r="AL163" s="221"/>
      <c r="AM163" s="221"/>
      <c r="AN163" s="221"/>
      <c r="AO163" s="221"/>
      <c r="AP163" s="221"/>
      <c r="AQ163" s="221"/>
      <c r="AR163" s="221"/>
      <c r="AS163" s="221"/>
      <c r="AT163" s="221"/>
      <c r="AU163" s="221"/>
      <c r="AV163" s="221"/>
      <c r="AW163" s="221"/>
      <c r="AX163" s="221"/>
      <c r="AY163" s="221"/>
      <c r="AZ163" s="221"/>
      <c r="BA163" s="221"/>
      <c r="BB163" s="221"/>
      <c r="BC163" s="221"/>
      <c r="BD163" s="221"/>
      <c r="BE163" s="221"/>
      <c r="BF163" s="221"/>
      <c r="BG163" s="221"/>
      <c r="BH163" s="221"/>
      <c r="BI163" s="222"/>
    </row>
    <row r="164" spans="7:61">
      <c r="G164" s="693" t="s">
        <v>11</v>
      </c>
      <c r="H164" s="694"/>
      <c r="I164" s="694"/>
      <c r="J164" s="694"/>
      <c r="K164" s="694"/>
      <c r="L164" s="694"/>
      <c r="M164" s="698">
        <v>400</v>
      </c>
      <c r="N164" s="698"/>
      <c r="O164" s="698"/>
      <c r="P164" s="698" t="s">
        <v>42</v>
      </c>
      <c r="Q164" s="698"/>
      <c r="R164" s="698"/>
      <c r="S164" s="698"/>
      <c r="T164" s="698"/>
      <c r="U164" s="698"/>
      <c r="V164" s="698"/>
      <c r="W164" s="698"/>
      <c r="X164" s="699" t="s">
        <v>216</v>
      </c>
      <c r="Y164" s="699"/>
      <c r="Z164" s="699"/>
      <c r="AA164" s="699"/>
      <c r="AB164" s="699"/>
      <c r="AC164" s="699"/>
      <c r="AD164" s="699"/>
      <c r="AE164" s="699"/>
      <c r="AF164" s="698" t="s">
        <v>355</v>
      </c>
      <c r="AG164" s="698"/>
      <c r="AH164" s="698"/>
      <c r="AI164" s="698"/>
      <c r="AJ164" s="700" t="s">
        <v>472</v>
      </c>
      <c r="AK164" s="700"/>
      <c r="AL164" s="700"/>
      <c r="AM164" s="701"/>
      <c r="AN164" s="243">
        <v>220</v>
      </c>
      <c r="AO164" s="244"/>
      <c r="AP164" s="245"/>
      <c r="AQ164" s="243" t="s">
        <v>42</v>
      </c>
      <c r="AR164" s="244"/>
      <c r="AS164" s="244"/>
      <c r="AT164" s="244"/>
      <c r="AU164" s="244"/>
      <c r="AV164" s="244"/>
      <c r="AW164" s="245"/>
      <c r="AX164" s="243" t="s">
        <v>362</v>
      </c>
      <c r="AY164" s="244"/>
      <c r="AZ164" s="244"/>
      <c r="BA164" s="244"/>
      <c r="BB164" s="244"/>
      <c r="BC164" s="244"/>
      <c r="BD164" s="245"/>
      <c r="BE164" s="243">
        <v>2</v>
      </c>
      <c r="BF164" s="244"/>
      <c r="BG164" s="244"/>
      <c r="BH164" s="244"/>
      <c r="BI164" s="245"/>
    </row>
    <row r="165" spans="7:61">
      <c r="G165" s="710"/>
      <c r="H165" s="711"/>
      <c r="I165" s="711"/>
      <c r="J165" s="711"/>
      <c r="K165" s="711"/>
      <c r="L165" s="711"/>
      <c r="M165" s="698"/>
      <c r="N165" s="698"/>
      <c r="O165" s="698"/>
      <c r="P165" s="698"/>
      <c r="Q165" s="698"/>
      <c r="R165" s="698"/>
      <c r="S165" s="698"/>
      <c r="T165" s="698"/>
      <c r="U165" s="698"/>
      <c r="V165" s="698"/>
      <c r="W165" s="698"/>
      <c r="X165" s="699"/>
      <c r="Y165" s="699"/>
      <c r="Z165" s="699"/>
      <c r="AA165" s="699"/>
      <c r="AB165" s="699"/>
      <c r="AC165" s="699"/>
      <c r="AD165" s="699"/>
      <c r="AE165" s="699"/>
      <c r="AF165" s="698"/>
      <c r="AG165" s="698"/>
      <c r="AH165" s="698"/>
      <c r="AI165" s="698"/>
      <c r="AJ165" s="700" t="s">
        <v>237</v>
      </c>
      <c r="AK165" s="700"/>
      <c r="AL165" s="700"/>
      <c r="AM165" s="701"/>
      <c r="AN165" s="243">
        <v>220</v>
      </c>
      <c r="AO165" s="244"/>
      <c r="AP165" s="245"/>
      <c r="AQ165" s="243" t="s">
        <v>473</v>
      </c>
      <c r="AR165" s="244"/>
      <c r="AS165" s="244"/>
      <c r="AT165" s="244"/>
      <c r="AU165" s="244"/>
      <c r="AV165" s="244"/>
      <c r="AW165" s="245"/>
      <c r="AX165" s="243" t="s">
        <v>474</v>
      </c>
      <c r="AY165" s="244"/>
      <c r="AZ165" s="244"/>
      <c r="BA165" s="244"/>
      <c r="BB165" s="244"/>
      <c r="BC165" s="244"/>
      <c r="BD165" s="245"/>
      <c r="BE165" s="243"/>
      <c r="BF165" s="244"/>
      <c r="BG165" s="244"/>
      <c r="BH165" s="244"/>
      <c r="BI165" s="245"/>
    </row>
    <row r="166" spans="7:61" ht="36" customHeight="1">
      <c r="G166" s="695"/>
      <c r="H166" s="696"/>
      <c r="I166" s="696"/>
      <c r="J166" s="696"/>
      <c r="K166" s="696"/>
      <c r="L166" s="697"/>
      <c r="M166" s="220" t="s">
        <v>476</v>
      </c>
      <c r="N166" s="691"/>
      <c r="O166" s="691"/>
      <c r="P166" s="691"/>
      <c r="Q166" s="691"/>
      <c r="R166" s="691"/>
      <c r="S166" s="691"/>
      <c r="T166" s="691"/>
      <c r="U166" s="691"/>
      <c r="V166" s="691"/>
      <c r="W166" s="691"/>
      <c r="X166" s="691"/>
      <c r="Y166" s="691"/>
      <c r="Z166" s="691"/>
      <c r="AA166" s="691"/>
      <c r="AB166" s="691"/>
      <c r="AC166" s="691"/>
      <c r="AD166" s="691"/>
      <c r="AE166" s="691"/>
      <c r="AF166" s="691"/>
      <c r="AG166" s="691"/>
      <c r="AH166" s="691"/>
      <c r="AI166" s="691"/>
      <c r="AJ166" s="691"/>
      <c r="AK166" s="691"/>
      <c r="AL166" s="691"/>
      <c r="AM166" s="691"/>
      <c r="AN166" s="691"/>
      <c r="AO166" s="691"/>
      <c r="AP166" s="691"/>
      <c r="AQ166" s="691"/>
      <c r="AR166" s="691"/>
      <c r="AS166" s="691"/>
      <c r="AT166" s="691"/>
      <c r="AU166" s="691"/>
      <c r="AV166" s="691"/>
      <c r="AW166" s="691"/>
      <c r="AX166" s="691"/>
      <c r="AY166" s="691"/>
      <c r="AZ166" s="691"/>
      <c r="BA166" s="691"/>
      <c r="BB166" s="691"/>
      <c r="BC166" s="691"/>
      <c r="BD166" s="691"/>
      <c r="BE166" s="691"/>
      <c r="BF166" s="691"/>
      <c r="BG166" s="691"/>
      <c r="BH166" s="691"/>
      <c r="BI166" s="692"/>
    </row>
    <row r="167" spans="7:61">
      <c r="G167" s="693" t="s">
        <v>11</v>
      </c>
      <c r="H167" s="694"/>
      <c r="I167" s="694"/>
      <c r="J167" s="694"/>
      <c r="K167" s="694"/>
      <c r="L167" s="694"/>
      <c r="M167" s="698">
        <v>400</v>
      </c>
      <c r="N167" s="698"/>
      <c r="O167" s="698"/>
      <c r="P167" s="698" t="s">
        <v>42</v>
      </c>
      <c r="Q167" s="698"/>
      <c r="R167" s="698"/>
      <c r="S167" s="698"/>
      <c r="T167" s="698"/>
      <c r="U167" s="698"/>
      <c r="V167" s="698"/>
      <c r="W167" s="698"/>
      <c r="X167" s="699" t="s">
        <v>214</v>
      </c>
      <c r="Y167" s="699"/>
      <c r="Z167" s="699"/>
      <c r="AA167" s="699"/>
      <c r="AB167" s="699"/>
      <c r="AC167" s="699"/>
      <c r="AD167" s="699"/>
      <c r="AE167" s="699"/>
      <c r="AF167" s="698" t="s">
        <v>93</v>
      </c>
      <c r="AG167" s="698"/>
      <c r="AH167" s="698"/>
      <c r="AI167" s="698"/>
      <c r="AJ167" s="700" t="s">
        <v>475</v>
      </c>
      <c r="AK167" s="700"/>
      <c r="AL167" s="700"/>
      <c r="AM167" s="701"/>
      <c r="AN167" s="243">
        <v>400</v>
      </c>
      <c r="AO167" s="244"/>
      <c r="AP167" s="245"/>
      <c r="AQ167" s="243" t="s">
        <v>42</v>
      </c>
      <c r="AR167" s="244"/>
      <c r="AS167" s="244"/>
      <c r="AT167" s="244"/>
      <c r="AU167" s="244"/>
      <c r="AV167" s="244"/>
      <c r="AW167" s="245"/>
      <c r="AX167" s="243" t="s">
        <v>214</v>
      </c>
      <c r="AY167" s="244"/>
      <c r="AZ167" s="244"/>
      <c r="BA167" s="244"/>
      <c r="BB167" s="244"/>
      <c r="BC167" s="244"/>
      <c r="BD167" s="245"/>
      <c r="BE167" s="243">
        <v>3</v>
      </c>
      <c r="BF167" s="244"/>
      <c r="BG167" s="244"/>
      <c r="BH167" s="244"/>
      <c r="BI167" s="245"/>
    </row>
    <row r="168" spans="7:61" ht="36" customHeight="1">
      <c r="G168" s="695"/>
      <c r="H168" s="696"/>
      <c r="I168" s="696"/>
      <c r="J168" s="696"/>
      <c r="K168" s="696"/>
      <c r="L168" s="697"/>
      <c r="M168" s="220" t="s">
        <v>477</v>
      </c>
      <c r="N168" s="691"/>
      <c r="O168" s="691"/>
      <c r="P168" s="691"/>
      <c r="Q168" s="691"/>
      <c r="R168" s="691"/>
      <c r="S168" s="691"/>
      <c r="T168" s="691"/>
      <c r="U168" s="691"/>
      <c r="V168" s="691"/>
      <c r="W168" s="691"/>
      <c r="X168" s="691"/>
      <c r="Y168" s="691"/>
      <c r="Z168" s="691"/>
      <c r="AA168" s="691"/>
      <c r="AB168" s="691"/>
      <c r="AC168" s="691"/>
      <c r="AD168" s="691"/>
      <c r="AE168" s="691"/>
      <c r="AF168" s="691"/>
      <c r="AG168" s="691"/>
      <c r="AH168" s="691"/>
      <c r="AI168" s="691"/>
      <c r="AJ168" s="691"/>
      <c r="AK168" s="691"/>
      <c r="AL168" s="691"/>
      <c r="AM168" s="691"/>
      <c r="AN168" s="691"/>
      <c r="AO168" s="691"/>
      <c r="AP168" s="691"/>
      <c r="AQ168" s="691"/>
      <c r="AR168" s="691"/>
      <c r="AS168" s="691"/>
      <c r="AT168" s="691"/>
      <c r="AU168" s="691"/>
      <c r="AV168" s="691"/>
      <c r="AW168" s="691"/>
      <c r="AX168" s="691"/>
      <c r="AY168" s="691"/>
      <c r="AZ168" s="691"/>
      <c r="BA168" s="691"/>
      <c r="BB168" s="691"/>
      <c r="BC168" s="691"/>
      <c r="BD168" s="691"/>
      <c r="BE168" s="691"/>
      <c r="BF168" s="691"/>
      <c r="BG168" s="691"/>
      <c r="BH168" s="691"/>
      <c r="BI168" s="692"/>
    </row>
    <row r="169" spans="7:61">
      <c r="G169" s="693" t="s">
        <v>479</v>
      </c>
      <c r="H169" s="694"/>
      <c r="I169" s="694"/>
      <c r="J169" s="694"/>
      <c r="K169" s="694"/>
      <c r="L169" s="708"/>
      <c r="M169" s="243">
        <v>400</v>
      </c>
      <c r="N169" s="244"/>
      <c r="O169" s="245"/>
      <c r="P169" s="243" t="s">
        <v>272</v>
      </c>
      <c r="Q169" s="244"/>
      <c r="R169" s="244"/>
      <c r="S169" s="244"/>
      <c r="T169" s="244"/>
      <c r="U169" s="244"/>
      <c r="V169" s="244"/>
      <c r="W169" s="245"/>
      <c r="X169" s="249" t="s">
        <v>40</v>
      </c>
      <c r="Y169" s="250"/>
      <c r="Z169" s="250"/>
      <c r="AA169" s="250"/>
      <c r="AB169" s="250"/>
      <c r="AC169" s="250"/>
      <c r="AD169" s="250"/>
      <c r="AE169" s="251"/>
      <c r="AF169" s="243" t="s">
        <v>93</v>
      </c>
      <c r="AG169" s="244"/>
      <c r="AH169" s="244"/>
      <c r="AI169" s="245"/>
      <c r="AJ169" s="709">
        <v>1.02</v>
      </c>
      <c r="AK169" s="700"/>
      <c r="AL169" s="700"/>
      <c r="AM169" s="701"/>
      <c r="AN169" s="243">
        <v>400</v>
      </c>
      <c r="AO169" s="244"/>
      <c r="AP169" s="245"/>
      <c r="AQ169" s="243" t="s">
        <v>286</v>
      </c>
      <c r="AR169" s="244"/>
      <c r="AS169" s="244"/>
      <c r="AT169" s="244"/>
      <c r="AU169" s="244"/>
      <c r="AV169" s="244"/>
      <c r="AW169" s="245"/>
      <c r="AX169" s="243" t="s">
        <v>276</v>
      </c>
      <c r="AY169" s="244"/>
      <c r="AZ169" s="244"/>
      <c r="BA169" s="244"/>
      <c r="BB169" s="244"/>
      <c r="BC169" s="244"/>
      <c r="BD169" s="245"/>
      <c r="BE169" s="243"/>
      <c r="BF169" s="244"/>
      <c r="BG169" s="244"/>
      <c r="BH169" s="244"/>
      <c r="BI169" s="245"/>
    </row>
    <row r="170" spans="7:61">
      <c r="G170" s="695"/>
      <c r="H170" s="696"/>
      <c r="I170" s="696"/>
      <c r="J170" s="696"/>
      <c r="K170" s="696"/>
      <c r="L170" s="697"/>
      <c r="M170" s="220" t="s">
        <v>478</v>
      </c>
      <c r="N170" s="221"/>
      <c r="O170" s="221"/>
      <c r="P170" s="221"/>
      <c r="Q170" s="221"/>
      <c r="R170" s="221"/>
      <c r="S170" s="221"/>
      <c r="T170" s="221"/>
      <c r="U170" s="221"/>
      <c r="V170" s="221"/>
      <c r="W170" s="221"/>
      <c r="X170" s="221"/>
      <c r="Y170" s="221"/>
      <c r="Z170" s="221"/>
      <c r="AA170" s="221"/>
      <c r="AB170" s="221"/>
      <c r="AC170" s="221"/>
      <c r="AD170" s="221"/>
      <c r="AE170" s="221"/>
      <c r="AF170" s="221"/>
      <c r="AG170" s="221"/>
      <c r="AH170" s="221"/>
      <c r="AI170" s="221"/>
      <c r="AJ170" s="221"/>
      <c r="AK170" s="221"/>
      <c r="AL170" s="221"/>
      <c r="AM170" s="221"/>
      <c r="AN170" s="221"/>
      <c r="AO170" s="221"/>
      <c r="AP170" s="221"/>
      <c r="AQ170" s="221"/>
      <c r="AR170" s="221"/>
      <c r="AS170" s="221"/>
      <c r="AT170" s="221"/>
      <c r="AU170" s="221"/>
      <c r="AV170" s="221"/>
      <c r="AW170" s="221"/>
      <c r="AX170" s="221"/>
      <c r="AY170" s="221"/>
      <c r="AZ170" s="221"/>
      <c r="BA170" s="221"/>
      <c r="BB170" s="221"/>
      <c r="BC170" s="221"/>
      <c r="BD170" s="221"/>
      <c r="BE170" s="221"/>
      <c r="BF170" s="221"/>
      <c r="BG170" s="221"/>
      <c r="BH170" s="221"/>
      <c r="BI170" s="222"/>
    </row>
    <row r="171" spans="7:61">
      <c r="G171" s="702" t="s">
        <v>384</v>
      </c>
      <c r="H171" s="703"/>
      <c r="I171" s="703"/>
      <c r="J171" s="703"/>
      <c r="K171" s="703"/>
      <c r="L171" s="704"/>
      <c r="M171" s="243">
        <v>400</v>
      </c>
      <c r="N171" s="244"/>
      <c r="O171" s="245"/>
      <c r="P171" s="243" t="s">
        <v>385</v>
      </c>
      <c r="Q171" s="244"/>
      <c r="R171" s="244"/>
      <c r="S171" s="244"/>
      <c r="T171" s="244"/>
      <c r="U171" s="244"/>
      <c r="V171" s="244"/>
      <c r="W171" s="245"/>
      <c r="X171" s="243" t="s">
        <v>480</v>
      </c>
      <c r="Y171" s="244"/>
      <c r="Z171" s="244"/>
      <c r="AA171" s="244"/>
      <c r="AB171" s="244"/>
      <c r="AC171" s="244"/>
      <c r="AD171" s="244"/>
      <c r="AE171" s="245"/>
      <c r="AF171" s="243" t="s">
        <v>386</v>
      </c>
      <c r="AG171" s="244"/>
      <c r="AH171" s="244"/>
      <c r="AI171" s="245"/>
      <c r="AJ171" s="237">
        <v>1.08</v>
      </c>
      <c r="AK171" s="238"/>
      <c r="AL171" s="238"/>
      <c r="AM171" s="239"/>
      <c r="AN171" s="240">
        <v>220</v>
      </c>
      <c r="AO171" s="241"/>
      <c r="AP171" s="242"/>
      <c r="AQ171" s="240" t="s">
        <v>146</v>
      </c>
      <c r="AR171" s="241"/>
      <c r="AS171" s="241"/>
      <c r="AT171" s="241"/>
      <c r="AU171" s="241"/>
      <c r="AV171" s="241"/>
      <c r="AW171" s="242"/>
      <c r="AX171" s="240" t="s">
        <v>158</v>
      </c>
      <c r="AY171" s="241"/>
      <c r="AZ171" s="241"/>
      <c r="BA171" s="241"/>
      <c r="BB171" s="241"/>
      <c r="BC171" s="241"/>
      <c r="BD171" s="242"/>
      <c r="BE171" s="243"/>
      <c r="BF171" s="244"/>
      <c r="BG171" s="244"/>
      <c r="BH171" s="244"/>
      <c r="BI171" s="245"/>
    </row>
    <row r="172" spans="7:61">
      <c r="G172" s="705"/>
      <c r="H172" s="706"/>
      <c r="I172" s="706"/>
      <c r="J172" s="706"/>
      <c r="K172" s="706"/>
      <c r="L172" s="707"/>
      <c r="M172" s="220" t="s">
        <v>481</v>
      </c>
      <c r="N172" s="221"/>
      <c r="O172" s="221"/>
      <c r="P172" s="221"/>
      <c r="Q172" s="221"/>
      <c r="R172" s="221"/>
      <c r="S172" s="221"/>
      <c r="T172" s="221"/>
      <c r="U172" s="221"/>
      <c r="V172" s="221"/>
      <c r="W172" s="221"/>
      <c r="X172" s="221"/>
      <c r="Y172" s="221"/>
      <c r="Z172" s="221"/>
      <c r="AA172" s="221"/>
      <c r="AB172" s="221"/>
      <c r="AC172" s="221"/>
      <c r="AD172" s="221"/>
      <c r="AE172" s="221"/>
      <c r="AF172" s="221"/>
      <c r="AG172" s="221"/>
      <c r="AH172" s="221"/>
      <c r="AI172" s="221"/>
      <c r="AJ172" s="221"/>
      <c r="AK172" s="221"/>
      <c r="AL172" s="221"/>
      <c r="AM172" s="221"/>
      <c r="AN172" s="221"/>
      <c r="AO172" s="221"/>
      <c r="AP172" s="221"/>
      <c r="AQ172" s="221"/>
      <c r="AR172" s="221"/>
      <c r="AS172" s="221"/>
      <c r="AT172" s="221"/>
      <c r="AU172" s="221"/>
      <c r="AV172" s="221"/>
      <c r="AW172" s="221"/>
      <c r="AX172" s="221"/>
      <c r="AY172" s="221"/>
      <c r="AZ172" s="221"/>
      <c r="BA172" s="221"/>
      <c r="BB172" s="221"/>
      <c r="BC172" s="221"/>
      <c r="BD172" s="221"/>
      <c r="BE172" s="221"/>
      <c r="BF172" s="221"/>
      <c r="BG172" s="221"/>
      <c r="BH172" s="221"/>
      <c r="BI172" s="222"/>
    </row>
    <row r="173" spans="7:61">
      <c r="G173" s="693" t="s">
        <v>11</v>
      </c>
      <c r="H173" s="694"/>
      <c r="I173" s="694"/>
      <c r="J173" s="694"/>
      <c r="K173" s="694"/>
      <c r="L173" s="694"/>
      <c r="M173" s="698">
        <v>400</v>
      </c>
      <c r="N173" s="698"/>
      <c r="O173" s="698"/>
      <c r="P173" s="698" t="s">
        <v>42</v>
      </c>
      <c r="Q173" s="698"/>
      <c r="R173" s="698"/>
      <c r="S173" s="698"/>
      <c r="T173" s="698"/>
      <c r="U173" s="698"/>
      <c r="V173" s="698"/>
      <c r="W173" s="698"/>
      <c r="X173" s="699" t="s">
        <v>214</v>
      </c>
      <c r="Y173" s="699"/>
      <c r="Z173" s="699"/>
      <c r="AA173" s="699"/>
      <c r="AB173" s="699"/>
      <c r="AC173" s="699"/>
      <c r="AD173" s="699"/>
      <c r="AE173" s="699"/>
      <c r="AF173" s="698" t="s">
        <v>93</v>
      </c>
      <c r="AG173" s="698"/>
      <c r="AH173" s="698"/>
      <c r="AI173" s="698"/>
      <c r="AJ173" s="700" t="s">
        <v>482</v>
      </c>
      <c r="AK173" s="700"/>
      <c r="AL173" s="700"/>
      <c r="AM173" s="701"/>
      <c r="AN173" s="243">
        <v>400</v>
      </c>
      <c r="AO173" s="244"/>
      <c r="AP173" s="245"/>
      <c r="AQ173" s="243" t="s">
        <v>42</v>
      </c>
      <c r="AR173" s="244"/>
      <c r="AS173" s="244"/>
      <c r="AT173" s="244"/>
      <c r="AU173" s="244"/>
      <c r="AV173" s="244"/>
      <c r="AW173" s="245"/>
      <c r="AX173" s="243" t="s">
        <v>214</v>
      </c>
      <c r="AY173" s="244"/>
      <c r="AZ173" s="244"/>
      <c r="BA173" s="244"/>
      <c r="BB173" s="244"/>
      <c r="BC173" s="244"/>
      <c r="BD173" s="245"/>
      <c r="BE173" s="243">
        <v>3</v>
      </c>
      <c r="BF173" s="244"/>
      <c r="BG173" s="244"/>
      <c r="BH173" s="244"/>
      <c r="BI173" s="245"/>
    </row>
    <row r="174" spans="7:61" ht="49.5" customHeight="1">
      <c r="G174" s="695"/>
      <c r="H174" s="696"/>
      <c r="I174" s="696"/>
      <c r="J174" s="696"/>
      <c r="K174" s="696"/>
      <c r="L174" s="697"/>
      <c r="M174" s="220" t="s">
        <v>485</v>
      </c>
      <c r="N174" s="691"/>
      <c r="O174" s="691"/>
      <c r="P174" s="691"/>
      <c r="Q174" s="691"/>
      <c r="R174" s="691"/>
      <c r="S174" s="691"/>
      <c r="T174" s="691"/>
      <c r="U174" s="691"/>
      <c r="V174" s="691"/>
      <c r="W174" s="691"/>
      <c r="X174" s="691"/>
      <c r="Y174" s="691"/>
      <c r="Z174" s="691"/>
      <c r="AA174" s="691"/>
      <c r="AB174" s="691"/>
      <c r="AC174" s="691"/>
      <c r="AD174" s="691"/>
      <c r="AE174" s="691"/>
      <c r="AF174" s="691"/>
      <c r="AG174" s="691"/>
      <c r="AH174" s="691"/>
      <c r="AI174" s="691"/>
      <c r="AJ174" s="691"/>
      <c r="AK174" s="691"/>
      <c r="AL174" s="691"/>
      <c r="AM174" s="691"/>
      <c r="AN174" s="691"/>
      <c r="AO174" s="691"/>
      <c r="AP174" s="691"/>
      <c r="AQ174" s="691"/>
      <c r="AR174" s="691"/>
      <c r="AS174" s="691"/>
      <c r="AT174" s="691"/>
      <c r="AU174" s="691"/>
      <c r="AV174" s="691"/>
      <c r="AW174" s="691"/>
      <c r="AX174" s="691"/>
      <c r="AY174" s="691"/>
      <c r="AZ174" s="691"/>
      <c r="BA174" s="691"/>
      <c r="BB174" s="691"/>
      <c r="BC174" s="691"/>
      <c r="BD174" s="691"/>
      <c r="BE174" s="691"/>
      <c r="BF174" s="691"/>
      <c r="BG174" s="691"/>
      <c r="BH174" s="691"/>
      <c r="BI174" s="692"/>
    </row>
    <row r="175" spans="7:61">
      <c r="G175" s="693" t="s">
        <v>11</v>
      </c>
      <c r="H175" s="694"/>
      <c r="I175" s="694"/>
      <c r="J175" s="694"/>
      <c r="K175" s="694"/>
      <c r="L175" s="694"/>
      <c r="M175" s="698">
        <v>400</v>
      </c>
      <c r="N175" s="698"/>
      <c r="O175" s="698"/>
      <c r="P175" s="698" t="s">
        <v>42</v>
      </c>
      <c r="Q175" s="698"/>
      <c r="R175" s="698"/>
      <c r="S175" s="698"/>
      <c r="T175" s="698"/>
      <c r="U175" s="698"/>
      <c r="V175" s="698"/>
      <c r="W175" s="698"/>
      <c r="X175" s="699" t="s">
        <v>216</v>
      </c>
      <c r="Y175" s="699"/>
      <c r="Z175" s="699"/>
      <c r="AA175" s="699"/>
      <c r="AB175" s="699"/>
      <c r="AC175" s="699"/>
      <c r="AD175" s="699"/>
      <c r="AE175" s="699"/>
      <c r="AF175" s="698" t="s">
        <v>355</v>
      </c>
      <c r="AG175" s="698"/>
      <c r="AH175" s="698"/>
      <c r="AI175" s="698"/>
      <c r="AJ175" s="700" t="s">
        <v>472</v>
      </c>
      <c r="AK175" s="700"/>
      <c r="AL175" s="700"/>
      <c r="AM175" s="701"/>
      <c r="AN175" s="243">
        <v>220</v>
      </c>
      <c r="AO175" s="244"/>
      <c r="AP175" s="245"/>
      <c r="AQ175" s="243" t="s">
        <v>42</v>
      </c>
      <c r="AR175" s="244"/>
      <c r="AS175" s="244"/>
      <c r="AT175" s="244"/>
      <c r="AU175" s="244"/>
      <c r="AV175" s="244"/>
      <c r="AW175" s="245"/>
      <c r="AX175" s="243" t="s">
        <v>362</v>
      </c>
      <c r="AY175" s="244"/>
      <c r="AZ175" s="244"/>
      <c r="BA175" s="244"/>
      <c r="BB175" s="244"/>
      <c r="BC175" s="244"/>
      <c r="BD175" s="245"/>
      <c r="BE175" s="243">
        <v>2</v>
      </c>
      <c r="BF175" s="244"/>
      <c r="BG175" s="244"/>
      <c r="BH175" s="244"/>
      <c r="BI175" s="245"/>
    </row>
    <row r="176" spans="7:61">
      <c r="G176" s="710"/>
      <c r="H176" s="711"/>
      <c r="I176" s="711"/>
      <c r="J176" s="711"/>
      <c r="K176" s="711"/>
      <c r="L176" s="711"/>
      <c r="M176" s="698"/>
      <c r="N176" s="698"/>
      <c r="O176" s="698"/>
      <c r="P176" s="698"/>
      <c r="Q176" s="698"/>
      <c r="R176" s="698"/>
      <c r="S176" s="698"/>
      <c r="T176" s="698"/>
      <c r="U176" s="698"/>
      <c r="V176" s="698"/>
      <c r="W176" s="698"/>
      <c r="X176" s="699"/>
      <c r="Y176" s="699"/>
      <c r="Z176" s="699"/>
      <c r="AA176" s="699"/>
      <c r="AB176" s="699"/>
      <c r="AC176" s="699"/>
      <c r="AD176" s="699"/>
      <c r="AE176" s="699"/>
      <c r="AF176" s="698"/>
      <c r="AG176" s="698"/>
      <c r="AH176" s="698"/>
      <c r="AI176" s="698"/>
      <c r="AJ176" s="700" t="s">
        <v>483</v>
      </c>
      <c r="AK176" s="700"/>
      <c r="AL176" s="700"/>
      <c r="AM176" s="701"/>
      <c r="AN176" s="243">
        <v>220</v>
      </c>
      <c r="AO176" s="244"/>
      <c r="AP176" s="245"/>
      <c r="AQ176" s="243" t="s">
        <v>473</v>
      </c>
      <c r="AR176" s="244"/>
      <c r="AS176" s="244"/>
      <c r="AT176" s="244"/>
      <c r="AU176" s="244"/>
      <c r="AV176" s="244"/>
      <c r="AW176" s="245"/>
      <c r="AX176" s="243" t="s">
        <v>474</v>
      </c>
      <c r="AY176" s="244"/>
      <c r="AZ176" s="244"/>
      <c r="BA176" s="244"/>
      <c r="BB176" s="244"/>
      <c r="BC176" s="244"/>
      <c r="BD176" s="245"/>
      <c r="BE176" s="211"/>
      <c r="BF176" s="212"/>
      <c r="BG176" s="212"/>
      <c r="BH176" s="212"/>
      <c r="BI176" s="213"/>
    </row>
    <row r="177" spans="7:61">
      <c r="G177" s="710"/>
      <c r="H177" s="711"/>
      <c r="I177" s="711"/>
      <c r="J177" s="711"/>
      <c r="K177" s="711"/>
      <c r="L177" s="711"/>
      <c r="M177" s="698"/>
      <c r="N177" s="698"/>
      <c r="O177" s="698"/>
      <c r="P177" s="698"/>
      <c r="Q177" s="698"/>
      <c r="R177" s="698"/>
      <c r="S177" s="698"/>
      <c r="T177" s="698"/>
      <c r="U177" s="698"/>
      <c r="V177" s="698"/>
      <c r="W177" s="698"/>
      <c r="X177" s="699"/>
      <c r="Y177" s="699"/>
      <c r="Z177" s="699"/>
      <c r="AA177" s="699"/>
      <c r="AB177" s="699"/>
      <c r="AC177" s="699"/>
      <c r="AD177" s="699"/>
      <c r="AE177" s="699"/>
      <c r="AF177" s="698"/>
      <c r="AG177" s="698"/>
      <c r="AH177" s="698"/>
      <c r="AI177" s="698"/>
      <c r="AJ177" s="700" t="s">
        <v>484</v>
      </c>
      <c r="AK177" s="700"/>
      <c r="AL177" s="700"/>
      <c r="AM177" s="701"/>
      <c r="AN177" s="243">
        <v>220</v>
      </c>
      <c r="AO177" s="244"/>
      <c r="AP177" s="245"/>
      <c r="AQ177" s="243" t="s">
        <v>357</v>
      </c>
      <c r="AR177" s="244"/>
      <c r="AS177" s="244"/>
      <c r="AT177" s="244"/>
      <c r="AU177" s="244"/>
      <c r="AV177" s="244"/>
      <c r="AW177" s="245"/>
      <c r="AX177" s="243" t="s">
        <v>358</v>
      </c>
      <c r="AY177" s="244"/>
      <c r="AZ177" s="244"/>
      <c r="BA177" s="244"/>
      <c r="BB177" s="244"/>
      <c r="BC177" s="244"/>
      <c r="BD177" s="245"/>
      <c r="BE177" s="243"/>
      <c r="BF177" s="244"/>
      <c r="BG177" s="244"/>
      <c r="BH177" s="244"/>
      <c r="BI177" s="245"/>
    </row>
    <row r="178" spans="7:61" ht="39" customHeight="1">
      <c r="G178" s="695"/>
      <c r="H178" s="696"/>
      <c r="I178" s="696"/>
      <c r="J178" s="696"/>
      <c r="K178" s="696"/>
      <c r="L178" s="697"/>
      <c r="M178" s="220" t="s">
        <v>486</v>
      </c>
      <c r="N178" s="691"/>
      <c r="O178" s="691"/>
      <c r="P178" s="691"/>
      <c r="Q178" s="691"/>
      <c r="R178" s="691"/>
      <c r="S178" s="691"/>
      <c r="T178" s="691"/>
      <c r="U178" s="691"/>
      <c r="V178" s="691"/>
      <c r="W178" s="691"/>
      <c r="X178" s="691"/>
      <c r="Y178" s="691"/>
      <c r="Z178" s="691"/>
      <c r="AA178" s="691"/>
      <c r="AB178" s="691"/>
      <c r="AC178" s="691"/>
      <c r="AD178" s="691"/>
      <c r="AE178" s="691"/>
      <c r="AF178" s="691"/>
      <c r="AG178" s="691"/>
      <c r="AH178" s="691"/>
      <c r="AI178" s="691"/>
      <c r="AJ178" s="691"/>
      <c r="AK178" s="691"/>
      <c r="AL178" s="691"/>
      <c r="AM178" s="691"/>
      <c r="AN178" s="691"/>
      <c r="AO178" s="691"/>
      <c r="AP178" s="691"/>
      <c r="AQ178" s="691"/>
      <c r="AR178" s="691"/>
      <c r="AS178" s="691"/>
      <c r="AT178" s="691"/>
      <c r="AU178" s="691"/>
      <c r="AV178" s="691"/>
      <c r="AW178" s="691"/>
      <c r="AX178" s="691"/>
      <c r="AY178" s="691"/>
      <c r="AZ178" s="691"/>
      <c r="BA178" s="691"/>
      <c r="BB178" s="691"/>
      <c r="BC178" s="691"/>
      <c r="BD178" s="691"/>
      <c r="BE178" s="691"/>
      <c r="BF178" s="691"/>
      <c r="BG178" s="691"/>
      <c r="BH178" s="691"/>
      <c r="BI178" s="692"/>
    </row>
    <row r="179" spans="7:61">
      <c r="G179" s="693" t="s">
        <v>11</v>
      </c>
      <c r="H179" s="694"/>
      <c r="I179" s="694"/>
      <c r="J179" s="694"/>
      <c r="K179" s="694"/>
      <c r="L179" s="694"/>
      <c r="M179" s="698">
        <v>400</v>
      </c>
      <c r="N179" s="698"/>
      <c r="O179" s="698"/>
      <c r="P179" s="698" t="s">
        <v>42</v>
      </c>
      <c r="Q179" s="698"/>
      <c r="R179" s="698"/>
      <c r="S179" s="698"/>
      <c r="T179" s="698"/>
      <c r="U179" s="698"/>
      <c r="V179" s="698"/>
      <c r="W179" s="698"/>
      <c r="X179" s="699" t="s">
        <v>214</v>
      </c>
      <c r="Y179" s="699"/>
      <c r="Z179" s="699"/>
      <c r="AA179" s="699"/>
      <c r="AB179" s="699"/>
      <c r="AC179" s="699"/>
      <c r="AD179" s="699"/>
      <c r="AE179" s="699"/>
      <c r="AF179" s="698" t="s">
        <v>93</v>
      </c>
      <c r="AG179" s="698"/>
      <c r="AH179" s="698"/>
      <c r="AI179" s="698"/>
      <c r="AJ179" s="700" t="s">
        <v>487</v>
      </c>
      <c r="AK179" s="700"/>
      <c r="AL179" s="700"/>
      <c r="AM179" s="701"/>
      <c r="AN179" s="243">
        <v>400</v>
      </c>
      <c r="AO179" s="244"/>
      <c r="AP179" s="245"/>
      <c r="AQ179" s="243" t="s">
        <v>42</v>
      </c>
      <c r="AR179" s="244"/>
      <c r="AS179" s="244"/>
      <c r="AT179" s="244"/>
      <c r="AU179" s="244"/>
      <c r="AV179" s="244"/>
      <c r="AW179" s="245"/>
      <c r="AX179" s="243" t="s">
        <v>214</v>
      </c>
      <c r="AY179" s="244"/>
      <c r="AZ179" s="244"/>
      <c r="BA179" s="244"/>
      <c r="BB179" s="244"/>
      <c r="BC179" s="244"/>
      <c r="BD179" s="245"/>
      <c r="BE179" s="243">
        <v>3</v>
      </c>
      <c r="BF179" s="244"/>
      <c r="BG179" s="244"/>
      <c r="BH179" s="244"/>
      <c r="BI179" s="245"/>
    </row>
    <row r="180" spans="7:61" ht="24.75" customHeight="1">
      <c r="G180" s="695"/>
      <c r="H180" s="696"/>
      <c r="I180" s="696"/>
      <c r="J180" s="696"/>
      <c r="K180" s="696"/>
      <c r="L180" s="697"/>
      <c r="M180" s="220" t="s">
        <v>488</v>
      </c>
      <c r="N180" s="691"/>
      <c r="O180" s="691"/>
      <c r="P180" s="691"/>
      <c r="Q180" s="691"/>
      <c r="R180" s="691"/>
      <c r="S180" s="691"/>
      <c r="T180" s="691"/>
      <c r="U180" s="691"/>
      <c r="V180" s="691"/>
      <c r="W180" s="691"/>
      <c r="X180" s="691"/>
      <c r="Y180" s="691"/>
      <c r="Z180" s="691"/>
      <c r="AA180" s="691"/>
      <c r="AB180" s="691"/>
      <c r="AC180" s="691"/>
      <c r="AD180" s="691"/>
      <c r="AE180" s="691"/>
      <c r="AF180" s="691"/>
      <c r="AG180" s="691"/>
      <c r="AH180" s="691"/>
      <c r="AI180" s="691"/>
      <c r="AJ180" s="691"/>
      <c r="AK180" s="691"/>
      <c r="AL180" s="691"/>
      <c r="AM180" s="691"/>
      <c r="AN180" s="691"/>
      <c r="AO180" s="691"/>
      <c r="AP180" s="691"/>
      <c r="AQ180" s="691"/>
      <c r="AR180" s="691"/>
      <c r="AS180" s="691"/>
      <c r="AT180" s="691"/>
      <c r="AU180" s="691"/>
      <c r="AV180" s="691"/>
      <c r="AW180" s="691"/>
      <c r="AX180" s="691"/>
      <c r="AY180" s="691"/>
      <c r="AZ180" s="691"/>
      <c r="BA180" s="691"/>
      <c r="BB180" s="691"/>
      <c r="BC180" s="691"/>
      <c r="BD180" s="691"/>
      <c r="BE180" s="691"/>
      <c r="BF180" s="691"/>
      <c r="BG180" s="691"/>
      <c r="BH180" s="691"/>
      <c r="BI180" s="692"/>
    </row>
    <row r="181" spans="7:61">
      <c r="G181" s="693" t="s">
        <v>11</v>
      </c>
      <c r="H181" s="694"/>
      <c r="I181" s="694"/>
      <c r="J181" s="694"/>
      <c r="K181" s="694"/>
      <c r="L181" s="694"/>
      <c r="M181" s="698">
        <v>400</v>
      </c>
      <c r="N181" s="698"/>
      <c r="O181" s="698"/>
      <c r="P181" s="698" t="s">
        <v>42</v>
      </c>
      <c r="Q181" s="698"/>
      <c r="R181" s="698"/>
      <c r="S181" s="698"/>
      <c r="T181" s="698"/>
      <c r="U181" s="698"/>
      <c r="V181" s="698"/>
      <c r="W181" s="698"/>
      <c r="X181" s="699" t="s">
        <v>216</v>
      </c>
      <c r="Y181" s="699"/>
      <c r="Z181" s="699"/>
      <c r="AA181" s="699"/>
      <c r="AB181" s="699"/>
      <c r="AC181" s="699"/>
      <c r="AD181" s="699"/>
      <c r="AE181" s="699"/>
      <c r="AF181" s="698" t="s">
        <v>355</v>
      </c>
      <c r="AG181" s="698"/>
      <c r="AH181" s="698"/>
      <c r="AI181" s="698"/>
      <c r="AJ181" s="700" t="s">
        <v>484</v>
      </c>
      <c r="AK181" s="700"/>
      <c r="AL181" s="700"/>
      <c r="AM181" s="701"/>
      <c r="AN181" s="243">
        <v>220</v>
      </c>
      <c r="AO181" s="244"/>
      <c r="AP181" s="245"/>
      <c r="AQ181" s="243" t="s">
        <v>42</v>
      </c>
      <c r="AR181" s="244"/>
      <c r="AS181" s="244"/>
      <c r="AT181" s="244"/>
      <c r="AU181" s="244"/>
      <c r="AV181" s="244"/>
      <c r="AW181" s="245"/>
      <c r="AX181" s="243" t="s">
        <v>362</v>
      </c>
      <c r="AY181" s="244"/>
      <c r="AZ181" s="244"/>
      <c r="BA181" s="244"/>
      <c r="BB181" s="244"/>
      <c r="BC181" s="244"/>
      <c r="BD181" s="245"/>
      <c r="BE181" s="243">
        <v>2</v>
      </c>
      <c r="BF181" s="244"/>
      <c r="BG181" s="244"/>
      <c r="BH181" s="244"/>
      <c r="BI181" s="245"/>
    </row>
    <row r="182" spans="7:61" ht="23.25" customHeight="1">
      <c r="G182" s="695"/>
      <c r="H182" s="696"/>
      <c r="I182" s="696"/>
      <c r="J182" s="696"/>
      <c r="K182" s="696"/>
      <c r="L182" s="697"/>
      <c r="M182" s="220" t="s">
        <v>489</v>
      </c>
      <c r="N182" s="691"/>
      <c r="O182" s="691"/>
      <c r="P182" s="691"/>
      <c r="Q182" s="691"/>
      <c r="R182" s="691"/>
      <c r="S182" s="691"/>
      <c r="T182" s="691"/>
      <c r="U182" s="691"/>
      <c r="V182" s="691"/>
      <c r="W182" s="691"/>
      <c r="X182" s="691"/>
      <c r="Y182" s="691"/>
      <c r="Z182" s="691"/>
      <c r="AA182" s="691"/>
      <c r="AB182" s="691"/>
      <c r="AC182" s="691"/>
      <c r="AD182" s="691"/>
      <c r="AE182" s="691"/>
      <c r="AF182" s="691"/>
      <c r="AG182" s="691"/>
      <c r="AH182" s="691"/>
      <c r="AI182" s="691"/>
      <c r="AJ182" s="691"/>
      <c r="AK182" s="691"/>
      <c r="AL182" s="691"/>
      <c r="AM182" s="691"/>
      <c r="AN182" s="691"/>
      <c r="AO182" s="691"/>
      <c r="AP182" s="691"/>
      <c r="AQ182" s="691"/>
      <c r="AR182" s="691"/>
      <c r="AS182" s="691"/>
      <c r="AT182" s="691"/>
      <c r="AU182" s="691"/>
      <c r="AV182" s="691"/>
      <c r="AW182" s="691"/>
      <c r="AX182" s="691"/>
      <c r="AY182" s="691"/>
      <c r="AZ182" s="691"/>
      <c r="BA182" s="691"/>
      <c r="BB182" s="691"/>
      <c r="BC182" s="691"/>
      <c r="BD182" s="691"/>
      <c r="BE182" s="691"/>
      <c r="BF182" s="691"/>
      <c r="BG182" s="691"/>
      <c r="BH182" s="691"/>
      <c r="BI182" s="692"/>
    </row>
  </sheetData>
  <sheetProtection formatRows="0" insertRows="0" deleteRows="0"/>
  <autoFilter ref="A5:A111">
    <filterColumn colId="0"/>
  </autoFilter>
  <mergeCells count="916"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14/01/2018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6" sqref="D16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7" t="s">
        <v>322</v>
      </c>
      <c r="D1" s="157" t="s">
        <v>322</v>
      </c>
      <c r="H1" s="39" t="s">
        <v>323</v>
      </c>
    </row>
    <row r="2" spans="1:8">
      <c r="A2" s="159" t="s">
        <v>325</v>
      </c>
      <c r="D2" s="158"/>
    </row>
    <row r="4" spans="1:8">
      <c r="A4" s="103" t="s">
        <v>324</v>
      </c>
      <c r="D4" s="168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8" t="s">
        <v>330</v>
      </c>
      <c r="H5" s="39" t="str">
        <f t="shared" si="0"/>
        <v>XAL_RO12 ******** *</v>
      </c>
    </row>
    <row r="6" spans="1:8">
      <c r="A6" s="103" t="s">
        <v>23</v>
      </c>
      <c r="D6" s="168" t="s">
        <v>331</v>
      </c>
      <c r="H6" s="39" t="str">
        <f t="shared" si="0"/>
        <v>XSO_BU11 ******** *</v>
      </c>
    </row>
    <row r="7" spans="1:8">
      <c r="A7" s="103" t="s">
        <v>24</v>
      </c>
      <c r="D7" s="168" t="s">
        <v>332</v>
      </c>
      <c r="H7" s="39" t="str">
        <f t="shared" si="0"/>
        <v>XME_CA11 ******** *</v>
      </c>
    </row>
    <row r="8" spans="1:8">
      <c r="A8" s="103" t="s">
        <v>25</v>
      </c>
      <c r="D8" s="168" t="s">
        <v>333</v>
      </c>
      <c r="H8" s="39" t="str">
        <f t="shared" si="0"/>
        <v>XLA_MU11 ******** *</v>
      </c>
    </row>
    <row r="9" spans="1:8">
      <c r="A9" s="103" t="s">
        <v>212</v>
      </c>
      <c r="D9" s="168" t="s">
        <v>334</v>
      </c>
      <c r="H9" s="39" t="str">
        <f t="shared" si="0"/>
        <v>XRE_DI11 ******** *</v>
      </c>
    </row>
    <row r="10" spans="1:8">
      <c r="A10" s="103" t="s">
        <v>26</v>
      </c>
      <c r="D10" s="168" t="s">
        <v>335</v>
      </c>
      <c r="H10" s="39" t="str">
        <f t="shared" si="0"/>
        <v>XRO_SF11 ******** *</v>
      </c>
    </row>
    <row r="11" spans="1:8">
      <c r="A11" s="103" t="s">
        <v>27</v>
      </c>
      <c r="D11" s="168" t="s">
        <v>336</v>
      </c>
      <c r="H11" s="39" t="str">
        <f t="shared" si="0"/>
        <v>XRO_GO11 ******** *</v>
      </c>
    </row>
    <row r="12" spans="1:8">
      <c r="A12" s="103" t="s">
        <v>28</v>
      </c>
      <c r="D12" s="168" t="s">
        <v>337</v>
      </c>
      <c r="H12" s="39" t="str">
        <f t="shared" si="0"/>
        <v>XVL_VE11 ******** *</v>
      </c>
    </row>
    <row r="13" spans="1:8">
      <c r="A13" s="103" t="s">
        <v>29</v>
      </c>
      <c r="D13" s="168" t="s">
        <v>338</v>
      </c>
      <c r="H13" s="39" t="str">
        <f t="shared" si="0"/>
        <v>XAI_PO21 ******** *</v>
      </c>
    </row>
    <row r="14" spans="1:8">
      <c r="A14" s="103" t="s">
        <v>30</v>
      </c>
      <c r="D14" s="168" t="s">
        <v>339</v>
      </c>
      <c r="H14" s="39" t="str">
        <f t="shared" si="0"/>
        <v>XLI_SO21 ******** *</v>
      </c>
    </row>
    <row r="15" spans="1:8">
      <c r="A15" s="103" t="s">
        <v>31</v>
      </c>
      <c r="D15" s="168" t="s">
        <v>340</v>
      </c>
      <c r="H15" s="39" t="str">
        <f t="shared" si="0"/>
        <v>XB._CA21 ******** *</v>
      </c>
    </row>
    <row r="16" spans="1:8">
      <c r="A16" s="103" t="s">
        <v>213</v>
      </c>
      <c r="D16" s="168" t="s">
        <v>341</v>
      </c>
      <c r="H16" s="39" t="str">
        <f t="shared" si="0"/>
        <v>XPA_DI21 ******** *</v>
      </c>
    </row>
    <row r="17" spans="1:8">
      <c r="A17" s="103" t="s">
        <v>32</v>
      </c>
      <c r="D17" s="168" t="s">
        <v>342</v>
      </c>
      <c r="H17" s="39" t="str">
        <f t="shared" si="0"/>
        <v>XRI_AV21 ******** *</v>
      </c>
    </row>
    <row r="18" spans="1:8">
      <c r="A18" s="103" t="s">
        <v>33</v>
      </c>
      <c r="D18" s="168" t="s">
        <v>343</v>
      </c>
      <c r="H18" s="39" t="str">
        <f t="shared" si="0"/>
        <v>XRI_VA21 ******** *</v>
      </c>
    </row>
    <row r="19" spans="1:8">
      <c r="A19" s="103" t="s">
        <v>34</v>
      </c>
      <c r="D19" s="168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14/01/2018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43113.806585648148</v>
      </c>
      <c r="O2" s="89" t="s">
        <v>160</v>
      </c>
    </row>
    <row r="3" spans="2:15">
      <c r="C3" s="21"/>
      <c r="E3" s="21"/>
      <c r="G3" s="36" t="s">
        <v>73</v>
      </c>
      <c r="H3" s="22">
        <v>43113.861724537041</v>
      </c>
      <c r="O3" s="91" t="s">
        <v>417</v>
      </c>
    </row>
    <row r="4" spans="2:15">
      <c r="B4" s="23"/>
      <c r="C4" s="186"/>
      <c r="E4"/>
      <c r="G4" s="24" t="s">
        <v>74</v>
      </c>
      <c r="H4" s="25">
        <f>H3-H2</f>
        <v>5.5138888892543036E-2</v>
      </c>
      <c r="O4" s="90" t="s">
        <v>352</v>
      </c>
    </row>
    <row r="5" spans="2:15">
      <c r="B5" s="23"/>
      <c r="C5" s="186"/>
      <c r="E5"/>
      <c r="G5" s="26" t="s">
        <v>75</v>
      </c>
      <c r="H5" s="27">
        <f ca="1">NOW()</f>
        <v>43113.983684375002</v>
      </c>
      <c r="O5" s="90" t="s">
        <v>419</v>
      </c>
    </row>
    <row r="6" spans="2:15">
      <c r="B6" s="23"/>
      <c r="C6" s="186"/>
      <c r="E6"/>
      <c r="G6" s="24" t="s">
        <v>76</v>
      </c>
      <c r="H6" s="25">
        <f ca="1">H5-H2</f>
        <v>0.17709872685372829</v>
      </c>
      <c r="I6" s="28">
        <f ca="1">H6</f>
        <v>0.17709872685372829</v>
      </c>
      <c r="O6" s="90" t="s">
        <v>418</v>
      </c>
    </row>
    <row r="7" spans="2:15">
      <c r="B7" s="23"/>
      <c r="C7" s="186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6"/>
      <c r="E8"/>
      <c r="G8" s="29" t="s">
        <v>79</v>
      </c>
      <c r="H8" s="30" t="str">
        <f>IF(H4&lt;0.000462962962962963,"Yes","No")</f>
        <v>No</v>
      </c>
      <c r="I8" s="31" t="s">
        <v>80</v>
      </c>
      <c r="O8" s="90" t="s">
        <v>175</v>
      </c>
    </row>
    <row r="9" spans="2:15">
      <c r="B9" s="23"/>
      <c r="C9" s="186"/>
      <c r="E9"/>
      <c r="O9" s="90" t="s">
        <v>376</v>
      </c>
    </row>
    <row r="10" spans="2:15">
      <c r="B10" s="23"/>
      <c r="C10" s="186"/>
      <c r="E10"/>
      <c r="O10" s="90" t="s">
        <v>377</v>
      </c>
    </row>
    <row r="11" spans="2:15">
      <c r="B11" s="23"/>
      <c r="C11" s="186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6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420</v>
      </c>
    </row>
    <row r="15" spans="2:15">
      <c r="O15" s="90" t="s">
        <v>421</v>
      </c>
    </row>
    <row r="16" spans="2:15">
      <c r="G16" s="34" t="s">
        <v>86</v>
      </c>
      <c r="H16" s="35">
        <f>H2+1</f>
        <v>43114.806585648148</v>
      </c>
      <c r="O16" s="90" t="s">
        <v>422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423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424</v>
      </c>
    </row>
    <row r="28" spans="7:15">
      <c r="O28" s="90" t="s">
        <v>425</v>
      </c>
    </row>
    <row r="29" spans="7:15">
      <c r="O29" s="169" t="s">
        <v>379</v>
      </c>
    </row>
    <row r="30" spans="7:15">
      <c r="O30" s="169" t="s">
        <v>351</v>
      </c>
    </row>
    <row r="31" spans="7:15">
      <c r="O31" s="169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14/01/2018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14/01/2018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South left</cp:lastModifiedBy>
  <cp:lastPrinted>2012-12-18T08:27:28Z</cp:lastPrinted>
  <dcterms:created xsi:type="dcterms:W3CDTF">2011-11-20T18:32:02Z</dcterms:created>
  <dcterms:modified xsi:type="dcterms:W3CDTF">2018-01-13T22:36:30Z</dcterms:modified>
</cp:coreProperties>
</file>